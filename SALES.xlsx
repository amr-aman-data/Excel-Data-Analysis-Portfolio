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LAPTOP\Documents\"/>
    </mc:Choice>
  </mc:AlternateContent>
  <xr:revisionPtr revIDLastSave="0" documentId="8_{8B14DEAA-B448-476D-85C1-E467D3B4ECA8}" xr6:coauthVersionLast="47" xr6:coauthVersionMax="47" xr10:uidLastSave="{00000000-0000-0000-0000-000000000000}"/>
  <bookViews>
    <workbookView xWindow="-108" yWindow="-108" windowWidth="23256" windowHeight="12456" activeTab="1" xr2:uid="{A61F0F64-27B1-42F2-8139-8D8BE3252313}"/>
  </bookViews>
  <sheets>
    <sheet name="Sales" sheetId="2" r:id="rId1"/>
    <sheet name="DASHBOARD" sheetId="4" r:id="rId2"/>
    <sheet name="Pivot tables" sheetId="1" r:id="rId3"/>
  </sheets>
  <definedNames>
    <definedName name="NativeTimeline_ORDER_DATE">#N/A</definedName>
    <definedName name="Slicer_DEAL_SIZE">#N/A</definedName>
    <definedName name="Slicer_PRODUCT_LINE">#N/A</definedName>
    <definedName name="Slicer_TERRIT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L3" i="2"/>
  <c r="M3" i="2" s="1"/>
  <c r="L4" i="2"/>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L21" i="2"/>
  <c r="M21" i="2" s="1"/>
  <c r="L22" i="2"/>
  <c r="M22" i="2" s="1"/>
  <c r="L23" i="2"/>
  <c r="M23" i="2" s="1"/>
  <c r="L24" i="2"/>
  <c r="M24" i="2" s="1"/>
  <c r="L25" i="2"/>
  <c r="M25" i="2" s="1"/>
  <c r="L26" i="2"/>
  <c r="M26" i="2" s="1"/>
  <c r="L27" i="2"/>
  <c r="M27" i="2" s="1"/>
  <c r="L28" i="2"/>
  <c r="M28" i="2" s="1"/>
  <c r="L29" i="2"/>
  <c r="M29" i="2" s="1"/>
  <c r="L30" i="2"/>
  <c r="M30" i="2" s="1"/>
  <c r="L31" i="2"/>
  <c r="M31" i="2" s="1"/>
  <c r="L32" i="2"/>
  <c r="M32" i="2" s="1"/>
  <c r="L33" i="2"/>
  <c r="M33" i="2" s="1"/>
  <c r="L34" i="2"/>
  <c r="M34" i="2" s="1"/>
  <c r="L35" i="2"/>
  <c r="M35" i="2" s="1"/>
  <c r="L36" i="2"/>
  <c r="M36" i="2" s="1"/>
  <c r="L37" i="2"/>
  <c r="M37" i="2" s="1"/>
  <c r="L38" i="2"/>
  <c r="M38" i="2" s="1"/>
  <c r="L39" i="2"/>
  <c r="M39" i="2" s="1"/>
  <c r="L40" i="2"/>
  <c r="M40" i="2" s="1"/>
  <c r="L41" i="2"/>
  <c r="M41" i="2" s="1"/>
  <c r="L42" i="2"/>
  <c r="M42" i="2" s="1"/>
  <c r="L43" i="2"/>
  <c r="M43" i="2" s="1"/>
  <c r="L44" i="2"/>
  <c r="M44" i="2" s="1"/>
  <c r="L45" i="2"/>
  <c r="M45" i="2" s="1"/>
  <c r="L46" i="2"/>
  <c r="M46" i="2" s="1"/>
  <c r="L47" i="2"/>
  <c r="M47" i="2" s="1"/>
  <c r="L48" i="2"/>
  <c r="M48" i="2" s="1"/>
  <c r="L49" i="2"/>
  <c r="M49" i="2" s="1"/>
  <c r="L50" i="2"/>
  <c r="M50" i="2" s="1"/>
  <c r="L51" i="2"/>
  <c r="M51" i="2" s="1"/>
  <c r="L52" i="2"/>
  <c r="M52" i="2" s="1"/>
  <c r="L53" i="2"/>
  <c r="M53" i="2" s="1"/>
  <c r="L54" i="2"/>
  <c r="M54" i="2" s="1"/>
  <c r="L55" i="2"/>
  <c r="M55" i="2" s="1"/>
  <c r="L56" i="2"/>
  <c r="L57" i="2"/>
  <c r="M57" i="2" s="1"/>
  <c r="L58" i="2"/>
  <c r="L59" i="2"/>
  <c r="L60" i="2"/>
  <c r="L61" i="2"/>
  <c r="L62" i="2"/>
  <c r="L63" i="2"/>
  <c r="M63" i="2" s="1"/>
  <c r="L64" i="2"/>
  <c r="L65" i="2"/>
  <c r="L66" i="2"/>
  <c r="L67" i="2"/>
  <c r="L68" i="2"/>
  <c r="L69" i="2"/>
  <c r="L70" i="2"/>
  <c r="L71" i="2"/>
  <c r="L72" i="2"/>
  <c r="M72" i="2" s="1"/>
  <c r="L73" i="2"/>
  <c r="L74" i="2"/>
  <c r="L75" i="2"/>
  <c r="L76" i="2"/>
  <c r="M76" i="2" s="1"/>
  <c r="L77" i="2"/>
  <c r="M77" i="2" s="1"/>
  <c r="L78" i="2"/>
  <c r="L79" i="2"/>
  <c r="M79" i="2" s="1"/>
  <c r="L80" i="2"/>
  <c r="L81" i="2"/>
  <c r="L82" i="2"/>
  <c r="M82" i="2" s="1"/>
  <c r="L83" i="2"/>
  <c r="M83" i="2" s="1"/>
  <c r="L84" i="2"/>
  <c r="M84" i="2" s="1"/>
  <c r="L85" i="2"/>
  <c r="M85" i="2" s="1"/>
  <c r="L86" i="2"/>
  <c r="M86" i="2" s="1"/>
  <c r="L87" i="2"/>
  <c r="M87" i="2" s="1"/>
  <c r="L88" i="2"/>
  <c r="M88" i="2" s="1"/>
  <c r="L89" i="2"/>
  <c r="M89" i="2" s="1"/>
  <c r="L90" i="2"/>
  <c r="M90" i="2" s="1"/>
  <c r="L91" i="2"/>
  <c r="M91" i="2" s="1"/>
  <c r="L92" i="2"/>
  <c r="M92" i="2" s="1"/>
  <c r="L93" i="2"/>
  <c r="M93" i="2" s="1"/>
  <c r="L94" i="2"/>
  <c r="M94" i="2" s="1"/>
  <c r="L95" i="2"/>
  <c r="M95" i="2" s="1"/>
  <c r="L96" i="2"/>
  <c r="M96" i="2" s="1"/>
  <c r="L97" i="2"/>
  <c r="M97" i="2" s="1"/>
  <c r="L98" i="2"/>
  <c r="M98" i="2" s="1"/>
  <c r="L99" i="2"/>
  <c r="M99" i="2" s="1"/>
  <c r="L100" i="2"/>
  <c r="M100" i="2" s="1"/>
  <c r="L101" i="2"/>
  <c r="M101" i="2" s="1"/>
  <c r="L102" i="2"/>
  <c r="M102" i="2" s="1"/>
  <c r="L103" i="2"/>
  <c r="M103" i="2" s="1"/>
  <c r="L104" i="2"/>
  <c r="M104" i="2" s="1"/>
  <c r="L105" i="2"/>
  <c r="M105" i="2" s="1"/>
  <c r="L106" i="2"/>
  <c r="M106" i="2" s="1"/>
  <c r="L107" i="2"/>
  <c r="M107" i="2" s="1"/>
  <c r="L108" i="2"/>
  <c r="M108" i="2" s="1"/>
  <c r="L109" i="2"/>
  <c r="M109" i="2" s="1"/>
  <c r="L110" i="2"/>
  <c r="M110" i="2" s="1"/>
  <c r="L111" i="2"/>
  <c r="M111" i="2" s="1"/>
  <c r="L112" i="2"/>
  <c r="M112" i="2" s="1"/>
  <c r="L113" i="2"/>
  <c r="M113" i="2" s="1"/>
  <c r="L114" i="2"/>
  <c r="M114" i="2" s="1"/>
  <c r="L115" i="2"/>
  <c r="M115" i="2" s="1"/>
  <c r="L116" i="2"/>
  <c r="M116" i="2" s="1"/>
  <c r="L117" i="2"/>
  <c r="M117" i="2" s="1"/>
  <c r="L118" i="2"/>
  <c r="M118" i="2" s="1"/>
  <c r="L119" i="2"/>
  <c r="M119" i="2" s="1"/>
  <c r="L120" i="2"/>
  <c r="M120" i="2" s="1"/>
  <c r="L121" i="2"/>
  <c r="M121" i="2" s="1"/>
  <c r="L122" i="2"/>
  <c r="M122" i="2" s="1"/>
  <c r="L123" i="2"/>
  <c r="M123" i="2" s="1"/>
  <c r="L124" i="2"/>
  <c r="M124" i="2" s="1"/>
  <c r="L125" i="2"/>
  <c r="M125" i="2" s="1"/>
  <c r="L126" i="2"/>
  <c r="M126" i="2" s="1"/>
  <c r="L127" i="2"/>
  <c r="M127" i="2" s="1"/>
  <c r="L128" i="2"/>
  <c r="M128" i="2" s="1"/>
  <c r="L129" i="2"/>
  <c r="M129" i="2" s="1"/>
  <c r="L130" i="2"/>
  <c r="M130" i="2" s="1"/>
  <c r="L131" i="2"/>
  <c r="M131" i="2" s="1"/>
  <c r="L132" i="2"/>
  <c r="M132" i="2" s="1"/>
  <c r="L133" i="2"/>
  <c r="M133" i="2" s="1"/>
  <c r="L134" i="2"/>
  <c r="M134" i="2" s="1"/>
  <c r="L135" i="2"/>
  <c r="M135" i="2" s="1"/>
  <c r="L136" i="2"/>
  <c r="M136" i="2" s="1"/>
  <c r="L137" i="2"/>
  <c r="M137" i="2" s="1"/>
  <c r="L138" i="2"/>
  <c r="M138" i="2" s="1"/>
  <c r="L139" i="2"/>
  <c r="M139" i="2" s="1"/>
  <c r="L140" i="2"/>
  <c r="M140" i="2" s="1"/>
  <c r="L141" i="2"/>
  <c r="M141" i="2" s="1"/>
  <c r="L142" i="2"/>
  <c r="M142" i="2" s="1"/>
  <c r="L143" i="2"/>
  <c r="M143" i="2" s="1"/>
  <c r="L144" i="2"/>
  <c r="M144" i="2" s="1"/>
  <c r="L145" i="2"/>
  <c r="M145" i="2" s="1"/>
  <c r="L146" i="2"/>
  <c r="M146" i="2" s="1"/>
  <c r="L147" i="2"/>
  <c r="M147" i="2" s="1"/>
  <c r="L148" i="2"/>
  <c r="M148" i="2" s="1"/>
  <c r="L149" i="2"/>
  <c r="M149" i="2" s="1"/>
  <c r="L150" i="2"/>
  <c r="M150" i="2" s="1"/>
  <c r="L151" i="2"/>
  <c r="M151" i="2" s="1"/>
  <c r="L152" i="2"/>
  <c r="M152" i="2" s="1"/>
  <c r="L153" i="2"/>
  <c r="M153" i="2" s="1"/>
  <c r="L154" i="2"/>
  <c r="M154" i="2" s="1"/>
  <c r="L155" i="2"/>
  <c r="M155" i="2" s="1"/>
  <c r="L156" i="2"/>
  <c r="M156" i="2" s="1"/>
  <c r="L157" i="2"/>
  <c r="M157" i="2" s="1"/>
  <c r="L158" i="2"/>
  <c r="M158" i="2" s="1"/>
  <c r="L159" i="2"/>
  <c r="M159" i="2" s="1"/>
  <c r="L160" i="2"/>
  <c r="M160" i="2" s="1"/>
  <c r="L161" i="2"/>
  <c r="M161" i="2" s="1"/>
  <c r="L162" i="2"/>
  <c r="M162" i="2" s="1"/>
  <c r="L163" i="2"/>
  <c r="M163" i="2" s="1"/>
  <c r="L164" i="2"/>
  <c r="M164" i="2" s="1"/>
  <c r="L165" i="2"/>
  <c r="M165" i="2" s="1"/>
  <c r="L166" i="2"/>
  <c r="M166" i="2" s="1"/>
  <c r="L167" i="2"/>
  <c r="M167" i="2" s="1"/>
  <c r="L168" i="2"/>
  <c r="M168" i="2" s="1"/>
  <c r="L169" i="2"/>
  <c r="M169" i="2" s="1"/>
  <c r="L170" i="2"/>
  <c r="M170" i="2" s="1"/>
  <c r="L171" i="2"/>
  <c r="M171" i="2" s="1"/>
  <c r="L172" i="2"/>
  <c r="M172" i="2" s="1"/>
  <c r="L173" i="2"/>
  <c r="M173" i="2" s="1"/>
  <c r="L174" i="2"/>
  <c r="M174" i="2" s="1"/>
  <c r="L175" i="2"/>
  <c r="M175" i="2" s="1"/>
  <c r="L176" i="2"/>
  <c r="M176" i="2" s="1"/>
  <c r="L177" i="2"/>
  <c r="M177" i="2" s="1"/>
  <c r="L178" i="2"/>
  <c r="M178" i="2" s="1"/>
  <c r="L179" i="2"/>
  <c r="M179" i="2" s="1"/>
  <c r="L180" i="2"/>
  <c r="M180" i="2" s="1"/>
  <c r="L181" i="2"/>
  <c r="M181" i="2" s="1"/>
  <c r="L182" i="2"/>
  <c r="M182" i="2" s="1"/>
  <c r="L183" i="2"/>
  <c r="M183" i="2" s="1"/>
  <c r="L184" i="2"/>
  <c r="M184" i="2" s="1"/>
  <c r="L185" i="2"/>
  <c r="M185" i="2" s="1"/>
  <c r="L186" i="2"/>
  <c r="M186" i="2" s="1"/>
  <c r="L187" i="2"/>
  <c r="M187" i="2" s="1"/>
  <c r="L188" i="2"/>
  <c r="M188" i="2" s="1"/>
  <c r="L189" i="2"/>
  <c r="M189" i="2" s="1"/>
  <c r="L190" i="2"/>
  <c r="M190" i="2" s="1"/>
  <c r="L191" i="2"/>
  <c r="M191" i="2" s="1"/>
  <c r="L192" i="2"/>
  <c r="M192" i="2" s="1"/>
  <c r="L193" i="2"/>
  <c r="M193" i="2" s="1"/>
  <c r="L194" i="2"/>
  <c r="M194" i="2" s="1"/>
  <c r="L195" i="2"/>
  <c r="M195" i="2" s="1"/>
  <c r="L196" i="2"/>
  <c r="M196" i="2" s="1"/>
  <c r="L197" i="2"/>
  <c r="M197" i="2" s="1"/>
  <c r="L198" i="2"/>
  <c r="M198" i="2" s="1"/>
  <c r="L199" i="2"/>
  <c r="M199" i="2" s="1"/>
  <c r="L200" i="2"/>
  <c r="M200" i="2" s="1"/>
  <c r="L201" i="2"/>
  <c r="M201" i="2" s="1"/>
  <c r="L202" i="2"/>
  <c r="M202" i="2" s="1"/>
  <c r="L203" i="2"/>
  <c r="M203" i="2" s="1"/>
  <c r="L204" i="2"/>
  <c r="M204" i="2" s="1"/>
  <c r="L205" i="2"/>
  <c r="M205" i="2" s="1"/>
  <c r="L206" i="2"/>
  <c r="M206" i="2" s="1"/>
  <c r="L207" i="2"/>
  <c r="M207" i="2" s="1"/>
  <c r="L208" i="2"/>
  <c r="M208" i="2" s="1"/>
  <c r="L209" i="2"/>
  <c r="M209" i="2" s="1"/>
  <c r="L210" i="2"/>
  <c r="M210" i="2" s="1"/>
  <c r="L211" i="2"/>
  <c r="M211" i="2" s="1"/>
  <c r="L212" i="2"/>
  <c r="M212" i="2" s="1"/>
  <c r="L213" i="2"/>
  <c r="M213" i="2" s="1"/>
  <c r="L214" i="2"/>
  <c r="M214" i="2" s="1"/>
  <c r="L215" i="2"/>
  <c r="M215" i="2" s="1"/>
  <c r="L216" i="2"/>
  <c r="M216" i="2" s="1"/>
  <c r="L217" i="2"/>
  <c r="M217" i="2" s="1"/>
  <c r="L218" i="2"/>
  <c r="M218" i="2" s="1"/>
  <c r="L219" i="2"/>
  <c r="M219" i="2" s="1"/>
  <c r="L220" i="2"/>
  <c r="M220" i="2" s="1"/>
  <c r="L221" i="2"/>
  <c r="M221" i="2" s="1"/>
  <c r="L222" i="2"/>
  <c r="M222" i="2" s="1"/>
  <c r="L223" i="2"/>
  <c r="M223" i="2" s="1"/>
  <c r="L224" i="2"/>
  <c r="M224" i="2" s="1"/>
  <c r="L225" i="2"/>
  <c r="M225" i="2" s="1"/>
  <c r="L226" i="2"/>
  <c r="M226" i="2" s="1"/>
  <c r="L227" i="2"/>
  <c r="M227" i="2" s="1"/>
  <c r="L228" i="2"/>
  <c r="M228" i="2" s="1"/>
  <c r="L229" i="2"/>
  <c r="M229" i="2" s="1"/>
  <c r="L230" i="2"/>
  <c r="M230" i="2" s="1"/>
  <c r="L231" i="2"/>
  <c r="M231" i="2" s="1"/>
  <c r="L232" i="2"/>
  <c r="M232" i="2" s="1"/>
  <c r="L233" i="2"/>
  <c r="M233" i="2" s="1"/>
  <c r="L234" i="2"/>
  <c r="M234" i="2" s="1"/>
  <c r="L235" i="2"/>
  <c r="M235" i="2" s="1"/>
  <c r="L236" i="2"/>
  <c r="M236" i="2" s="1"/>
  <c r="L237" i="2"/>
  <c r="M237" i="2" s="1"/>
  <c r="L238" i="2"/>
  <c r="M238" i="2" s="1"/>
  <c r="L239" i="2"/>
  <c r="M239" i="2" s="1"/>
  <c r="L240" i="2"/>
  <c r="M240" i="2" s="1"/>
  <c r="L241" i="2"/>
  <c r="M241" i="2" s="1"/>
  <c r="L242" i="2"/>
  <c r="M242" i="2" s="1"/>
  <c r="L243" i="2"/>
  <c r="M243" i="2" s="1"/>
  <c r="L244" i="2"/>
  <c r="M244" i="2" s="1"/>
  <c r="L245" i="2"/>
  <c r="M245" i="2" s="1"/>
  <c r="L246" i="2"/>
  <c r="M246" i="2" s="1"/>
  <c r="L247" i="2"/>
  <c r="M247" i="2" s="1"/>
  <c r="L248" i="2"/>
  <c r="M248" i="2" s="1"/>
  <c r="L249" i="2"/>
  <c r="M249" i="2" s="1"/>
  <c r="L250" i="2"/>
  <c r="M250" i="2" s="1"/>
  <c r="L251" i="2"/>
  <c r="M251" i="2" s="1"/>
  <c r="L252" i="2"/>
  <c r="M252" i="2" s="1"/>
  <c r="L253" i="2"/>
  <c r="M253" i="2" s="1"/>
  <c r="L254" i="2"/>
  <c r="M254" i="2" s="1"/>
  <c r="L255" i="2"/>
  <c r="M255" i="2" s="1"/>
  <c r="L256" i="2"/>
  <c r="M256" i="2" s="1"/>
  <c r="L257" i="2"/>
  <c r="M257" i="2" s="1"/>
  <c r="L258" i="2"/>
  <c r="M258" i="2" s="1"/>
  <c r="L259" i="2"/>
  <c r="M259" i="2" s="1"/>
  <c r="L260" i="2"/>
  <c r="M260" i="2" s="1"/>
  <c r="L261" i="2"/>
  <c r="M261" i="2" s="1"/>
  <c r="L262" i="2"/>
  <c r="M262" i="2" s="1"/>
  <c r="L263" i="2"/>
  <c r="M263" i="2" s="1"/>
  <c r="L264" i="2"/>
  <c r="M264" i="2" s="1"/>
  <c r="L265" i="2"/>
  <c r="M265" i="2" s="1"/>
  <c r="L266" i="2"/>
  <c r="M266" i="2" s="1"/>
  <c r="L267" i="2"/>
  <c r="M267" i="2" s="1"/>
  <c r="L268" i="2"/>
  <c r="M268" i="2" s="1"/>
  <c r="L269" i="2"/>
  <c r="M269" i="2" s="1"/>
  <c r="L270" i="2"/>
  <c r="M270" i="2" s="1"/>
  <c r="L271" i="2"/>
  <c r="M271" i="2" s="1"/>
  <c r="L272" i="2"/>
  <c r="M272" i="2" s="1"/>
  <c r="L273" i="2"/>
  <c r="M273" i="2" s="1"/>
  <c r="L274" i="2"/>
  <c r="M274" i="2" s="1"/>
  <c r="L275" i="2"/>
  <c r="M275" i="2" s="1"/>
  <c r="L276" i="2"/>
  <c r="M276" i="2" s="1"/>
  <c r="L277" i="2"/>
  <c r="M277" i="2" s="1"/>
  <c r="L278" i="2"/>
  <c r="M278" i="2" s="1"/>
  <c r="L279" i="2"/>
  <c r="M279" i="2" s="1"/>
  <c r="L280" i="2"/>
  <c r="M280" i="2" s="1"/>
  <c r="L281" i="2"/>
  <c r="M281" i="2" s="1"/>
  <c r="L282" i="2"/>
  <c r="M282" i="2" s="1"/>
  <c r="L283" i="2"/>
  <c r="M283" i="2" s="1"/>
  <c r="L284" i="2"/>
  <c r="M284" i="2" s="1"/>
  <c r="L285" i="2"/>
  <c r="M285" i="2" s="1"/>
  <c r="L286" i="2"/>
  <c r="M286" i="2" s="1"/>
  <c r="L287" i="2"/>
  <c r="M287" i="2" s="1"/>
  <c r="L288" i="2"/>
  <c r="M288" i="2" s="1"/>
  <c r="L289" i="2"/>
  <c r="M289" i="2" s="1"/>
  <c r="L290" i="2"/>
  <c r="M290" i="2" s="1"/>
  <c r="L291" i="2"/>
  <c r="M291" i="2" s="1"/>
  <c r="L292" i="2"/>
  <c r="M292" i="2" s="1"/>
  <c r="L293" i="2"/>
  <c r="M293" i="2" s="1"/>
  <c r="L294" i="2"/>
  <c r="M294" i="2" s="1"/>
  <c r="L295" i="2"/>
  <c r="M295" i="2" s="1"/>
  <c r="L296" i="2"/>
  <c r="M296" i="2" s="1"/>
  <c r="L297" i="2"/>
  <c r="M297" i="2" s="1"/>
  <c r="L298" i="2"/>
  <c r="M298" i="2" s="1"/>
  <c r="L299" i="2"/>
  <c r="M299" i="2" s="1"/>
  <c r="L300" i="2"/>
  <c r="M300" i="2" s="1"/>
  <c r="L301" i="2"/>
  <c r="M301" i="2" s="1"/>
  <c r="L302" i="2"/>
  <c r="M302" i="2" s="1"/>
  <c r="L303" i="2"/>
  <c r="M303" i="2" s="1"/>
  <c r="L304" i="2"/>
  <c r="M304" i="2" s="1"/>
  <c r="L305" i="2"/>
  <c r="M305" i="2" s="1"/>
  <c r="L306" i="2"/>
  <c r="M306" i="2" s="1"/>
  <c r="L307" i="2"/>
  <c r="M307" i="2" s="1"/>
  <c r="L308" i="2"/>
  <c r="M308" i="2" s="1"/>
  <c r="L309" i="2"/>
  <c r="M309" i="2" s="1"/>
  <c r="L310" i="2"/>
  <c r="M310" i="2" s="1"/>
  <c r="L311" i="2"/>
  <c r="M311" i="2" s="1"/>
  <c r="L312" i="2"/>
  <c r="M312" i="2" s="1"/>
  <c r="L313" i="2"/>
  <c r="M313" i="2" s="1"/>
  <c r="L314" i="2"/>
  <c r="M314" i="2" s="1"/>
  <c r="L315" i="2"/>
  <c r="M315" i="2" s="1"/>
  <c r="L316" i="2"/>
  <c r="M316" i="2" s="1"/>
  <c r="L317" i="2"/>
  <c r="M317" i="2" s="1"/>
  <c r="L318" i="2"/>
  <c r="M318" i="2" s="1"/>
  <c r="L319" i="2"/>
  <c r="M319" i="2" s="1"/>
  <c r="L320" i="2"/>
  <c r="M320" i="2" s="1"/>
  <c r="L321" i="2"/>
  <c r="M321" i="2" s="1"/>
  <c r="L322" i="2"/>
  <c r="M322" i="2" s="1"/>
  <c r="L323" i="2"/>
  <c r="M323" i="2" s="1"/>
  <c r="L324" i="2"/>
  <c r="M324" i="2" s="1"/>
  <c r="L325" i="2"/>
  <c r="M325" i="2" s="1"/>
  <c r="L326" i="2"/>
  <c r="M326" i="2" s="1"/>
  <c r="L327" i="2"/>
  <c r="M327" i="2" s="1"/>
  <c r="L328" i="2"/>
  <c r="M328" i="2" s="1"/>
  <c r="L329" i="2"/>
  <c r="M329" i="2" s="1"/>
  <c r="L330" i="2"/>
  <c r="M330" i="2" s="1"/>
  <c r="L331" i="2"/>
  <c r="M331" i="2" s="1"/>
  <c r="L332" i="2"/>
  <c r="M332" i="2" s="1"/>
  <c r="L333" i="2"/>
  <c r="M333" i="2" s="1"/>
  <c r="L334" i="2"/>
  <c r="M334" i="2" s="1"/>
  <c r="L335" i="2"/>
  <c r="M335" i="2" s="1"/>
  <c r="L336" i="2"/>
  <c r="M336" i="2" s="1"/>
  <c r="L337" i="2"/>
  <c r="M337" i="2" s="1"/>
  <c r="L338" i="2"/>
  <c r="M338" i="2" s="1"/>
  <c r="L339" i="2"/>
  <c r="M339" i="2" s="1"/>
  <c r="L340" i="2"/>
  <c r="M340" i="2" s="1"/>
  <c r="L341" i="2"/>
  <c r="M341" i="2" s="1"/>
  <c r="L342" i="2"/>
  <c r="M342" i="2" s="1"/>
  <c r="L343" i="2"/>
  <c r="M343" i="2" s="1"/>
  <c r="L344" i="2"/>
  <c r="M344" i="2" s="1"/>
  <c r="L345" i="2"/>
  <c r="M345" i="2" s="1"/>
  <c r="L346" i="2"/>
  <c r="L347" i="2"/>
  <c r="M347" i="2" s="1"/>
  <c r="L348" i="2"/>
  <c r="M348" i="2" s="1"/>
  <c r="L349" i="2"/>
  <c r="M349" i="2" s="1"/>
  <c r="L350" i="2"/>
  <c r="M350" i="2" s="1"/>
  <c r="L351" i="2"/>
  <c r="M351" i="2" s="1"/>
  <c r="L352" i="2"/>
  <c r="M352" i="2" s="1"/>
  <c r="L353" i="2"/>
  <c r="M353" i="2" s="1"/>
  <c r="L354" i="2"/>
  <c r="M354" i="2" s="1"/>
  <c r="L355" i="2"/>
  <c r="M355" i="2" s="1"/>
  <c r="L356" i="2"/>
  <c r="M356" i="2" s="1"/>
  <c r="L357" i="2"/>
  <c r="M357" i="2" s="1"/>
  <c r="L358" i="2"/>
  <c r="M358" i="2" s="1"/>
  <c r="L359" i="2"/>
  <c r="M359" i="2" s="1"/>
  <c r="L360" i="2"/>
  <c r="M360" i="2" s="1"/>
  <c r="L361" i="2"/>
  <c r="M361" i="2" s="1"/>
  <c r="L362" i="2"/>
  <c r="M362" i="2" s="1"/>
  <c r="L363" i="2"/>
  <c r="M363" i="2" s="1"/>
  <c r="L364" i="2"/>
  <c r="M364" i="2" s="1"/>
  <c r="L365" i="2"/>
  <c r="M365" i="2" s="1"/>
  <c r="L366" i="2"/>
  <c r="M366" i="2" s="1"/>
  <c r="L367" i="2"/>
  <c r="M367" i="2" s="1"/>
  <c r="L368" i="2"/>
  <c r="M368" i="2" s="1"/>
  <c r="L369" i="2"/>
  <c r="L370" i="2"/>
  <c r="L371" i="2"/>
  <c r="L372" i="2"/>
  <c r="L373" i="2"/>
  <c r="L374" i="2"/>
  <c r="L375" i="2"/>
  <c r="L376" i="2"/>
  <c r="L377" i="2"/>
  <c r="L378" i="2"/>
  <c r="M378" i="2" s="1"/>
  <c r="L379" i="2"/>
  <c r="L380" i="2"/>
  <c r="L381" i="2"/>
  <c r="L382" i="2"/>
  <c r="L383" i="2"/>
  <c r="M383" i="2" s="1"/>
  <c r="L384" i="2"/>
  <c r="L385" i="2"/>
  <c r="L386" i="2"/>
  <c r="L387" i="2"/>
  <c r="L388" i="2"/>
  <c r="M388" i="2" s="1"/>
  <c r="L389" i="2"/>
  <c r="L390" i="2"/>
  <c r="L391" i="2"/>
  <c r="M391" i="2" s="1"/>
  <c r="L392" i="2"/>
  <c r="M392" i="2" s="1"/>
  <c r="L393" i="2"/>
  <c r="M393" i="2" s="1"/>
  <c r="L394" i="2"/>
  <c r="L395" i="2"/>
  <c r="L396" i="2"/>
  <c r="M396" i="2" s="1"/>
  <c r="L397" i="2"/>
  <c r="M397" i="2" s="1"/>
  <c r="L398" i="2"/>
  <c r="M398" i="2" s="1"/>
  <c r="L399" i="2"/>
  <c r="M399" i="2" s="1"/>
  <c r="L400" i="2"/>
  <c r="M400" i="2" s="1"/>
  <c r="L401" i="2"/>
  <c r="M401" i="2" s="1"/>
  <c r="L402" i="2"/>
  <c r="M402" i="2" s="1"/>
  <c r="L403" i="2"/>
  <c r="M403" i="2" s="1"/>
  <c r="L404" i="2"/>
  <c r="M404" i="2" s="1"/>
  <c r="L405" i="2"/>
  <c r="M405" i="2" s="1"/>
  <c r="L406" i="2"/>
  <c r="M406" i="2" s="1"/>
  <c r="L407" i="2"/>
  <c r="M407" i="2" s="1"/>
  <c r="L408" i="2"/>
  <c r="M408" i="2" s="1"/>
  <c r="L409" i="2"/>
  <c r="M409" i="2" s="1"/>
  <c r="L410" i="2"/>
  <c r="M410" i="2" s="1"/>
  <c r="L411" i="2"/>
  <c r="M411" i="2" s="1"/>
  <c r="L412" i="2"/>
  <c r="M412" i="2" s="1"/>
  <c r="L413" i="2"/>
  <c r="M413" i="2" s="1"/>
  <c r="L414" i="2"/>
  <c r="M414" i="2" s="1"/>
  <c r="L415" i="2"/>
  <c r="M415" i="2" s="1"/>
  <c r="L416" i="2"/>
  <c r="M416" i="2" s="1"/>
  <c r="L417" i="2"/>
  <c r="M417" i="2" s="1"/>
  <c r="L418" i="2"/>
  <c r="M418" i="2" s="1"/>
  <c r="L419" i="2"/>
  <c r="M419" i="2" s="1"/>
  <c r="L420" i="2"/>
  <c r="M420" i="2" s="1"/>
  <c r="L421" i="2"/>
  <c r="M421" i="2" s="1"/>
  <c r="L422" i="2"/>
  <c r="M422" i="2" s="1"/>
  <c r="L423" i="2"/>
  <c r="M423" i="2" s="1"/>
  <c r="L424" i="2"/>
  <c r="M424" i="2" s="1"/>
  <c r="L425" i="2"/>
  <c r="M425" i="2" s="1"/>
  <c r="L426" i="2"/>
  <c r="M426" i="2" s="1"/>
  <c r="L427" i="2"/>
  <c r="M427" i="2" s="1"/>
  <c r="L428" i="2"/>
  <c r="M428" i="2" s="1"/>
  <c r="L429" i="2"/>
  <c r="M429" i="2" s="1"/>
  <c r="L430" i="2"/>
  <c r="M430" i="2" s="1"/>
  <c r="L431" i="2"/>
  <c r="M431" i="2" s="1"/>
  <c r="L432" i="2"/>
  <c r="M432" i="2" s="1"/>
  <c r="L433" i="2"/>
  <c r="M433" i="2" s="1"/>
  <c r="L434" i="2"/>
  <c r="M434" i="2" s="1"/>
  <c r="L435" i="2"/>
  <c r="M435" i="2" s="1"/>
  <c r="L436" i="2"/>
  <c r="M436" i="2" s="1"/>
  <c r="L437" i="2"/>
  <c r="M437" i="2" s="1"/>
  <c r="L438" i="2"/>
  <c r="M438" i="2" s="1"/>
  <c r="L439" i="2"/>
  <c r="M439" i="2" s="1"/>
  <c r="L440" i="2"/>
  <c r="M440" i="2" s="1"/>
  <c r="L441" i="2"/>
  <c r="M441" i="2" s="1"/>
  <c r="L442" i="2"/>
  <c r="M442" i="2" s="1"/>
  <c r="L443" i="2"/>
  <c r="M443" i="2" s="1"/>
  <c r="L444" i="2"/>
  <c r="M444" i="2" s="1"/>
  <c r="L445" i="2"/>
  <c r="M445" i="2" s="1"/>
  <c r="L446" i="2"/>
  <c r="M446" i="2" s="1"/>
  <c r="L447" i="2"/>
  <c r="M447" i="2" s="1"/>
  <c r="L448" i="2"/>
  <c r="M448" i="2" s="1"/>
  <c r="L449" i="2"/>
  <c r="M449" i="2" s="1"/>
  <c r="L450" i="2"/>
  <c r="M450" i="2" s="1"/>
  <c r="L451" i="2"/>
  <c r="M451" i="2" s="1"/>
  <c r="L452" i="2"/>
  <c r="M452" i="2" s="1"/>
  <c r="L453" i="2"/>
  <c r="M453" i="2" s="1"/>
  <c r="L454" i="2"/>
  <c r="M454" i="2" s="1"/>
  <c r="L455" i="2"/>
  <c r="M455" i="2" s="1"/>
  <c r="L456" i="2"/>
  <c r="M456" i="2" s="1"/>
  <c r="L457" i="2"/>
  <c r="M457" i="2" s="1"/>
  <c r="L458" i="2"/>
  <c r="M458" i="2" s="1"/>
  <c r="L459" i="2"/>
  <c r="M459" i="2" s="1"/>
  <c r="L460" i="2"/>
  <c r="M460" i="2" s="1"/>
  <c r="L461" i="2"/>
  <c r="M461" i="2" s="1"/>
  <c r="L462" i="2"/>
  <c r="M462" i="2" s="1"/>
  <c r="L463" i="2"/>
  <c r="M463" i="2" s="1"/>
  <c r="L464" i="2"/>
  <c r="M464" i="2" s="1"/>
  <c r="L465" i="2"/>
  <c r="M465" i="2" s="1"/>
  <c r="L466" i="2"/>
  <c r="M466" i="2" s="1"/>
  <c r="L467" i="2"/>
  <c r="M467" i="2" s="1"/>
  <c r="L468" i="2"/>
  <c r="M468" i="2" s="1"/>
  <c r="L469" i="2"/>
  <c r="M469" i="2" s="1"/>
  <c r="L470" i="2"/>
  <c r="M470" i="2" s="1"/>
  <c r="L471" i="2"/>
  <c r="M471" i="2" s="1"/>
  <c r="L472" i="2"/>
  <c r="M472" i="2" s="1"/>
  <c r="L473" i="2"/>
  <c r="M473" i="2" s="1"/>
  <c r="L474" i="2"/>
  <c r="M474" i="2" s="1"/>
  <c r="L475" i="2"/>
  <c r="M475" i="2" s="1"/>
  <c r="L476" i="2"/>
  <c r="M476" i="2" s="1"/>
  <c r="L477" i="2"/>
  <c r="M477" i="2" s="1"/>
  <c r="L478" i="2"/>
  <c r="M478" i="2" s="1"/>
  <c r="L479" i="2"/>
  <c r="M479" i="2" s="1"/>
  <c r="L480" i="2"/>
  <c r="M480" i="2" s="1"/>
  <c r="L481" i="2"/>
  <c r="M481" i="2" s="1"/>
  <c r="L482" i="2"/>
  <c r="L483" i="2"/>
  <c r="M483" i="2" s="1"/>
  <c r="L484" i="2"/>
  <c r="M484" i="2" s="1"/>
  <c r="L485" i="2"/>
  <c r="M485" i="2" s="1"/>
  <c r="L486" i="2"/>
  <c r="M486" i="2" s="1"/>
  <c r="L487" i="2"/>
  <c r="M487" i="2" s="1"/>
  <c r="L488" i="2"/>
  <c r="M488" i="2" s="1"/>
  <c r="L489" i="2"/>
  <c r="M489" i="2" s="1"/>
  <c r="L490" i="2"/>
  <c r="M490" i="2" s="1"/>
  <c r="L491" i="2"/>
  <c r="M491" i="2" s="1"/>
  <c r="L492" i="2"/>
  <c r="M492" i="2" s="1"/>
  <c r="L493" i="2"/>
  <c r="M493" i="2" s="1"/>
  <c r="L494" i="2"/>
  <c r="M494" i="2" s="1"/>
  <c r="L495" i="2"/>
  <c r="L496" i="2"/>
  <c r="M496" i="2" s="1"/>
  <c r="L497" i="2"/>
  <c r="M497" i="2" s="1"/>
  <c r="L498" i="2"/>
  <c r="M498" i="2" s="1"/>
  <c r="L499" i="2"/>
  <c r="M499" i="2" s="1"/>
  <c r="L500" i="2"/>
  <c r="M500" i="2" s="1"/>
  <c r="L501" i="2"/>
  <c r="M501" i="2" s="1"/>
  <c r="L502" i="2"/>
  <c r="M502" i="2" s="1"/>
  <c r="L503" i="2"/>
  <c r="L504" i="2"/>
  <c r="M504" i="2" s="1"/>
  <c r="L505" i="2"/>
  <c r="M505" i="2" s="1"/>
  <c r="L506" i="2"/>
  <c r="M506" i="2" s="1"/>
  <c r="L507" i="2"/>
  <c r="M507" i="2" s="1"/>
  <c r="L508" i="2"/>
  <c r="M508" i="2" s="1"/>
  <c r="L509" i="2"/>
  <c r="M509" i="2" s="1"/>
  <c r="L510" i="2"/>
  <c r="M510" i="2" s="1"/>
  <c r="L511" i="2"/>
  <c r="M511" i="2" s="1"/>
  <c r="L512" i="2"/>
  <c r="M512" i="2" s="1"/>
  <c r="L513" i="2"/>
  <c r="M513" i="2" s="1"/>
  <c r="L514" i="2"/>
  <c r="M514" i="2" s="1"/>
  <c r="L515" i="2"/>
  <c r="M515" i="2" s="1"/>
  <c r="L516" i="2"/>
  <c r="M516" i="2" s="1"/>
  <c r="L517" i="2"/>
  <c r="M517" i="2" s="1"/>
  <c r="L518" i="2"/>
  <c r="M518" i="2" s="1"/>
  <c r="L519" i="2"/>
  <c r="M519" i="2" s="1"/>
  <c r="L520" i="2"/>
  <c r="M520" i="2" s="1"/>
  <c r="L521" i="2"/>
  <c r="M521" i="2" s="1"/>
  <c r="L522" i="2"/>
  <c r="M522" i="2" s="1"/>
  <c r="L523" i="2"/>
  <c r="M523" i="2" s="1"/>
  <c r="L524" i="2"/>
  <c r="M524" i="2" s="1"/>
  <c r="L525" i="2"/>
  <c r="M525" i="2" s="1"/>
  <c r="L526" i="2"/>
  <c r="L527" i="2"/>
  <c r="M527" i="2" s="1"/>
  <c r="L528" i="2"/>
  <c r="M528" i="2" s="1"/>
  <c r="L529" i="2"/>
  <c r="M529" i="2" s="1"/>
  <c r="L530" i="2"/>
  <c r="M530" i="2" s="1"/>
  <c r="L531" i="2"/>
  <c r="M531" i="2" s="1"/>
  <c r="L532" i="2"/>
  <c r="M532" i="2" s="1"/>
  <c r="L533" i="2"/>
  <c r="M533" i="2" s="1"/>
  <c r="L534" i="2"/>
  <c r="M534" i="2" s="1"/>
  <c r="L535" i="2"/>
  <c r="M535" i="2" s="1"/>
  <c r="L536" i="2"/>
  <c r="M536" i="2" s="1"/>
  <c r="L537" i="2"/>
  <c r="M537" i="2" s="1"/>
  <c r="L538" i="2"/>
  <c r="M538" i="2" s="1"/>
  <c r="L539" i="2"/>
  <c r="M539" i="2" s="1"/>
  <c r="L540" i="2"/>
  <c r="M540" i="2" s="1"/>
  <c r="L541" i="2"/>
  <c r="M541" i="2" s="1"/>
  <c r="L542" i="2"/>
  <c r="M542" i="2" s="1"/>
  <c r="L543" i="2"/>
  <c r="M543" i="2" s="1"/>
  <c r="L544" i="2"/>
  <c r="M544" i="2" s="1"/>
  <c r="L545" i="2"/>
  <c r="M545" i="2" s="1"/>
  <c r="L546" i="2"/>
  <c r="M546" i="2" s="1"/>
  <c r="L547" i="2"/>
  <c r="M547" i="2" s="1"/>
  <c r="L548" i="2"/>
  <c r="M548" i="2" s="1"/>
  <c r="L549" i="2"/>
  <c r="M549" i="2" s="1"/>
  <c r="L550" i="2"/>
  <c r="M550" i="2" s="1"/>
  <c r="L551" i="2"/>
  <c r="M551" i="2" s="1"/>
  <c r="L552" i="2"/>
  <c r="M552" i="2" s="1"/>
  <c r="L553" i="2"/>
  <c r="M553" i="2" s="1"/>
  <c r="L554" i="2"/>
  <c r="M554" i="2" s="1"/>
  <c r="L555" i="2"/>
  <c r="M555" i="2" s="1"/>
  <c r="L556" i="2"/>
  <c r="M556" i="2" s="1"/>
  <c r="L557" i="2"/>
  <c r="M557" i="2" s="1"/>
  <c r="L558" i="2"/>
  <c r="M558" i="2" s="1"/>
  <c r="L559" i="2"/>
  <c r="M559" i="2" s="1"/>
  <c r="L560" i="2"/>
  <c r="M560" i="2" s="1"/>
  <c r="L561" i="2"/>
  <c r="M561" i="2" s="1"/>
  <c r="L562" i="2"/>
  <c r="M562" i="2" s="1"/>
  <c r="L563" i="2"/>
  <c r="M563" i="2" s="1"/>
  <c r="L564" i="2"/>
  <c r="M564" i="2" s="1"/>
  <c r="L565" i="2"/>
  <c r="M565" i="2" s="1"/>
  <c r="L566" i="2"/>
  <c r="M566" i="2" s="1"/>
  <c r="L567" i="2"/>
  <c r="M567" i="2" s="1"/>
  <c r="L568" i="2"/>
  <c r="M568" i="2" s="1"/>
  <c r="L569" i="2"/>
  <c r="M569" i="2" s="1"/>
  <c r="L570" i="2"/>
  <c r="M570" i="2" s="1"/>
  <c r="L571" i="2"/>
  <c r="M571" i="2" s="1"/>
  <c r="L572" i="2"/>
  <c r="M572" i="2" s="1"/>
  <c r="L573" i="2"/>
  <c r="M573" i="2" s="1"/>
  <c r="L574" i="2"/>
  <c r="M574" i="2" s="1"/>
  <c r="L575" i="2"/>
  <c r="M575" i="2" s="1"/>
  <c r="L576" i="2"/>
  <c r="M576" i="2" s="1"/>
  <c r="L577" i="2"/>
  <c r="M577" i="2" s="1"/>
  <c r="L578" i="2"/>
  <c r="M578" i="2" s="1"/>
  <c r="L579" i="2"/>
  <c r="M579" i="2" s="1"/>
  <c r="L580" i="2"/>
  <c r="M580" i="2" s="1"/>
  <c r="L581" i="2"/>
  <c r="M581" i="2" s="1"/>
  <c r="L582" i="2"/>
  <c r="M582" i="2" s="1"/>
  <c r="L583" i="2"/>
  <c r="M583" i="2" s="1"/>
  <c r="L584" i="2"/>
  <c r="M584" i="2" s="1"/>
  <c r="L585" i="2"/>
  <c r="M585" i="2" s="1"/>
  <c r="L586" i="2"/>
  <c r="M586" i="2" s="1"/>
  <c r="L587" i="2"/>
  <c r="M587" i="2" s="1"/>
  <c r="L588" i="2"/>
  <c r="M588" i="2" s="1"/>
  <c r="L589" i="2"/>
  <c r="M589" i="2" s="1"/>
  <c r="L590" i="2"/>
  <c r="M590" i="2" s="1"/>
  <c r="L591" i="2"/>
  <c r="M591" i="2" s="1"/>
  <c r="L592" i="2"/>
  <c r="M592" i="2" s="1"/>
  <c r="L593" i="2"/>
  <c r="M593" i="2" s="1"/>
  <c r="L594" i="2"/>
  <c r="M594" i="2" s="1"/>
  <c r="L595" i="2"/>
  <c r="M595" i="2" s="1"/>
  <c r="L596" i="2"/>
  <c r="M596" i="2" s="1"/>
  <c r="L597" i="2"/>
  <c r="M597" i="2" s="1"/>
  <c r="L598" i="2"/>
  <c r="M598" i="2" s="1"/>
  <c r="L599" i="2"/>
  <c r="M599" i="2" s="1"/>
  <c r="L600" i="2"/>
  <c r="M600" i="2" s="1"/>
  <c r="L601" i="2"/>
  <c r="M601" i="2" s="1"/>
  <c r="L602" i="2"/>
  <c r="M602" i="2" s="1"/>
  <c r="L603" i="2"/>
  <c r="M603" i="2" s="1"/>
  <c r="L604" i="2"/>
  <c r="M604" i="2" s="1"/>
  <c r="L605" i="2"/>
  <c r="M605" i="2" s="1"/>
  <c r="L606" i="2"/>
  <c r="M606" i="2" s="1"/>
  <c r="L607" i="2"/>
  <c r="M607" i="2" s="1"/>
  <c r="L608" i="2"/>
  <c r="M608" i="2" s="1"/>
  <c r="L609" i="2"/>
  <c r="M609" i="2" s="1"/>
  <c r="L610" i="2"/>
  <c r="M610" i="2" s="1"/>
  <c r="L611" i="2"/>
  <c r="M611" i="2" s="1"/>
  <c r="L612" i="2"/>
  <c r="M612" i="2" s="1"/>
  <c r="L613" i="2"/>
  <c r="M613" i="2" s="1"/>
  <c r="L614" i="2"/>
  <c r="M614" i="2" s="1"/>
  <c r="L615" i="2"/>
  <c r="M615" i="2" s="1"/>
  <c r="L616" i="2"/>
  <c r="M616" i="2" s="1"/>
  <c r="L617" i="2"/>
  <c r="M617" i="2" s="1"/>
  <c r="L618" i="2"/>
  <c r="M618" i="2" s="1"/>
  <c r="L619" i="2"/>
  <c r="M619" i="2" s="1"/>
  <c r="L620" i="2"/>
  <c r="M620" i="2" s="1"/>
  <c r="L621" i="2"/>
  <c r="M621" i="2" s="1"/>
  <c r="L622" i="2"/>
  <c r="M622" i="2" s="1"/>
  <c r="L623" i="2"/>
  <c r="M623" i="2" s="1"/>
  <c r="L624" i="2"/>
  <c r="M624" i="2" s="1"/>
  <c r="L625" i="2"/>
  <c r="M625" i="2" s="1"/>
  <c r="L626" i="2"/>
  <c r="M626" i="2" s="1"/>
  <c r="L627" i="2"/>
  <c r="M627" i="2" s="1"/>
  <c r="L628" i="2"/>
  <c r="M628" i="2" s="1"/>
  <c r="L629" i="2"/>
  <c r="M629" i="2" s="1"/>
  <c r="L630" i="2"/>
  <c r="M630" i="2" s="1"/>
  <c r="L631" i="2"/>
  <c r="M631" i="2" s="1"/>
  <c r="L632" i="2"/>
  <c r="M632" i="2" s="1"/>
  <c r="L633" i="2"/>
  <c r="M633" i="2" s="1"/>
  <c r="L634" i="2"/>
  <c r="M634" i="2" s="1"/>
  <c r="L635" i="2"/>
  <c r="M635" i="2" s="1"/>
  <c r="L636" i="2"/>
  <c r="M636" i="2" s="1"/>
  <c r="L637" i="2"/>
  <c r="M637" i="2" s="1"/>
  <c r="L638" i="2"/>
  <c r="M638" i="2" s="1"/>
  <c r="L639" i="2"/>
  <c r="M639" i="2" s="1"/>
  <c r="L640" i="2"/>
  <c r="M640" i="2" s="1"/>
  <c r="L641" i="2"/>
  <c r="M641" i="2" s="1"/>
  <c r="L642" i="2"/>
  <c r="M642" i="2" s="1"/>
  <c r="L643" i="2"/>
  <c r="M643" i="2" s="1"/>
  <c r="L644" i="2"/>
  <c r="M644" i="2" s="1"/>
  <c r="L645" i="2"/>
  <c r="M645" i="2" s="1"/>
  <c r="L646" i="2"/>
  <c r="M646" i="2" s="1"/>
  <c r="L647" i="2"/>
  <c r="M647" i="2" s="1"/>
  <c r="L648" i="2"/>
  <c r="M648" i="2" s="1"/>
  <c r="L649" i="2"/>
  <c r="M649" i="2" s="1"/>
  <c r="L650" i="2"/>
  <c r="M650" i="2" s="1"/>
  <c r="L651" i="2"/>
  <c r="M651" i="2" s="1"/>
  <c r="L652" i="2"/>
  <c r="M652" i="2" s="1"/>
  <c r="L653" i="2"/>
  <c r="M653" i="2" s="1"/>
  <c r="L654" i="2"/>
  <c r="M654" i="2" s="1"/>
  <c r="L655" i="2"/>
  <c r="M655" i="2" s="1"/>
  <c r="L656" i="2"/>
  <c r="M656" i="2" s="1"/>
  <c r="L657" i="2"/>
  <c r="M657" i="2" s="1"/>
  <c r="L658" i="2"/>
  <c r="M658" i="2" s="1"/>
  <c r="L659" i="2"/>
  <c r="M659" i="2" s="1"/>
  <c r="L660" i="2"/>
  <c r="M660" i="2" s="1"/>
  <c r="L661" i="2"/>
  <c r="M661" i="2" s="1"/>
  <c r="L662" i="2"/>
  <c r="M662" i="2" s="1"/>
  <c r="L663" i="2"/>
  <c r="M663" i="2" s="1"/>
  <c r="L664" i="2"/>
  <c r="M664" i="2" s="1"/>
  <c r="L665" i="2"/>
  <c r="M665" i="2" s="1"/>
  <c r="L666" i="2"/>
  <c r="M666" i="2" s="1"/>
  <c r="L667" i="2"/>
  <c r="M667" i="2" s="1"/>
  <c r="L668" i="2"/>
  <c r="M668" i="2" s="1"/>
  <c r="L669" i="2"/>
  <c r="M669" i="2" s="1"/>
  <c r="L670" i="2"/>
  <c r="M670" i="2" s="1"/>
  <c r="L671" i="2"/>
  <c r="M671" i="2" s="1"/>
  <c r="L672" i="2"/>
  <c r="M672" i="2" s="1"/>
  <c r="L673" i="2"/>
  <c r="M673" i="2" s="1"/>
  <c r="L674" i="2"/>
  <c r="M674" i="2" s="1"/>
  <c r="L675" i="2"/>
  <c r="M675" i="2" s="1"/>
  <c r="L676" i="2"/>
  <c r="M676" i="2" s="1"/>
  <c r="L677" i="2"/>
  <c r="M677" i="2" s="1"/>
  <c r="L678" i="2"/>
  <c r="M678" i="2" s="1"/>
  <c r="L679" i="2"/>
  <c r="M679" i="2" s="1"/>
  <c r="L680" i="2"/>
  <c r="M680" i="2" s="1"/>
  <c r="L681" i="2"/>
  <c r="M681" i="2" s="1"/>
  <c r="L682" i="2"/>
  <c r="M682" i="2" s="1"/>
  <c r="L683" i="2"/>
  <c r="M683" i="2" s="1"/>
  <c r="L684" i="2"/>
  <c r="L685" i="2"/>
  <c r="M685" i="2" s="1"/>
  <c r="L686" i="2"/>
  <c r="M686" i="2" s="1"/>
  <c r="L687" i="2"/>
  <c r="M687" i="2" s="1"/>
  <c r="L688" i="2"/>
  <c r="M688" i="2" s="1"/>
  <c r="L689" i="2"/>
  <c r="M689" i="2" s="1"/>
  <c r="L690" i="2"/>
  <c r="M690" i="2" s="1"/>
  <c r="L691" i="2"/>
  <c r="M691" i="2" s="1"/>
  <c r="L692" i="2"/>
  <c r="L693" i="2"/>
  <c r="M693" i="2" s="1"/>
  <c r="L694" i="2"/>
  <c r="M694" i="2" s="1"/>
  <c r="L695" i="2"/>
  <c r="M695" i="2" s="1"/>
  <c r="L696" i="2"/>
  <c r="M696" i="2" s="1"/>
  <c r="L697" i="2"/>
  <c r="M697" i="2" s="1"/>
  <c r="L698" i="2"/>
  <c r="M698" i="2" s="1"/>
  <c r="L699" i="2"/>
  <c r="L700" i="2"/>
  <c r="M700" i="2" s="1"/>
  <c r="L701" i="2"/>
  <c r="M701" i="2" s="1"/>
  <c r="L702" i="2"/>
  <c r="M702" i="2" s="1"/>
  <c r="L703" i="2"/>
  <c r="M703" i="2" s="1"/>
  <c r="L704" i="2"/>
  <c r="M704" i="2" s="1"/>
  <c r="L705" i="2"/>
  <c r="M705" i="2" s="1"/>
  <c r="L706" i="2"/>
  <c r="M706" i="2" s="1"/>
  <c r="L707" i="2"/>
  <c r="M707" i="2" s="1"/>
  <c r="L708" i="2"/>
  <c r="M708" i="2" s="1"/>
  <c r="L709" i="2"/>
  <c r="M709" i="2" s="1"/>
  <c r="L710" i="2"/>
  <c r="M710" i="2" s="1"/>
  <c r="L711" i="2"/>
  <c r="M711" i="2" s="1"/>
  <c r="L712" i="2"/>
  <c r="M712" i="2" s="1"/>
  <c r="L713" i="2"/>
  <c r="M713" i="2" s="1"/>
  <c r="L714" i="2"/>
  <c r="M714" i="2" s="1"/>
  <c r="L715" i="2"/>
  <c r="M715" i="2" s="1"/>
  <c r="L716" i="2"/>
  <c r="M716" i="2" s="1"/>
  <c r="L717" i="2"/>
  <c r="M717" i="2" s="1"/>
  <c r="L718" i="2"/>
  <c r="M718" i="2" s="1"/>
  <c r="L719" i="2"/>
  <c r="M719" i="2" s="1"/>
  <c r="L720" i="2"/>
  <c r="M720" i="2" s="1"/>
  <c r="L721" i="2"/>
  <c r="M721" i="2" s="1"/>
  <c r="L722" i="2"/>
  <c r="M722" i="2" s="1"/>
  <c r="L723" i="2"/>
  <c r="M723" i="2" s="1"/>
  <c r="L724" i="2"/>
  <c r="M724" i="2" s="1"/>
  <c r="L725" i="2"/>
  <c r="M725" i="2" s="1"/>
  <c r="L726" i="2"/>
  <c r="M726" i="2" s="1"/>
  <c r="L727" i="2"/>
  <c r="M727" i="2" s="1"/>
  <c r="L728" i="2"/>
  <c r="M728" i="2" s="1"/>
  <c r="L729" i="2"/>
  <c r="M729" i="2" s="1"/>
  <c r="L730" i="2"/>
  <c r="M730" i="2" s="1"/>
  <c r="L731" i="2"/>
  <c r="M731" i="2" s="1"/>
  <c r="L732" i="2"/>
  <c r="M732" i="2" s="1"/>
  <c r="L733" i="2"/>
  <c r="M733" i="2" s="1"/>
  <c r="L734" i="2"/>
  <c r="M734" i="2" s="1"/>
  <c r="L735" i="2"/>
  <c r="M735" i="2" s="1"/>
  <c r="L736" i="2"/>
  <c r="M736" i="2" s="1"/>
  <c r="L737" i="2"/>
  <c r="M737" i="2" s="1"/>
  <c r="L738" i="2"/>
  <c r="M738" i="2" s="1"/>
  <c r="L739" i="2"/>
  <c r="M739" i="2" s="1"/>
  <c r="L740" i="2"/>
  <c r="M740" i="2" s="1"/>
  <c r="L741" i="2"/>
  <c r="M741" i="2" s="1"/>
  <c r="L742" i="2"/>
  <c r="M742" i="2" s="1"/>
  <c r="L743" i="2"/>
  <c r="M743" i="2" s="1"/>
  <c r="L744" i="2"/>
  <c r="M744" i="2" s="1"/>
  <c r="L745" i="2"/>
  <c r="M745" i="2" s="1"/>
  <c r="L746" i="2"/>
  <c r="M746" i="2" s="1"/>
  <c r="L747" i="2"/>
  <c r="M747" i="2" s="1"/>
  <c r="L748" i="2"/>
  <c r="M748" i="2" s="1"/>
  <c r="L749" i="2"/>
  <c r="M749" i="2" s="1"/>
  <c r="L750" i="2"/>
  <c r="M750" i="2" s="1"/>
  <c r="L751" i="2"/>
  <c r="M751" i="2" s="1"/>
  <c r="L752" i="2"/>
  <c r="M752" i="2" s="1"/>
  <c r="L753" i="2"/>
  <c r="M753" i="2" s="1"/>
  <c r="L754" i="2"/>
  <c r="M754" i="2" s="1"/>
  <c r="L755" i="2"/>
  <c r="M755" i="2" s="1"/>
  <c r="L756" i="2"/>
  <c r="M756" i="2" s="1"/>
  <c r="L757" i="2"/>
  <c r="M757" i="2" s="1"/>
  <c r="L758" i="2"/>
  <c r="M758" i="2" s="1"/>
  <c r="L759" i="2"/>
  <c r="M759" i="2" s="1"/>
  <c r="L760" i="2"/>
  <c r="M760" i="2" s="1"/>
  <c r="L761" i="2"/>
  <c r="M761" i="2" s="1"/>
  <c r="L762" i="2"/>
  <c r="L763" i="2"/>
  <c r="M763" i="2" s="1"/>
  <c r="L764" i="2"/>
  <c r="M764" i="2" s="1"/>
  <c r="L765" i="2"/>
  <c r="M765" i="2" s="1"/>
  <c r="L766" i="2"/>
  <c r="M766" i="2" s="1"/>
  <c r="L767" i="2"/>
  <c r="M767" i="2" s="1"/>
  <c r="L768" i="2"/>
  <c r="M768" i="2" s="1"/>
  <c r="L769" i="2"/>
  <c r="M769" i="2" s="1"/>
  <c r="L770" i="2"/>
  <c r="M770" i="2" s="1"/>
  <c r="L771" i="2"/>
  <c r="M771" i="2" s="1"/>
  <c r="L772" i="2"/>
  <c r="M772" i="2" s="1"/>
  <c r="L773" i="2"/>
  <c r="M773" i="2" s="1"/>
  <c r="L774" i="2"/>
  <c r="M774" i="2" s="1"/>
  <c r="L775" i="2"/>
  <c r="M775" i="2" s="1"/>
  <c r="L776" i="2"/>
  <c r="M776" i="2" s="1"/>
  <c r="L777" i="2"/>
  <c r="M777" i="2" s="1"/>
  <c r="L778" i="2"/>
  <c r="M778" i="2" s="1"/>
  <c r="L779" i="2"/>
  <c r="M779" i="2" s="1"/>
  <c r="L780" i="2"/>
  <c r="M780" i="2" s="1"/>
  <c r="L781" i="2"/>
  <c r="M781" i="2" s="1"/>
  <c r="L782" i="2"/>
  <c r="M782" i="2" s="1"/>
  <c r="L783" i="2"/>
  <c r="M783" i="2" s="1"/>
  <c r="L784" i="2"/>
  <c r="M784" i="2" s="1"/>
  <c r="L785" i="2"/>
  <c r="M785" i="2" s="1"/>
  <c r="L786" i="2"/>
  <c r="M786" i="2" s="1"/>
  <c r="L787" i="2"/>
  <c r="M787" i="2" s="1"/>
  <c r="L788" i="2"/>
  <c r="M788" i="2" s="1"/>
  <c r="L789" i="2"/>
  <c r="M789" i="2" s="1"/>
  <c r="L790" i="2"/>
  <c r="M790" i="2" s="1"/>
  <c r="L791" i="2"/>
  <c r="M791" i="2" s="1"/>
  <c r="L792" i="2"/>
  <c r="M792" i="2" s="1"/>
  <c r="L793" i="2"/>
  <c r="M793" i="2" s="1"/>
  <c r="L794" i="2"/>
  <c r="M794" i="2" s="1"/>
  <c r="L795" i="2"/>
  <c r="M795" i="2" s="1"/>
  <c r="L796" i="2"/>
  <c r="M796" i="2" s="1"/>
  <c r="L797" i="2"/>
  <c r="M797" i="2" s="1"/>
  <c r="L798" i="2"/>
  <c r="M798" i="2" s="1"/>
  <c r="L799" i="2"/>
  <c r="M799" i="2" s="1"/>
  <c r="L800" i="2"/>
  <c r="M800" i="2" s="1"/>
  <c r="L801" i="2"/>
  <c r="M801" i="2" s="1"/>
  <c r="L802" i="2"/>
  <c r="M802" i="2" s="1"/>
  <c r="L803" i="2"/>
  <c r="M803" i="2" s="1"/>
  <c r="L804" i="2"/>
  <c r="M804" i="2" s="1"/>
  <c r="L805" i="2"/>
  <c r="M805" i="2" s="1"/>
  <c r="L806" i="2"/>
  <c r="M806" i="2" s="1"/>
  <c r="L807" i="2"/>
  <c r="M807" i="2" s="1"/>
  <c r="L808" i="2"/>
  <c r="M808" i="2" s="1"/>
  <c r="L809" i="2"/>
  <c r="M809" i="2" s="1"/>
  <c r="L810" i="2"/>
  <c r="M810" i="2" s="1"/>
  <c r="L811" i="2"/>
  <c r="M811" i="2" s="1"/>
  <c r="L812" i="2"/>
  <c r="M812" i="2" s="1"/>
  <c r="L813" i="2"/>
  <c r="M813" i="2" s="1"/>
  <c r="L814" i="2"/>
  <c r="M814" i="2" s="1"/>
  <c r="L815" i="2"/>
  <c r="M815" i="2" s="1"/>
  <c r="L816" i="2"/>
  <c r="M816" i="2" s="1"/>
  <c r="L817" i="2"/>
  <c r="M817" i="2" s="1"/>
  <c r="L818" i="2"/>
  <c r="M818" i="2" s="1"/>
  <c r="L819" i="2"/>
  <c r="M819" i="2" s="1"/>
  <c r="L820" i="2"/>
  <c r="M820" i="2" s="1"/>
  <c r="L821" i="2"/>
  <c r="M821" i="2" s="1"/>
  <c r="L822" i="2"/>
  <c r="M822" i="2" s="1"/>
  <c r="L823" i="2"/>
  <c r="M823" i="2" s="1"/>
  <c r="L824" i="2"/>
  <c r="M824" i="2" s="1"/>
  <c r="L825" i="2"/>
  <c r="M825" i="2" s="1"/>
  <c r="L826" i="2"/>
  <c r="M826" i="2" s="1"/>
  <c r="L827" i="2"/>
  <c r="M827" i="2" s="1"/>
  <c r="L828" i="2"/>
  <c r="M828" i="2" s="1"/>
  <c r="L829" i="2"/>
  <c r="M829" i="2" s="1"/>
  <c r="L830" i="2"/>
  <c r="M830" i="2" s="1"/>
  <c r="L831" i="2"/>
  <c r="M831" i="2" s="1"/>
  <c r="L832" i="2"/>
  <c r="M832" i="2" s="1"/>
  <c r="L833" i="2"/>
  <c r="M833" i="2" s="1"/>
  <c r="L834" i="2"/>
  <c r="M834" i="2" s="1"/>
  <c r="L835" i="2"/>
  <c r="M835" i="2" s="1"/>
  <c r="L836" i="2"/>
  <c r="M836" i="2" s="1"/>
  <c r="L837" i="2"/>
  <c r="M837" i="2" s="1"/>
  <c r="L838" i="2"/>
  <c r="M838" i="2" s="1"/>
  <c r="L839" i="2"/>
  <c r="M839" i="2" s="1"/>
  <c r="L840" i="2"/>
  <c r="M840" i="2" s="1"/>
  <c r="L841" i="2"/>
  <c r="M841" i="2" s="1"/>
  <c r="L842" i="2"/>
  <c r="M842" i="2" s="1"/>
  <c r="L843" i="2"/>
  <c r="M843" i="2" s="1"/>
  <c r="L844" i="2"/>
  <c r="M844" i="2" s="1"/>
  <c r="L845" i="2"/>
  <c r="M845" i="2" s="1"/>
  <c r="L846" i="2"/>
  <c r="M846" i="2" s="1"/>
  <c r="L847" i="2"/>
  <c r="M847" i="2" s="1"/>
  <c r="L848" i="2"/>
  <c r="M848" i="2" s="1"/>
  <c r="L849" i="2"/>
  <c r="M849" i="2" s="1"/>
  <c r="L850" i="2"/>
  <c r="M850" i="2" s="1"/>
  <c r="L851" i="2"/>
  <c r="M851" i="2" s="1"/>
  <c r="L852" i="2"/>
  <c r="M852" i="2" s="1"/>
  <c r="L853" i="2"/>
  <c r="M853" i="2" s="1"/>
  <c r="L854" i="2"/>
  <c r="M854" i="2" s="1"/>
  <c r="L855" i="2"/>
  <c r="M855" i="2" s="1"/>
  <c r="L856" i="2"/>
  <c r="M856" i="2" s="1"/>
  <c r="L857" i="2"/>
  <c r="M857" i="2" s="1"/>
  <c r="L858" i="2"/>
  <c r="M858" i="2" s="1"/>
  <c r="L859" i="2"/>
  <c r="M859" i="2" s="1"/>
  <c r="L860" i="2"/>
  <c r="M860" i="2" s="1"/>
  <c r="L861" i="2"/>
  <c r="M861" i="2" s="1"/>
  <c r="L862" i="2"/>
  <c r="M862" i="2" s="1"/>
  <c r="L863" i="2"/>
  <c r="M863" i="2" s="1"/>
  <c r="L864" i="2"/>
  <c r="M864" i="2" s="1"/>
  <c r="L865" i="2"/>
  <c r="M865" i="2" s="1"/>
  <c r="L866" i="2"/>
  <c r="M866" i="2" s="1"/>
  <c r="L867" i="2"/>
  <c r="M867" i="2" s="1"/>
  <c r="L868" i="2"/>
  <c r="M868" i="2" s="1"/>
  <c r="L869" i="2"/>
  <c r="M869" i="2" s="1"/>
  <c r="L870" i="2"/>
  <c r="M870" i="2" s="1"/>
  <c r="L871" i="2"/>
  <c r="M871" i="2" s="1"/>
  <c r="L872" i="2"/>
  <c r="M872" i="2" s="1"/>
  <c r="L873" i="2"/>
  <c r="M873" i="2" s="1"/>
  <c r="L874" i="2"/>
  <c r="M874" i="2" s="1"/>
  <c r="L875" i="2"/>
  <c r="M875" i="2" s="1"/>
  <c r="L876" i="2"/>
  <c r="M876" i="2" s="1"/>
  <c r="L877" i="2"/>
  <c r="M877" i="2" s="1"/>
  <c r="L878" i="2"/>
  <c r="M878" i="2" s="1"/>
  <c r="L879" i="2"/>
  <c r="M879" i="2" s="1"/>
  <c r="L880" i="2"/>
  <c r="M880" i="2" s="1"/>
  <c r="L881" i="2"/>
  <c r="M881" i="2" s="1"/>
  <c r="L882" i="2"/>
  <c r="M882" i="2" s="1"/>
  <c r="L883" i="2"/>
  <c r="M883" i="2" s="1"/>
  <c r="L884" i="2"/>
  <c r="M884" i="2" s="1"/>
  <c r="L885" i="2"/>
  <c r="M885" i="2" s="1"/>
  <c r="L886" i="2"/>
  <c r="M886" i="2" s="1"/>
  <c r="L887" i="2"/>
  <c r="M887" i="2" s="1"/>
  <c r="L888" i="2"/>
  <c r="M888" i="2" s="1"/>
  <c r="L889" i="2"/>
  <c r="M889" i="2" s="1"/>
  <c r="L890" i="2"/>
  <c r="M890" i="2" s="1"/>
  <c r="L891" i="2"/>
  <c r="M891" i="2" s="1"/>
  <c r="L892" i="2"/>
  <c r="M892" i="2" s="1"/>
  <c r="L893" i="2"/>
  <c r="M893" i="2" s="1"/>
  <c r="L894" i="2"/>
  <c r="M894" i="2" s="1"/>
  <c r="L895" i="2"/>
  <c r="M895" i="2" s="1"/>
  <c r="L896" i="2"/>
  <c r="M896" i="2" s="1"/>
  <c r="L897" i="2"/>
  <c r="M897" i="2" s="1"/>
  <c r="L898" i="2"/>
  <c r="M898" i="2" s="1"/>
  <c r="L899" i="2"/>
  <c r="M899" i="2" s="1"/>
  <c r="L900" i="2"/>
  <c r="M900" i="2" s="1"/>
  <c r="L901" i="2"/>
  <c r="M901" i="2" s="1"/>
  <c r="L902" i="2"/>
  <c r="M902" i="2" s="1"/>
  <c r="L903" i="2"/>
  <c r="M903" i="2" s="1"/>
  <c r="L904" i="2"/>
  <c r="M904" i="2" s="1"/>
  <c r="L905" i="2"/>
  <c r="M905" i="2" s="1"/>
  <c r="L906" i="2"/>
  <c r="M906" i="2" s="1"/>
  <c r="L907" i="2"/>
  <c r="M907" i="2" s="1"/>
  <c r="L908" i="2"/>
  <c r="M908" i="2" s="1"/>
  <c r="L909" i="2"/>
  <c r="M909" i="2" s="1"/>
  <c r="L910" i="2"/>
  <c r="M910" i="2" s="1"/>
  <c r="L911" i="2"/>
  <c r="M911" i="2" s="1"/>
  <c r="L912" i="2"/>
  <c r="M912" i="2" s="1"/>
  <c r="L913" i="2"/>
  <c r="M913" i="2" s="1"/>
  <c r="L914" i="2"/>
  <c r="M914" i="2" s="1"/>
  <c r="L915" i="2"/>
  <c r="M915" i="2" s="1"/>
  <c r="L916" i="2"/>
  <c r="M916" i="2" s="1"/>
  <c r="L917" i="2"/>
  <c r="M917" i="2" s="1"/>
  <c r="L918" i="2"/>
  <c r="M918" i="2" s="1"/>
  <c r="L919" i="2"/>
  <c r="M919" i="2" s="1"/>
  <c r="L920" i="2"/>
  <c r="L921" i="2"/>
  <c r="M921" i="2" s="1"/>
  <c r="L922" i="2"/>
  <c r="M922" i="2" s="1"/>
  <c r="L923" i="2"/>
  <c r="M923" i="2" s="1"/>
  <c r="L924" i="2"/>
  <c r="M924" i="2" s="1"/>
  <c r="L925" i="2"/>
  <c r="M925" i="2" s="1"/>
  <c r="L926" i="2"/>
  <c r="M926" i="2" s="1"/>
  <c r="L927" i="2"/>
  <c r="M927" i="2" s="1"/>
  <c r="L928" i="2"/>
  <c r="M928" i="2" s="1"/>
  <c r="L929" i="2"/>
  <c r="M929" i="2" s="1"/>
  <c r="L930" i="2"/>
  <c r="M930" i="2" s="1"/>
  <c r="L931" i="2"/>
  <c r="M931" i="2" s="1"/>
  <c r="L932" i="2"/>
  <c r="M932" i="2" s="1"/>
  <c r="L933" i="2"/>
  <c r="M933" i="2" s="1"/>
  <c r="L934" i="2"/>
  <c r="M934" i="2" s="1"/>
  <c r="L935" i="2"/>
  <c r="M935" i="2" s="1"/>
  <c r="L936" i="2"/>
  <c r="M936" i="2" s="1"/>
  <c r="L937" i="2"/>
  <c r="M937" i="2" s="1"/>
  <c r="L938" i="2"/>
  <c r="M938" i="2" s="1"/>
  <c r="L939" i="2"/>
  <c r="M939" i="2" s="1"/>
  <c r="L940" i="2"/>
  <c r="M940" i="2" s="1"/>
  <c r="L941" i="2"/>
  <c r="M941" i="2" s="1"/>
  <c r="L942" i="2"/>
  <c r="M942" i="2" s="1"/>
  <c r="L943" i="2"/>
  <c r="M943" i="2" s="1"/>
  <c r="L944" i="2"/>
  <c r="M944" i="2" s="1"/>
  <c r="L945" i="2"/>
  <c r="M945" i="2" s="1"/>
  <c r="L946" i="2"/>
  <c r="M946" i="2" s="1"/>
  <c r="L947" i="2"/>
  <c r="M947" i="2" s="1"/>
  <c r="L948" i="2"/>
  <c r="M948" i="2" s="1"/>
  <c r="L949" i="2"/>
  <c r="M949" i="2" s="1"/>
  <c r="L950" i="2"/>
  <c r="M950" i="2" s="1"/>
  <c r="L951" i="2"/>
  <c r="M951" i="2" s="1"/>
  <c r="L952" i="2"/>
  <c r="M952" i="2" s="1"/>
  <c r="L953" i="2"/>
  <c r="M953" i="2" s="1"/>
  <c r="L954" i="2"/>
  <c r="M954" i="2" s="1"/>
  <c r="L955" i="2"/>
  <c r="M955" i="2" s="1"/>
  <c r="L956" i="2"/>
  <c r="M956" i="2" s="1"/>
  <c r="L957" i="2"/>
  <c r="M957" i="2" s="1"/>
  <c r="L958" i="2"/>
  <c r="M958" i="2" s="1"/>
  <c r="L959" i="2"/>
  <c r="M959" i="2" s="1"/>
  <c r="L960" i="2"/>
  <c r="M960" i="2" s="1"/>
  <c r="L961" i="2"/>
  <c r="M961" i="2" s="1"/>
  <c r="L962" i="2"/>
  <c r="M962" i="2" s="1"/>
  <c r="L963" i="2"/>
  <c r="M963" i="2" s="1"/>
  <c r="L964" i="2"/>
  <c r="M964" i="2" s="1"/>
  <c r="L965" i="2"/>
  <c r="M965" i="2" s="1"/>
  <c r="L966" i="2"/>
  <c r="M966" i="2" s="1"/>
  <c r="L967" i="2"/>
  <c r="M967" i="2" s="1"/>
  <c r="L968" i="2"/>
  <c r="M968" i="2" s="1"/>
  <c r="L969" i="2"/>
  <c r="M969" i="2" s="1"/>
  <c r="L970" i="2"/>
  <c r="M970" i="2" s="1"/>
  <c r="L971" i="2"/>
  <c r="M971" i="2" s="1"/>
  <c r="L972" i="2"/>
  <c r="M972" i="2" s="1"/>
  <c r="L973" i="2"/>
  <c r="M973" i="2" s="1"/>
  <c r="L974" i="2"/>
  <c r="M974" i="2" s="1"/>
  <c r="L975" i="2"/>
  <c r="M975" i="2" s="1"/>
  <c r="L976" i="2"/>
  <c r="M976" i="2" s="1"/>
  <c r="L977" i="2"/>
  <c r="M977" i="2" s="1"/>
  <c r="L978" i="2"/>
  <c r="M978" i="2" s="1"/>
  <c r="L979" i="2"/>
  <c r="M979" i="2" s="1"/>
  <c r="L980" i="2"/>
  <c r="M980" i="2" s="1"/>
  <c r="L981" i="2"/>
  <c r="M981" i="2" s="1"/>
  <c r="L982" i="2"/>
  <c r="M982" i="2" s="1"/>
  <c r="L983" i="2"/>
  <c r="M983" i="2" s="1"/>
  <c r="L984" i="2"/>
  <c r="M984" i="2" s="1"/>
  <c r="L985" i="2"/>
  <c r="M985" i="2" s="1"/>
  <c r="L986" i="2"/>
  <c r="M986" i="2" s="1"/>
  <c r="L987" i="2"/>
  <c r="M987" i="2" s="1"/>
  <c r="L988" i="2"/>
  <c r="M988" i="2" s="1"/>
  <c r="L989" i="2"/>
  <c r="M989" i="2" s="1"/>
  <c r="L990" i="2"/>
  <c r="M990" i="2" s="1"/>
  <c r="L991" i="2"/>
  <c r="M991" i="2" s="1"/>
  <c r="L992" i="2"/>
  <c r="M992" i="2" s="1"/>
  <c r="L993" i="2"/>
  <c r="M993" i="2" s="1"/>
  <c r="L994" i="2"/>
  <c r="M994" i="2" s="1"/>
  <c r="L995" i="2"/>
  <c r="M995" i="2" s="1"/>
  <c r="L996" i="2"/>
  <c r="M996" i="2" s="1"/>
  <c r="L997" i="2"/>
  <c r="M997" i="2" s="1"/>
  <c r="L998" i="2"/>
  <c r="M998" i="2" s="1"/>
  <c r="L999" i="2"/>
  <c r="M999" i="2" s="1"/>
  <c r="L1000" i="2"/>
  <c r="M1000" i="2" s="1"/>
  <c r="L1001" i="2"/>
  <c r="M1001" i="2" s="1"/>
  <c r="L1002" i="2"/>
  <c r="M1002" i="2" s="1"/>
  <c r="L1003" i="2"/>
  <c r="M1003" i="2" s="1"/>
  <c r="L1004" i="2"/>
  <c r="M1004" i="2" s="1"/>
  <c r="L1005" i="2"/>
  <c r="M1005" i="2" s="1"/>
  <c r="L1006" i="2"/>
  <c r="M1006" i="2" s="1"/>
  <c r="L1007" i="2"/>
  <c r="M1007" i="2" s="1"/>
  <c r="L1008" i="2"/>
  <c r="M1008" i="2" s="1"/>
  <c r="L1009" i="2"/>
  <c r="M1009" i="2" s="1"/>
  <c r="L1010" i="2"/>
  <c r="M1010" i="2" s="1"/>
  <c r="L1011" i="2"/>
  <c r="M1011" i="2" s="1"/>
  <c r="L1012" i="2"/>
  <c r="M1012" i="2" s="1"/>
  <c r="L1013" i="2"/>
  <c r="M1013" i="2" s="1"/>
  <c r="L1014" i="2"/>
  <c r="M1014" i="2" s="1"/>
  <c r="L1015" i="2"/>
  <c r="M1015" i="2" s="1"/>
  <c r="L1016" i="2"/>
  <c r="M1016" i="2" s="1"/>
  <c r="L1017" i="2"/>
  <c r="M1017" i="2" s="1"/>
  <c r="L1018" i="2"/>
  <c r="M1018" i="2" s="1"/>
  <c r="L1019" i="2"/>
  <c r="M1019" i="2" s="1"/>
  <c r="L1020" i="2"/>
  <c r="M1020" i="2" s="1"/>
  <c r="L1021" i="2"/>
  <c r="M1021" i="2" s="1"/>
  <c r="L1022" i="2"/>
  <c r="M1022" i="2" s="1"/>
  <c r="L1023" i="2"/>
  <c r="M1023" i="2" s="1"/>
  <c r="L1024" i="2"/>
  <c r="M1024" i="2" s="1"/>
  <c r="L1025" i="2"/>
  <c r="M1025" i="2" s="1"/>
  <c r="L1026" i="2"/>
  <c r="M1026" i="2" s="1"/>
  <c r="L1027" i="2"/>
  <c r="M1027" i="2" s="1"/>
  <c r="L1028" i="2"/>
  <c r="M1028" i="2" s="1"/>
  <c r="L1029" i="2"/>
  <c r="M1029" i="2" s="1"/>
  <c r="L1030" i="2"/>
  <c r="M1030" i="2" s="1"/>
  <c r="L1031" i="2"/>
  <c r="M1031" i="2" s="1"/>
  <c r="L1032" i="2"/>
  <c r="M1032" i="2" s="1"/>
  <c r="L1033" i="2"/>
  <c r="M1033" i="2" s="1"/>
  <c r="L1034" i="2"/>
  <c r="M1034" i="2" s="1"/>
  <c r="L1035" i="2"/>
  <c r="M1035" i="2" s="1"/>
  <c r="L1036" i="2"/>
  <c r="M1036" i="2" s="1"/>
  <c r="L1037" i="2"/>
  <c r="M1037" i="2" s="1"/>
  <c r="L1038" i="2"/>
  <c r="M1038" i="2" s="1"/>
  <c r="L1039" i="2"/>
  <c r="M1039" i="2" s="1"/>
  <c r="L1040" i="2"/>
  <c r="M1040" i="2" s="1"/>
  <c r="L1041" i="2"/>
  <c r="M1041" i="2" s="1"/>
  <c r="L1042" i="2"/>
  <c r="M1042" i="2" s="1"/>
  <c r="L1043" i="2"/>
  <c r="M1043" i="2" s="1"/>
  <c r="L1044" i="2"/>
  <c r="M1044" i="2" s="1"/>
  <c r="L1045" i="2"/>
  <c r="M1045" i="2" s="1"/>
  <c r="L1046" i="2"/>
  <c r="M1046" i="2" s="1"/>
  <c r="L1047" i="2"/>
  <c r="M1047" i="2" s="1"/>
  <c r="L1048" i="2"/>
  <c r="M1048" i="2" s="1"/>
  <c r="L1049" i="2"/>
  <c r="M1049" i="2" s="1"/>
  <c r="L1050" i="2"/>
  <c r="M1050" i="2" s="1"/>
  <c r="L1051" i="2"/>
  <c r="M1051" i="2" s="1"/>
  <c r="L1052" i="2"/>
  <c r="M1052" i="2" s="1"/>
  <c r="L1053" i="2"/>
  <c r="M1053" i="2" s="1"/>
  <c r="L1054" i="2"/>
  <c r="M1054" i="2" s="1"/>
  <c r="L1055" i="2"/>
  <c r="M1055" i="2" s="1"/>
  <c r="L1056" i="2"/>
  <c r="M1056" i="2" s="1"/>
  <c r="L1057" i="2"/>
  <c r="M1057" i="2" s="1"/>
  <c r="L1058" i="2"/>
  <c r="M1058" i="2" s="1"/>
  <c r="L1059" i="2"/>
  <c r="M1059" i="2" s="1"/>
  <c r="L1060" i="2"/>
  <c r="M1060" i="2" s="1"/>
  <c r="L1061" i="2"/>
  <c r="M1061" i="2" s="1"/>
  <c r="L1062" i="2"/>
  <c r="M1062" i="2" s="1"/>
  <c r="L1063" i="2"/>
  <c r="M1063" i="2" s="1"/>
  <c r="L1064" i="2"/>
  <c r="M1064" i="2" s="1"/>
  <c r="L1065" i="2"/>
  <c r="M1065" i="2" s="1"/>
  <c r="L1066" i="2"/>
  <c r="M1066" i="2" s="1"/>
  <c r="L1067" i="2"/>
  <c r="L1068" i="2"/>
  <c r="M1068" i="2" s="1"/>
  <c r="L1069" i="2"/>
  <c r="L1070" i="2"/>
  <c r="M1070" i="2" s="1"/>
  <c r="L1071" i="2"/>
  <c r="M1071" i="2" s="1"/>
  <c r="L1072" i="2"/>
  <c r="L1073" i="2"/>
  <c r="L1074" i="2"/>
  <c r="M1074" i="2" s="1"/>
  <c r="L1075" i="2"/>
  <c r="L1076" i="2"/>
  <c r="L1077" i="2"/>
  <c r="M1077" i="2" s="1"/>
  <c r="L1078" i="2"/>
  <c r="M1078" i="2" s="1"/>
  <c r="L1079" i="2"/>
  <c r="L1080" i="2"/>
  <c r="L1081" i="2"/>
  <c r="L1082" i="2"/>
  <c r="L1083" i="2"/>
  <c r="M1083" i="2" s="1"/>
  <c r="L1084" i="2"/>
  <c r="L1085" i="2"/>
  <c r="L1086" i="2"/>
  <c r="L1087" i="2"/>
  <c r="M1087" i="2" s="1"/>
  <c r="L1088" i="2"/>
  <c r="L1089" i="2"/>
  <c r="L1090" i="2"/>
  <c r="L1091" i="2"/>
  <c r="L1092" i="2"/>
  <c r="M1092" i="2" s="1"/>
  <c r="L1093" i="2"/>
  <c r="M1093" i="2" s="1"/>
  <c r="L1094" i="2"/>
  <c r="M1094" i="2" s="1"/>
  <c r="L1095" i="2"/>
  <c r="M1095" i="2" s="1"/>
  <c r="L1096" i="2"/>
  <c r="M1096" i="2" s="1"/>
  <c r="L1097" i="2"/>
  <c r="M1097" i="2" s="1"/>
  <c r="L1098" i="2"/>
  <c r="M1098" i="2" s="1"/>
  <c r="L1099" i="2"/>
  <c r="M1099" i="2" s="1"/>
  <c r="L1100" i="2"/>
  <c r="M1100" i="2" s="1"/>
  <c r="L1101" i="2"/>
  <c r="M1101" i="2" s="1"/>
  <c r="L1102" i="2"/>
  <c r="M1102" i="2" s="1"/>
  <c r="L1103" i="2"/>
  <c r="M1103" i="2" s="1"/>
  <c r="L1104" i="2"/>
  <c r="M1104" i="2" s="1"/>
  <c r="L1105" i="2"/>
  <c r="M1105" i="2" s="1"/>
  <c r="L1106" i="2"/>
  <c r="M1106" i="2" s="1"/>
  <c r="L1107" i="2"/>
  <c r="M1107" i="2" s="1"/>
  <c r="L1108" i="2"/>
  <c r="M1108" i="2" s="1"/>
  <c r="L1109" i="2"/>
  <c r="M1109" i="2" s="1"/>
  <c r="L1110" i="2"/>
  <c r="M1110" i="2" s="1"/>
  <c r="L1111" i="2"/>
  <c r="M1111" i="2" s="1"/>
  <c r="L1112" i="2"/>
  <c r="M1112" i="2" s="1"/>
  <c r="L1113" i="2"/>
  <c r="M1113" i="2" s="1"/>
  <c r="L1114" i="2"/>
  <c r="M1114" i="2" s="1"/>
  <c r="L1115" i="2"/>
  <c r="M1115" i="2" s="1"/>
  <c r="L1116" i="2"/>
  <c r="M1116" i="2" s="1"/>
  <c r="L1117" i="2"/>
  <c r="M1117" i="2" s="1"/>
  <c r="L1118" i="2"/>
  <c r="M1118" i="2" s="1"/>
  <c r="L1119" i="2"/>
  <c r="M1119" i="2" s="1"/>
  <c r="L1120" i="2"/>
  <c r="M1120" i="2" s="1"/>
  <c r="L1121" i="2"/>
  <c r="M1121" i="2" s="1"/>
  <c r="L1122" i="2"/>
  <c r="M1122" i="2" s="1"/>
  <c r="L1123" i="2"/>
  <c r="M1123" i="2" s="1"/>
  <c r="L1124" i="2"/>
  <c r="M1124" i="2" s="1"/>
  <c r="L1125" i="2"/>
  <c r="M1125" i="2" s="1"/>
  <c r="L1126" i="2"/>
  <c r="M1126" i="2" s="1"/>
  <c r="L1127" i="2"/>
  <c r="M1127" i="2" s="1"/>
  <c r="L1128" i="2"/>
  <c r="M1128" i="2" s="1"/>
  <c r="L1129" i="2"/>
  <c r="M1129" i="2" s="1"/>
  <c r="L1130" i="2"/>
  <c r="M1130" i="2" s="1"/>
  <c r="L1131" i="2"/>
  <c r="M1131" i="2" s="1"/>
  <c r="L1132" i="2"/>
  <c r="M1132" i="2" s="1"/>
  <c r="L1133" i="2"/>
  <c r="M1133" i="2" s="1"/>
  <c r="L1134" i="2"/>
  <c r="M1134" i="2" s="1"/>
  <c r="L1135" i="2"/>
  <c r="M1135" i="2" s="1"/>
  <c r="L1136" i="2"/>
  <c r="M1136" i="2" s="1"/>
  <c r="L1137" i="2"/>
  <c r="M1137" i="2" s="1"/>
  <c r="L1138" i="2"/>
  <c r="M1138" i="2" s="1"/>
  <c r="L1139" i="2"/>
  <c r="M1139" i="2" s="1"/>
  <c r="L1140" i="2"/>
  <c r="M1140" i="2" s="1"/>
  <c r="L1141" i="2"/>
  <c r="M1141" i="2" s="1"/>
  <c r="L1142" i="2"/>
  <c r="M1142" i="2" s="1"/>
  <c r="L1143" i="2"/>
  <c r="M1143" i="2" s="1"/>
  <c r="L1144" i="2"/>
  <c r="M1144" i="2" s="1"/>
  <c r="L1145" i="2"/>
  <c r="M1145" i="2" s="1"/>
  <c r="L1146" i="2"/>
  <c r="M1146" i="2" s="1"/>
  <c r="L1147" i="2"/>
  <c r="M1147" i="2" s="1"/>
  <c r="L1148" i="2"/>
  <c r="M1148" i="2" s="1"/>
  <c r="L1149" i="2"/>
  <c r="M1149" i="2" s="1"/>
  <c r="L1150" i="2"/>
  <c r="M1150" i="2" s="1"/>
  <c r="L1151" i="2"/>
  <c r="M1151" i="2" s="1"/>
  <c r="L1152" i="2"/>
  <c r="M1152" i="2" s="1"/>
  <c r="L1153" i="2"/>
  <c r="M1153" i="2" s="1"/>
  <c r="L1154" i="2"/>
  <c r="M1154" i="2" s="1"/>
  <c r="L1155" i="2"/>
  <c r="M1155" i="2" s="1"/>
  <c r="L1156" i="2"/>
  <c r="M1156" i="2" s="1"/>
  <c r="L1157" i="2"/>
  <c r="M1157" i="2" s="1"/>
  <c r="L1158" i="2"/>
  <c r="M1158" i="2" s="1"/>
  <c r="L1159" i="2"/>
  <c r="M1159" i="2" s="1"/>
  <c r="L1160" i="2"/>
  <c r="M1160" i="2" s="1"/>
  <c r="L1161" i="2"/>
  <c r="M1161" i="2" s="1"/>
  <c r="L1162" i="2"/>
  <c r="M1162" i="2" s="1"/>
  <c r="L1163" i="2"/>
  <c r="M1163" i="2" s="1"/>
  <c r="L1164" i="2"/>
  <c r="M1164" i="2" s="1"/>
  <c r="L1165" i="2"/>
  <c r="M1165" i="2" s="1"/>
  <c r="L1166" i="2"/>
  <c r="M1166" i="2" s="1"/>
  <c r="L1167" i="2"/>
  <c r="M1167" i="2" s="1"/>
  <c r="L1168" i="2"/>
  <c r="M1168" i="2" s="1"/>
  <c r="L1169" i="2"/>
  <c r="M1169" i="2" s="1"/>
  <c r="L1170" i="2"/>
  <c r="M1170" i="2" s="1"/>
  <c r="L1171" i="2"/>
  <c r="M1171" i="2" s="1"/>
  <c r="L1172" i="2"/>
  <c r="M1172" i="2" s="1"/>
  <c r="L1173" i="2"/>
  <c r="M1173" i="2" s="1"/>
  <c r="L1174" i="2"/>
  <c r="M1174" i="2" s="1"/>
  <c r="L1175" i="2"/>
  <c r="M1175" i="2" s="1"/>
  <c r="L1176" i="2"/>
  <c r="M1176" i="2" s="1"/>
  <c r="L1177" i="2"/>
  <c r="M1177" i="2" s="1"/>
  <c r="L1178" i="2"/>
  <c r="M1178" i="2" s="1"/>
  <c r="L1179" i="2"/>
  <c r="M1179" i="2" s="1"/>
  <c r="L1180" i="2"/>
  <c r="M1180" i="2" s="1"/>
  <c r="L1181" i="2"/>
  <c r="M1181" i="2" s="1"/>
  <c r="L1182" i="2"/>
  <c r="M1182" i="2" s="1"/>
  <c r="L1183" i="2"/>
  <c r="M1183" i="2" s="1"/>
  <c r="L1184" i="2"/>
  <c r="M1184" i="2" s="1"/>
  <c r="L1185" i="2"/>
  <c r="M1185" i="2" s="1"/>
  <c r="L1186" i="2"/>
  <c r="M1186" i="2" s="1"/>
  <c r="L1187" i="2"/>
  <c r="M1187" i="2" s="1"/>
  <c r="L1188" i="2"/>
  <c r="M1188" i="2" s="1"/>
  <c r="L1189" i="2"/>
  <c r="M1189" i="2" s="1"/>
  <c r="L1190" i="2"/>
  <c r="M1190" i="2" s="1"/>
  <c r="L1191" i="2"/>
  <c r="M1191" i="2" s="1"/>
  <c r="L1192" i="2"/>
  <c r="M1192" i="2" s="1"/>
  <c r="L1193" i="2"/>
  <c r="M1193" i="2" s="1"/>
  <c r="L1194" i="2"/>
  <c r="M1194" i="2" s="1"/>
  <c r="L1195" i="2"/>
  <c r="M1195" i="2" s="1"/>
  <c r="L1196" i="2"/>
  <c r="M1196" i="2" s="1"/>
  <c r="L1197" i="2"/>
  <c r="M1197" i="2" s="1"/>
  <c r="L1198" i="2"/>
  <c r="M1198" i="2" s="1"/>
  <c r="L1199" i="2"/>
  <c r="M1199" i="2" s="1"/>
  <c r="L1200" i="2"/>
  <c r="M1200" i="2" s="1"/>
  <c r="L1201" i="2"/>
  <c r="M1201" i="2" s="1"/>
  <c r="L1202" i="2"/>
  <c r="M1202" i="2" s="1"/>
  <c r="L1203" i="2"/>
  <c r="M1203" i="2" s="1"/>
  <c r="L1204" i="2"/>
  <c r="M1204" i="2" s="1"/>
  <c r="L1205" i="2"/>
  <c r="M1205" i="2" s="1"/>
  <c r="L1206" i="2"/>
  <c r="M1206" i="2" s="1"/>
  <c r="L1207" i="2"/>
  <c r="M1207" i="2" s="1"/>
  <c r="L1208" i="2"/>
  <c r="M1208" i="2" s="1"/>
  <c r="L1209" i="2"/>
  <c r="M1209" i="2" s="1"/>
  <c r="L1210" i="2"/>
  <c r="M1210" i="2" s="1"/>
  <c r="L1211" i="2"/>
  <c r="M1211" i="2" s="1"/>
  <c r="L1212" i="2"/>
  <c r="M1212" i="2" s="1"/>
  <c r="L1213" i="2"/>
  <c r="M1213" i="2" s="1"/>
  <c r="L1214" i="2"/>
  <c r="M1214" i="2" s="1"/>
  <c r="L1215" i="2"/>
  <c r="M1215" i="2" s="1"/>
  <c r="L1216" i="2"/>
  <c r="M1216" i="2" s="1"/>
  <c r="L1217" i="2"/>
  <c r="M1217" i="2" s="1"/>
  <c r="L1218" i="2"/>
  <c r="L1219" i="2"/>
  <c r="M1219" i="2" s="1"/>
  <c r="L1220" i="2"/>
  <c r="M1220" i="2" s="1"/>
  <c r="L1221" i="2"/>
  <c r="M1221" i="2" s="1"/>
  <c r="L1222" i="2"/>
  <c r="M1222" i="2" s="1"/>
  <c r="L1223" i="2"/>
  <c r="M1223" i="2" s="1"/>
  <c r="L1224" i="2"/>
  <c r="M1224" i="2" s="1"/>
  <c r="L1225" i="2"/>
  <c r="M1225" i="2" s="1"/>
  <c r="L1226" i="2"/>
  <c r="M1226" i="2" s="1"/>
  <c r="L1227" i="2"/>
  <c r="M1227" i="2" s="1"/>
  <c r="L1228" i="2"/>
  <c r="M1228" i="2" s="1"/>
  <c r="L1229" i="2"/>
  <c r="M1229" i="2" s="1"/>
  <c r="L1230" i="2"/>
  <c r="M1230" i="2" s="1"/>
  <c r="L1231" i="2"/>
  <c r="M1231" i="2" s="1"/>
  <c r="L1232" i="2"/>
  <c r="M1232" i="2" s="1"/>
  <c r="L1233" i="2"/>
  <c r="M1233" i="2" s="1"/>
  <c r="L1234" i="2"/>
  <c r="M1234" i="2" s="1"/>
  <c r="L1235" i="2"/>
  <c r="M1235" i="2" s="1"/>
  <c r="L1236" i="2"/>
  <c r="M1236" i="2" s="1"/>
  <c r="L1237" i="2"/>
  <c r="M1237" i="2" s="1"/>
  <c r="L1238" i="2"/>
  <c r="M1238" i="2" s="1"/>
  <c r="L1239" i="2"/>
  <c r="M1239" i="2" s="1"/>
  <c r="L1240" i="2"/>
  <c r="M1240" i="2" s="1"/>
  <c r="L1241" i="2"/>
  <c r="M1241" i="2" s="1"/>
  <c r="L1242" i="2"/>
  <c r="M1242" i="2" s="1"/>
  <c r="L1243" i="2"/>
  <c r="M1243" i="2" s="1"/>
  <c r="L1244" i="2"/>
  <c r="M1244" i="2" s="1"/>
  <c r="L1245" i="2"/>
  <c r="M1245" i="2" s="1"/>
  <c r="L1246" i="2"/>
  <c r="M1246" i="2" s="1"/>
  <c r="L1247" i="2"/>
  <c r="M1247" i="2" s="1"/>
  <c r="L1248" i="2"/>
  <c r="M1248" i="2" s="1"/>
  <c r="L1249" i="2"/>
  <c r="M1249" i="2" s="1"/>
  <c r="L1250" i="2"/>
  <c r="M1250" i="2" s="1"/>
  <c r="L1251" i="2"/>
  <c r="M1251" i="2" s="1"/>
  <c r="L1252" i="2"/>
  <c r="M1252" i="2" s="1"/>
  <c r="L1253" i="2"/>
  <c r="M1253" i="2" s="1"/>
  <c r="L1254" i="2"/>
  <c r="M1254" i="2" s="1"/>
  <c r="L1255" i="2"/>
  <c r="M1255" i="2" s="1"/>
  <c r="L1256" i="2"/>
  <c r="M1256" i="2" s="1"/>
  <c r="L1257" i="2"/>
  <c r="M1257" i="2" s="1"/>
  <c r="L1258" i="2"/>
  <c r="M1258" i="2" s="1"/>
  <c r="L1259" i="2"/>
  <c r="M1259" i="2" s="1"/>
  <c r="L1260" i="2"/>
  <c r="M1260" i="2" s="1"/>
  <c r="L1261" i="2"/>
  <c r="M1261" i="2" s="1"/>
  <c r="L1262" i="2"/>
  <c r="M1262" i="2" s="1"/>
  <c r="L1263" i="2"/>
  <c r="M1263" i="2" s="1"/>
  <c r="L1264" i="2"/>
  <c r="M1264" i="2" s="1"/>
  <c r="L1265" i="2"/>
  <c r="M1265" i="2" s="1"/>
  <c r="L1266" i="2"/>
  <c r="M1266" i="2" s="1"/>
  <c r="L1267" i="2"/>
  <c r="M1267" i="2" s="1"/>
  <c r="L1268" i="2"/>
  <c r="M1268" i="2" s="1"/>
  <c r="L1269" i="2"/>
  <c r="M1269" i="2" s="1"/>
  <c r="L1270" i="2"/>
  <c r="M1270" i="2" s="1"/>
  <c r="L1271" i="2"/>
  <c r="M1271" i="2" s="1"/>
  <c r="L1272" i="2"/>
  <c r="M1272" i="2" s="1"/>
  <c r="L1273" i="2"/>
  <c r="M1273" i="2" s="1"/>
  <c r="L1274" i="2"/>
  <c r="M1274" i="2" s="1"/>
  <c r="L1275" i="2"/>
  <c r="M1275" i="2" s="1"/>
  <c r="L1276" i="2"/>
  <c r="M1276" i="2" s="1"/>
  <c r="L1277" i="2"/>
  <c r="M1277" i="2" s="1"/>
  <c r="L1278" i="2"/>
  <c r="M1278" i="2" s="1"/>
  <c r="L1279" i="2"/>
  <c r="M1279" i="2" s="1"/>
  <c r="L1280" i="2"/>
  <c r="M1280" i="2" s="1"/>
  <c r="L1281" i="2"/>
  <c r="M1281" i="2" s="1"/>
  <c r="L1282" i="2"/>
  <c r="M1282" i="2" s="1"/>
  <c r="L1283" i="2"/>
  <c r="M1283" i="2" s="1"/>
  <c r="L1284" i="2"/>
  <c r="M1284" i="2" s="1"/>
  <c r="L1285" i="2"/>
  <c r="M1285" i="2" s="1"/>
  <c r="L1286" i="2"/>
  <c r="M1286" i="2" s="1"/>
  <c r="L1287" i="2"/>
  <c r="M1287" i="2" s="1"/>
  <c r="L1288" i="2"/>
  <c r="M1288" i="2" s="1"/>
  <c r="L1289" i="2"/>
  <c r="M1289" i="2" s="1"/>
  <c r="L1290" i="2"/>
  <c r="M1290" i="2" s="1"/>
  <c r="L1291" i="2"/>
  <c r="L1292" i="2"/>
  <c r="M1292" i="2" s="1"/>
  <c r="L1293" i="2"/>
  <c r="M1293" i="2" s="1"/>
  <c r="L1294" i="2"/>
  <c r="M1294" i="2" s="1"/>
  <c r="L1295" i="2"/>
  <c r="M1295" i="2" s="1"/>
  <c r="L1296" i="2"/>
  <c r="L1297" i="2"/>
  <c r="M1297" i="2" s="1"/>
  <c r="L1298" i="2"/>
  <c r="M1298" i="2" s="1"/>
  <c r="L1299" i="2"/>
  <c r="M1299" i="2" s="1"/>
  <c r="L1300" i="2"/>
  <c r="M1300" i="2" s="1"/>
  <c r="L1301" i="2"/>
  <c r="M1301" i="2" s="1"/>
  <c r="L1302" i="2"/>
  <c r="M1302" i="2" s="1"/>
  <c r="L1303" i="2"/>
  <c r="M1303" i="2" s="1"/>
  <c r="L1304" i="2"/>
  <c r="M1304" i="2" s="1"/>
  <c r="L1305" i="2"/>
  <c r="M1305" i="2" s="1"/>
  <c r="L1306" i="2"/>
  <c r="M1306" i="2" s="1"/>
  <c r="L1307" i="2"/>
  <c r="M1307" i="2" s="1"/>
  <c r="L1308" i="2"/>
  <c r="M1308" i="2" s="1"/>
  <c r="L1309" i="2"/>
  <c r="M1309" i="2" s="1"/>
  <c r="L1310" i="2"/>
  <c r="M1310" i="2" s="1"/>
  <c r="L1311" i="2"/>
  <c r="M1311" i="2" s="1"/>
  <c r="L1312" i="2"/>
  <c r="M1312" i="2" s="1"/>
  <c r="L1313" i="2"/>
  <c r="L1314" i="2"/>
  <c r="M1314" i="2" s="1"/>
  <c r="L1315" i="2"/>
  <c r="M1315" i="2" s="1"/>
  <c r="L1316" i="2"/>
  <c r="M1316" i="2" s="1"/>
  <c r="L1317" i="2"/>
  <c r="M1317" i="2" s="1"/>
  <c r="L1318" i="2"/>
  <c r="M1318" i="2" s="1"/>
  <c r="L1319" i="2"/>
  <c r="M1319" i="2" s="1"/>
  <c r="L1320" i="2"/>
  <c r="M1320" i="2" s="1"/>
  <c r="L1321" i="2"/>
  <c r="M1321" i="2" s="1"/>
  <c r="L1322" i="2"/>
  <c r="M1322" i="2" s="1"/>
  <c r="L1323" i="2"/>
  <c r="M1323" i="2" s="1"/>
  <c r="L1324" i="2"/>
  <c r="M1324" i="2" s="1"/>
  <c r="L1325" i="2"/>
  <c r="M1325" i="2" s="1"/>
  <c r="L1326" i="2"/>
  <c r="M1326" i="2" s="1"/>
  <c r="L1327" i="2"/>
  <c r="M1327" i="2" s="1"/>
  <c r="L1328" i="2"/>
  <c r="M1328" i="2" s="1"/>
  <c r="L1329" i="2"/>
  <c r="M1329" i="2" s="1"/>
  <c r="L1330" i="2"/>
  <c r="M1330" i="2" s="1"/>
  <c r="L1331" i="2"/>
  <c r="M1331" i="2" s="1"/>
  <c r="L1332" i="2"/>
  <c r="M1332" i="2" s="1"/>
  <c r="L1333" i="2"/>
  <c r="M1333" i="2" s="1"/>
  <c r="L1334" i="2"/>
  <c r="M1334" i="2" s="1"/>
  <c r="L1335" i="2"/>
  <c r="M1335" i="2" s="1"/>
  <c r="L1336" i="2"/>
  <c r="M1336" i="2" s="1"/>
  <c r="L1337" i="2"/>
  <c r="M1337" i="2" s="1"/>
  <c r="L1338" i="2"/>
  <c r="M1338" i="2" s="1"/>
  <c r="L1339" i="2"/>
  <c r="M1339" i="2" s="1"/>
  <c r="L1340" i="2"/>
  <c r="M1340" i="2" s="1"/>
  <c r="L1341" i="2"/>
  <c r="M1341" i="2" s="1"/>
  <c r="L1342" i="2"/>
  <c r="M1342" i="2" s="1"/>
  <c r="L1343" i="2"/>
  <c r="M1343" i="2" s="1"/>
  <c r="L1344" i="2"/>
  <c r="L1345" i="2"/>
  <c r="L1346" i="2"/>
  <c r="M1346" i="2" s="1"/>
  <c r="L1347" i="2"/>
  <c r="M1347" i="2" s="1"/>
  <c r="L1348" i="2"/>
  <c r="M1348" i="2" s="1"/>
  <c r="L1349" i="2"/>
  <c r="M1349" i="2" s="1"/>
  <c r="L1350" i="2"/>
  <c r="L1351" i="2"/>
  <c r="M1351" i="2" s="1"/>
  <c r="L1352" i="2"/>
  <c r="L1353" i="2"/>
  <c r="M1353" i="2" s="1"/>
  <c r="L1354" i="2"/>
  <c r="M1354" i="2" s="1"/>
  <c r="L1355" i="2"/>
  <c r="M1355" i="2" s="1"/>
  <c r="L1356" i="2"/>
  <c r="M1356" i="2" s="1"/>
  <c r="L1357" i="2"/>
  <c r="M1357" i="2" s="1"/>
  <c r="L1358" i="2"/>
  <c r="M1358" i="2" s="1"/>
  <c r="L1359" i="2"/>
  <c r="M1359" i="2" s="1"/>
  <c r="L1360" i="2"/>
  <c r="M1360" i="2" s="1"/>
  <c r="L1361" i="2"/>
  <c r="M1361" i="2" s="1"/>
  <c r="L1362" i="2"/>
  <c r="M1362" i="2" s="1"/>
  <c r="L1363" i="2"/>
  <c r="M1363" i="2" s="1"/>
  <c r="L1364" i="2"/>
  <c r="M1364" i="2" s="1"/>
  <c r="L1365" i="2"/>
  <c r="M1365" i="2" s="1"/>
  <c r="L1366" i="2"/>
  <c r="M1366" i="2" s="1"/>
  <c r="L1367" i="2"/>
  <c r="M1367" i="2" s="1"/>
  <c r="L1368" i="2"/>
  <c r="M1368" i="2" s="1"/>
  <c r="L1369" i="2"/>
  <c r="M1369" i="2" s="1"/>
  <c r="L1370" i="2"/>
  <c r="M1370" i="2" s="1"/>
  <c r="L1371" i="2"/>
  <c r="M1371" i="2" s="1"/>
  <c r="L1372" i="2"/>
  <c r="M1372" i="2" s="1"/>
  <c r="L1373" i="2"/>
  <c r="M1373" i="2" s="1"/>
  <c r="L1374" i="2"/>
  <c r="M1374" i="2" s="1"/>
  <c r="L1375" i="2"/>
  <c r="M1375" i="2" s="1"/>
  <c r="L1376" i="2"/>
  <c r="M1376" i="2" s="1"/>
  <c r="L1377" i="2"/>
  <c r="M1377" i="2" s="1"/>
  <c r="L1378" i="2"/>
  <c r="M1378" i="2" s="1"/>
  <c r="L1379" i="2"/>
  <c r="M1379" i="2" s="1"/>
  <c r="L1380" i="2"/>
  <c r="M1380" i="2" s="1"/>
  <c r="L1381" i="2"/>
  <c r="M1381" i="2" s="1"/>
  <c r="L1382" i="2"/>
  <c r="M1382" i="2" s="1"/>
  <c r="L1383" i="2"/>
  <c r="M1383" i="2" s="1"/>
  <c r="L1384" i="2"/>
  <c r="M1384" i="2" s="1"/>
  <c r="L1385" i="2"/>
  <c r="M1385" i="2" s="1"/>
  <c r="L1386" i="2"/>
  <c r="M1386" i="2" s="1"/>
  <c r="L1387" i="2"/>
  <c r="M1387" i="2" s="1"/>
  <c r="L1388" i="2"/>
  <c r="M1388" i="2" s="1"/>
  <c r="L1389" i="2"/>
  <c r="M1389" i="2" s="1"/>
  <c r="L1390" i="2"/>
  <c r="M1390" i="2" s="1"/>
  <c r="L1391" i="2"/>
  <c r="M1391" i="2" s="1"/>
  <c r="L1392" i="2"/>
  <c r="M1392" i="2" s="1"/>
  <c r="L1393" i="2"/>
  <c r="M1393" i="2" s="1"/>
  <c r="L1394" i="2"/>
  <c r="M1394" i="2" s="1"/>
  <c r="L1395" i="2"/>
  <c r="M1395" i="2" s="1"/>
  <c r="L1396" i="2"/>
  <c r="M1396" i="2" s="1"/>
  <c r="L1397" i="2"/>
  <c r="M1397" i="2" s="1"/>
  <c r="L1398" i="2"/>
  <c r="M1398" i="2" s="1"/>
  <c r="L1399" i="2"/>
  <c r="M1399" i="2" s="1"/>
  <c r="L1400" i="2"/>
  <c r="M1400" i="2" s="1"/>
  <c r="L1401" i="2"/>
  <c r="M1401" i="2" s="1"/>
  <c r="L1402" i="2"/>
  <c r="M1402" i="2" s="1"/>
  <c r="L1403" i="2"/>
  <c r="M1403" i="2" s="1"/>
  <c r="L1404" i="2"/>
  <c r="M1404" i="2" s="1"/>
  <c r="L1405" i="2"/>
  <c r="M1405" i="2" s="1"/>
  <c r="L1406" i="2"/>
  <c r="M1406" i="2" s="1"/>
  <c r="L1407" i="2"/>
  <c r="M1407" i="2" s="1"/>
  <c r="L1408" i="2"/>
  <c r="M1408" i="2" s="1"/>
  <c r="L1409" i="2"/>
  <c r="M1409" i="2" s="1"/>
  <c r="L1410" i="2"/>
  <c r="M1410" i="2" s="1"/>
  <c r="L1411" i="2"/>
  <c r="M1411" i="2" s="1"/>
  <c r="L1412" i="2"/>
  <c r="M1412" i="2" s="1"/>
  <c r="L1413" i="2"/>
  <c r="M1413" i="2" s="1"/>
  <c r="L1414" i="2"/>
  <c r="M1414" i="2" s="1"/>
  <c r="L1415" i="2"/>
  <c r="M1415" i="2" s="1"/>
  <c r="L1416" i="2"/>
  <c r="M1416" i="2" s="1"/>
  <c r="L1417" i="2"/>
  <c r="M1417" i="2" s="1"/>
  <c r="L1418" i="2"/>
  <c r="M1418" i="2" s="1"/>
  <c r="L1419" i="2"/>
  <c r="M1419" i="2" s="1"/>
  <c r="L1420" i="2"/>
  <c r="L1421" i="2"/>
  <c r="M1421" i="2" s="1"/>
  <c r="L1422" i="2"/>
  <c r="M1422" i="2" s="1"/>
  <c r="L1423" i="2"/>
  <c r="M1423" i="2" s="1"/>
  <c r="L1424" i="2"/>
  <c r="M1424" i="2" s="1"/>
  <c r="L1425" i="2"/>
  <c r="M1425" i="2" s="1"/>
  <c r="L1426" i="2"/>
  <c r="M1426" i="2" s="1"/>
  <c r="L1427" i="2"/>
  <c r="M1427" i="2" s="1"/>
  <c r="L1428" i="2"/>
  <c r="M1428" i="2" s="1"/>
  <c r="L1429" i="2"/>
  <c r="M1429" i="2" s="1"/>
  <c r="L1430" i="2"/>
  <c r="M1430" i="2" s="1"/>
  <c r="L1431" i="2"/>
  <c r="M1431" i="2" s="1"/>
  <c r="L1432" i="2"/>
  <c r="M1432" i="2" s="1"/>
  <c r="L1433" i="2"/>
  <c r="M1433" i="2" s="1"/>
  <c r="L1434" i="2"/>
  <c r="M1434" i="2" s="1"/>
  <c r="L1435" i="2"/>
  <c r="M1435" i="2" s="1"/>
  <c r="L1436" i="2"/>
  <c r="M1436" i="2" s="1"/>
  <c r="L1437" i="2"/>
  <c r="M1437" i="2" s="1"/>
  <c r="L1438" i="2"/>
  <c r="M1438" i="2" s="1"/>
  <c r="L1439" i="2"/>
  <c r="M1439" i="2" s="1"/>
  <c r="L1440" i="2"/>
  <c r="M1440" i="2" s="1"/>
  <c r="L1441" i="2"/>
  <c r="M1441" i="2" s="1"/>
  <c r="L1442" i="2"/>
  <c r="M1442" i="2" s="1"/>
  <c r="L1443" i="2"/>
  <c r="M1443" i="2" s="1"/>
  <c r="L1444" i="2"/>
  <c r="M1444" i="2" s="1"/>
  <c r="L1445" i="2"/>
  <c r="M1445" i="2" s="1"/>
  <c r="L1446" i="2"/>
  <c r="M1446" i="2" s="1"/>
  <c r="L1447" i="2"/>
  <c r="M1447" i="2" s="1"/>
  <c r="L1448" i="2"/>
  <c r="M1448" i="2" s="1"/>
  <c r="L1449" i="2"/>
  <c r="M1449" i="2" s="1"/>
  <c r="L1450" i="2"/>
  <c r="M1450" i="2" s="1"/>
  <c r="L1451" i="2"/>
  <c r="M1451" i="2" s="1"/>
  <c r="L1452" i="2"/>
  <c r="M1452" i="2" s="1"/>
  <c r="L1453" i="2"/>
  <c r="M1453" i="2" s="1"/>
  <c r="L1454" i="2"/>
  <c r="M1454" i="2" s="1"/>
  <c r="L1455" i="2"/>
  <c r="M1455" i="2" s="1"/>
  <c r="L1456" i="2"/>
  <c r="M1456" i="2" s="1"/>
  <c r="L1457" i="2"/>
  <c r="M1457" i="2" s="1"/>
  <c r="L1458" i="2"/>
  <c r="M1458" i="2" s="1"/>
  <c r="L1459" i="2"/>
  <c r="M1459" i="2" s="1"/>
  <c r="L1460" i="2"/>
  <c r="M1460" i="2" s="1"/>
  <c r="L1461" i="2"/>
  <c r="M1461" i="2" s="1"/>
  <c r="L1462" i="2"/>
  <c r="M1462" i="2" s="1"/>
  <c r="L1463" i="2"/>
  <c r="M1463" i="2" s="1"/>
  <c r="L1464" i="2"/>
  <c r="M1464" i="2" s="1"/>
  <c r="L1465" i="2"/>
  <c r="M1465" i="2" s="1"/>
  <c r="L1466" i="2"/>
  <c r="M1466" i="2" s="1"/>
  <c r="L1467" i="2"/>
  <c r="M1467" i="2" s="1"/>
  <c r="L1468" i="2"/>
  <c r="M1468" i="2" s="1"/>
  <c r="L1469" i="2"/>
  <c r="M1469" i="2" s="1"/>
  <c r="L1470" i="2"/>
  <c r="M1470" i="2" s="1"/>
  <c r="L1471" i="2"/>
  <c r="M1471" i="2" s="1"/>
  <c r="L1472" i="2"/>
  <c r="M1472" i="2" s="1"/>
  <c r="L1473" i="2"/>
  <c r="M1473" i="2" s="1"/>
  <c r="L1474" i="2"/>
  <c r="M1474" i="2" s="1"/>
  <c r="L1475" i="2"/>
  <c r="M1475" i="2" s="1"/>
  <c r="L1476" i="2"/>
  <c r="M1476" i="2" s="1"/>
  <c r="L1477" i="2"/>
  <c r="M1477" i="2" s="1"/>
  <c r="L1478" i="2"/>
  <c r="M1478" i="2" s="1"/>
  <c r="L1479" i="2"/>
  <c r="M1479" i="2" s="1"/>
  <c r="L1480" i="2"/>
  <c r="M1480" i="2" s="1"/>
  <c r="L1481" i="2"/>
  <c r="M1481" i="2" s="1"/>
  <c r="L1482" i="2"/>
  <c r="M1482" i="2" s="1"/>
  <c r="L1483" i="2"/>
  <c r="M1483" i="2" s="1"/>
  <c r="L1484" i="2"/>
  <c r="M1484" i="2" s="1"/>
  <c r="L1485" i="2"/>
  <c r="M1485" i="2" s="1"/>
  <c r="L1486" i="2"/>
  <c r="M1486" i="2" s="1"/>
  <c r="L1487" i="2"/>
  <c r="M1487" i="2" s="1"/>
  <c r="L1488" i="2"/>
  <c r="M1488" i="2" s="1"/>
  <c r="L1489" i="2"/>
  <c r="M1489" i="2" s="1"/>
  <c r="L1490" i="2"/>
  <c r="M1490" i="2" s="1"/>
  <c r="L1491" i="2"/>
  <c r="M1491" i="2" s="1"/>
  <c r="L1492" i="2"/>
  <c r="M1492" i="2" s="1"/>
  <c r="L1493" i="2"/>
  <c r="M1493" i="2" s="1"/>
  <c r="L1494" i="2"/>
  <c r="M1494" i="2" s="1"/>
  <c r="L1495" i="2"/>
  <c r="M1495" i="2" s="1"/>
  <c r="L1496" i="2"/>
  <c r="L1497" i="2"/>
  <c r="M1497" i="2" s="1"/>
  <c r="L1498" i="2"/>
  <c r="M1498" i="2" s="1"/>
  <c r="L1499" i="2"/>
  <c r="M1499" i="2" s="1"/>
  <c r="L1500" i="2"/>
  <c r="M1500" i="2" s="1"/>
  <c r="L1501" i="2"/>
  <c r="M1501" i="2" s="1"/>
  <c r="L1502" i="2"/>
  <c r="L1503" i="2"/>
  <c r="M1503" i="2" s="1"/>
  <c r="L1504" i="2"/>
  <c r="M1504" i="2" s="1"/>
  <c r="L1505" i="2"/>
  <c r="M1505" i="2" s="1"/>
  <c r="L1506" i="2"/>
  <c r="M1506" i="2" s="1"/>
  <c r="L1507" i="2"/>
  <c r="M1507" i="2" s="1"/>
  <c r="L1508" i="2"/>
  <c r="M1508" i="2" s="1"/>
  <c r="L1509" i="2"/>
  <c r="M1509" i="2" s="1"/>
  <c r="L1510" i="2"/>
  <c r="M1510" i="2" s="1"/>
  <c r="L1511" i="2"/>
  <c r="L1512" i="2"/>
  <c r="M1512" i="2" s="1"/>
  <c r="L1513" i="2"/>
  <c r="M1513" i="2" s="1"/>
  <c r="L1514" i="2"/>
  <c r="M1514" i="2" s="1"/>
  <c r="L1515" i="2"/>
  <c r="M1515" i="2" s="1"/>
  <c r="L1516" i="2"/>
  <c r="M1516" i="2" s="1"/>
  <c r="L1517" i="2"/>
  <c r="M1517" i="2" s="1"/>
  <c r="L1518" i="2"/>
  <c r="M1518" i="2" s="1"/>
  <c r="L1519" i="2"/>
  <c r="M1519" i="2" s="1"/>
  <c r="L1520" i="2"/>
  <c r="M1520" i="2" s="1"/>
  <c r="L1521" i="2"/>
  <c r="M1521" i="2" s="1"/>
  <c r="L1522" i="2"/>
  <c r="M1522" i="2" s="1"/>
  <c r="L1523" i="2"/>
  <c r="M1523" i="2" s="1"/>
  <c r="L1524" i="2"/>
  <c r="M1524" i="2" s="1"/>
  <c r="L1525" i="2"/>
  <c r="M1525" i="2" s="1"/>
  <c r="L1526" i="2"/>
  <c r="M1526" i="2" s="1"/>
  <c r="L1527" i="2"/>
  <c r="M1527" i="2" s="1"/>
  <c r="L1528" i="2"/>
  <c r="M1528" i="2" s="1"/>
  <c r="L1529" i="2"/>
  <c r="M1529" i="2" s="1"/>
  <c r="L1530" i="2"/>
  <c r="M1530" i="2" s="1"/>
  <c r="L1531" i="2"/>
  <c r="M1531" i="2" s="1"/>
  <c r="L1532" i="2"/>
  <c r="M1532" i="2" s="1"/>
  <c r="L1533" i="2"/>
  <c r="M1533" i="2" s="1"/>
  <c r="L1534" i="2"/>
  <c r="M1534" i="2" s="1"/>
  <c r="L1535" i="2"/>
  <c r="M1535" i="2" s="1"/>
  <c r="L1536" i="2"/>
  <c r="M1536" i="2" s="1"/>
  <c r="L1537" i="2"/>
  <c r="M1537" i="2" s="1"/>
  <c r="L1538" i="2"/>
  <c r="M1538" i="2" s="1"/>
  <c r="L1539" i="2"/>
  <c r="M1539" i="2" s="1"/>
  <c r="L1540" i="2"/>
  <c r="M1540" i="2" s="1"/>
  <c r="L1541" i="2"/>
  <c r="L1542" i="2"/>
  <c r="M1542" i="2" s="1"/>
  <c r="L1543" i="2"/>
  <c r="M1543" i="2" s="1"/>
  <c r="L1544" i="2"/>
  <c r="M1544" i="2" s="1"/>
  <c r="L1545" i="2"/>
  <c r="M1545" i="2" s="1"/>
  <c r="L1546" i="2"/>
  <c r="M1546" i="2" s="1"/>
  <c r="L1547" i="2"/>
  <c r="M1547" i="2" s="1"/>
  <c r="L1548" i="2"/>
  <c r="M1548" i="2" s="1"/>
  <c r="L1549" i="2"/>
  <c r="M1549" i="2" s="1"/>
  <c r="L1550" i="2"/>
  <c r="M1550" i="2" s="1"/>
  <c r="L1551" i="2"/>
  <c r="M1551" i="2" s="1"/>
  <c r="L1552" i="2"/>
  <c r="L1553" i="2"/>
  <c r="M1553" i="2" s="1"/>
  <c r="L1554" i="2"/>
  <c r="M1554" i="2" s="1"/>
  <c r="L1555" i="2"/>
  <c r="M1555" i="2" s="1"/>
  <c r="L1556" i="2"/>
  <c r="L1557" i="2"/>
  <c r="M1557" i="2" s="1"/>
  <c r="L1558" i="2"/>
  <c r="M1558" i="2" s="1"/>
  <c r="L1559" i="2"/>
  <c r="M1559" i="2" s="1"/>
  <c r="L1560" i="2"/>
  <c r="M1560" i="2" s="1"/>
  <c r="L1561" i="2"/>
  <c r="M1561" i="2" s="1"/>
  <c r="L1562" i="2"/>
  <c r="M1562" i="2" s="1"/>
  <c r="L1563" i="2"/>
  <c r="M1563" i="2" s="1"/>
  <c r="L1564" i="2"/>
  <c r="L1565" i="2"/>
  <c r="M1565" i="2" s="1"/>
  <c r="L1566" i="2"/>
  <c r="M1566" i="2" s="1"/>
  <c r="L1567" i="2"/>
  <c r="M1567" i="2" s="1"/>
  <c r="L1568" i="2"/>
  <c r="M1568" i="2" s="1"/>
  <c r="L1569" i="2"/>
  <c r="M1569" i="2" s="1"/>
  <c r="L1570" i="2"/>
  <c r="M1570" i="2" s="1"/>
  <c r="L1571" i="2"/>
  <c r="M1571" i="2" s="1"/>
  <c r="L1572" i="2"/>
  <c r="M1572" i="2" s="1"/>
  <c r="L1573" i="2"/>
  <c r="M1573" i="2" s="1"/>
  <c r="L1574" i="2"/>
  <c r="M1574" i="2" s="1"/>
  <c r="L1575" i="2"/>
  <c r="M1575" i="2" s="1"/>
  <c r="L1576" i="2"/>
  <c r="M1576" i="2" s="1"/>
  <c r="L1577" i="2"/>
  <c r="M1577" i="2" s="1"/>
  <c r="L1578" i="2"/>
  <c r="M1578" i="2" s="1"/>
  <c r="L1579" i="2"/>
  <c r="M1579" i="2" s="1"/>
  <c r="L1580" i="2"/>
  <c r="M1580" i="2" s="1"/>
  <c r="L1581" i="2"/>
  <c r="M1581" i="2" s="1"/>
  <c r="L1582" i="2"/>
  <c r="M1582" i="2" s="1"/>
  <c r="L1583" i="2"/>
  <c r="M1583" i="2" s="1"/>
  <c r="L1584" i="2"/>
  <c r="M1584" i="2" s="1"/>
  <c r="L1585" i="2"/>
  <c r="M1585" i="2" s="1"/>
  <c r="L1586" i="2"/>
  <c r="M1586" i="2" s="1"/>
  <c r="L1587" i="2"/>
  <c r="M1587" i="2" s="1"/>
  <c r="L1588" i="2"/>
  <c r="M1588" i="2" s="1"/>
  <c r="L1589" i="2"/>
  <c r="M1589" i="2" s="1"/>
  <c r="L1590" i="2"/>
  <c r="M1590" i="2" s="1"/>
  <c r="L1591" i="2"/>
  <c r="M1591" i="2" s="1"/>
  <c r="L1592" i="2"/>
  <c r="M1592" i="2" s="1"/>
  <c r="L1593" i="2"/>
  <c r="M1593" i="2" s="1"/>
  <c r="L1594" i="2"/>
  <c r="M1594" i="2" s="1"/>
  <c r="L1595" i="2"/>
  <c r="M1595" i="2" s="1"/>
  <c r="L1596" i="2"/>
  <c r="M1596" i="2" s="1"/>
  <c r="L1597" i="2"/>
  <c r="M1597" i="2" s="1"/>
  <c r="L1598" i="2"/>
  <c r="M1598" i="2" s="1"/>
  <c r="L1599" i="2"/>
  <c r="M1599" i="2" s="1"/>
  <c r="L1600" i="2"/>
  <c r="M1600" i="2" s="1"/>
  <c r="L1601" i="2"/>
  <c r="M1601" i="2" s="1"/>
  <c r="L1602" i="2"/>
  <c r="M1602" i="2" s="1"/>
  <c r="L1603" i="2"/>
  <c r="M1603" i="2" s="1"/>
  <c r="L1604" i="2"/>
  <c r="M1604" i="2" s="1"/>
  <c r="L1605" i="2"/>
  <c r="M1605" i="2" s="1"/>
  <c r="L1606" i="2"/>
  <c r="M1606" i="2" s="1"/>
  <c r="L1607" i="2"/>
  <c r="M1607" i="2" s="1"/>
  <c r="L1608" i="2"/>
  <c r="M1608" i="2" s="1"/>
  <c r="L1609" i="2"/>
  <c r="M1609" i="2" s="1"/>
  <c r="L1610" i="2"/>
  <c r="M1610" i="2" s="1"/>
  <c r="L1611" i="2"/>
  <c r="M1611" i="2" s="1"/>
  <c r="L1612" i="2"/>
  <c r="M1612" i="2" s="1"/>
  <c r="L1613" i="2"/>
  <c r="M1613" i="2" s="1"/>
  <c r="L1614" i="2"/>
  <c r="M1614" i="2" s="1"/>
  <c r="L1615" i="2"/>
  <c r="M1615" i="2" s="1"/>
  <c r="L1616" i="2"/>
  <c r="M1616" i="2" s="1"/>
  <c r="L1617" i="2"/>
  <c r="M1617" i="2" s="1"/>
  <c r="L1618" i="2"/>
  <c r="M1618" i="2" s="1"/>
  <c r="L1619" i="2"/>
  <c r="M1619" i="2" s="1"/>
  <c r="L1620" i="2"/>
  <c r="M1620" i="2" s="1"/>
  <c r="L1621" i="2"/>
  <c r="M1621" i="2" s="1"/>
  <c r="L1622" i="2"/>
  <c r="M1622" i="2" s="1"/>
  <c r="L1623" i="2"/>
  <c r="M1623" i="2" s="1"/>
  <c r="L1624" i="2"/>
  <c r="M1624" i="2" s="1"/>
  <c r="L1625" i="2"/>
  <c r="M1625" i="2" s="1"/>
  <c r="L1626" i="2"/>
  <c r="M1626" i="2" s="1"/>
  <c r="L1627" i="2"/>
  <c r="M1627" i="2" s="1"/>
  <c r="L1628" i="2"/>
  <c r="M1628" i="2" s="1"/>
  <c r="L1629" i="2"/>
  <c r="M1629" i="2" s="1"/>
  <c r="L1630" i="2"/>
  <c r="M1630" i="2" s="1"/>
  <c r="L1631" i="2"/>
  <c r="M1631" i="2" s="1"/>
  <c r="L1632" i="2"/>
  <c r="M1632" i="2" s="1"/>
  <c r="L1633" i="2"/>
  <c r="L1634" i="2"/>
  <c r="M1634" i="2" s="1"/>
  <c r="L1635" i="2"/>
  <c r="M1635" i="2" s="1"/>
  <c r="L1636" i="2"/>
  <c r="M1636" i="2" s="1"/>
  <c r="L1637" i="2"/>
  <c r="M1637" i="2" s="1"/>
  <c r="L1638" i="2"/>
  <c r="M1638" i="2" s="1"/>
  <c r="L1639" i="2"/>
  <c r="M1639" i="2" s="1"/>
  <c r="L1640" i="2"/>
  <c r="M1640" i="2" s="1"/>
  <c r="L1641" i="2"/>
  <c r="M1641" i="2" s="1"/>
  <c r="L1642" i="2"/>
  <c r="M1642" i="2" s="1"/>
  <c r="L1643" i="2"/>
  <c r="M1643" i="2" s="1"/>
  <c r="L1644" i="2"/>
  <c r="M1644" i="2" s="1"/>
  <c r="L1645" i="2"/>
  <c r="M1645" i="2" s="1"/>
  <c r="L1646" i="2"/>
  <c r="M1646" i="2" s="1"/>
  <c r="L1647" i="2"/>
  <c r="M1647" i="2" s="1"/>
  <c r="L1648" i="2"/>
  <c r="M1648" i="2" s="1"/>
  <c r="L1649" i="2"/>
  <c r="M1649" i="2" s="1"/>
  <c r="L1650" i="2"/>
  <c r="M1650" i="2" s="1"/>
  <c r="L1651" i="2"/>
  <c r="M1651" i="2" s="1"/>
  <c r="L1652" i="2"/>
  <c r="M1652" i="2" s="1"/>
  <c r="L1653" i="2"/>
  <c r="M1653" i="2" s="1"/>
  <c r="L1654" i="2"/>
  <c r="M1654" i="2" s="1"/>
  <c r="L1655" i="2"/>
  <c r="M1655" i="2" s="1"/>
  <c r="L1656" i="2"/>
  <c r="M1656" i="2" s="1"/>
  <c r="L1657" i="2"/>
  <c r="M1657" i="2" s="1"/>
  <c r="L1658" i="2"/>
  <c r="M1658" i="2" s="1"/>
  <c r="L1659" i="2"/>
  <c r="M1659" i="2" s="1"/>
  <c r="L1660" i="2"/>
  <c r="M1660" i="2" s="1"/>
  <c r="L1661" i="2"/>
  <c r="M1661" i="2" s="1"/>
  <c r="L1662" i="2"/>
  <c r="M1662" i="2" s="1"/>
  <c r="L1663" i="2"/>
  <c r="M1663" i="2" s="1"/>
  <c r="L1664" i="2"/>
  <c r="M1664" i="2" s="1"/>
  <c r="L1665" i="2"/>
  <c r="M1665" i="2" s="1"/>
  <c r="L1666" i="2"/>
  <c r="M1666" i="2" s="1"/>
  <c r="L1667" i="2"/>
  <c r="M1667" i="2" s="1"/>
  <c r="L1668" i="2"/>
  <c r="M1668" i="2" s="1"/>
  <c r="L1669" i="2"/>
  <c r="M1669" i="2" s="1"/>
  <c r="L1670" i="2"/>
  <c r="M1670" i="2" s="1"/>
  <c r="L1671" i="2"/>
  <c r="M1671" i="2" s="1"/>
  <c r="L1672" i="2"/>
  <c r="M1672" i="2" s="1"/>
  <c r="L1673" i="2"/>
  <c r="M1673" i="2" s="1"/>
  <c r="L1674" i="2"/>
  <c r="M1674" i="2" s="1"/>
  <c r="L1675" i="2"/>
  <c r="M1675" i="2" s="1"/>
  <c r="L1676" i="2"/>
  <c r="M1676" i="2" s="1"/>
  <c r="L1677" i="2"/>
  <c r="M1677" i="2" s="1"/>
  <c r="L1678" i="2"/>
  <c r="M1678" i="2" s="1"/>
  <c r="L1679" i="2"/>
  <c r="M1679" i="2" s="1"/>
  <c r="L1680" i="2"/>
  <c r="M1680" i="2" s="1"/>
  <c r="L1681" i="2"/>
  <c r="M1681" i="2" s="1"/>
  <c r="L1682" i="2"/>
  <c r="M1682" i="2" s="1"/>
  <c r="L1683" i="2"/>
  <c r="M1683" i="2" s="1"/>
  <c r="L1684" i="2"/>
  <c r="M1684" i="2" s="1"/>
  <c r="L1685" i="2"/>
  <c r="M1685" i="2" s="1"/>
  <c r="L1686" i="2"/>
  <c r="M1686" i="2" s="1"/>
  <c r="L1687" i="2"/>
  <c r="M1687" i="2" s="1"/>
  <c r="L1688" i="2"/>
  <c r="M1688" i="2" s="1"/>
  <c r="L1689" i="2"/>
  <c r="M1689" i="2" s="1"/>
  <c r="L1690" i="2"/>
  <c r="M1690" i="2" s="1"/>
  <c r="L1691" i="2"/>
  <c r="M1691" i="2" s="1"/>
  <c r="L1692" i="2"/>
  <c r="M1692" i="2" s="1"/>
  <c r="L1693" i="2"/>
  <c r="M1693" i="2" s="1"/>
  <c r="L1694" i="2"/>
  <c r="M1694" i="2" s="1"/>
  <c r="L1695" i="2"/>
  <c r="M1695" i="2" s="1"/>
  <c r="L1696" i="2"/>
  <c r="M1696" i="2" s="1"/>
  <c r="L1697" i="2"/>
  <c r="M1697" i="2" s="1"/>
  <c r="L1698" i="2"/>
  <c r="M1698" i="2" s="1"/>
  <c r="L1699" i="2"/>
  <c r="M1699" i="2" s="1"/>
  <c r="L1700" i="2"/>
  <c r="M1700" i="2" s="1"/>
  <c r="L1701" i="2"/>
  <c r="M1701" i="2" s="1"/>
  <c r="L1702" i="2"/>
  <c r="M1702" i="2" s="1"/>
  <c r="L1703" i="2"/>
  <c r="M1703" i="2" s="1"/>
  <c r="L1704" i="2"/>
  <c r="M1704" i="2" s="1"/>
  <c r="L1705" i="2"/>
  <c r="M1705" i="2" s="1"/>
  <c r="L1706" i="2"/>
  <c r="M1706" i="2" s="1"/>
  <c r="L1707" i="2"/>
  <c r="M1707" i="2" s="1"/>
  <c r="L1708" i="2"/>
  <c r="L1709" i="2"/>
  <c r="M1709" i="2" s="1"/>
  <c r="L1710" i="2"/>
  <c r="M1710" i="2" s="1"/>
  <c r="L1711" i="2"/>
  <c r="M1711" i="2" s="1"/>
  <c r="L1712" i="2"/>
  <c r="M1712" i="2" s="1"/>
  <c r="L1713" i="2"/>
  <c r="M1713" i="2" s="1"/>
  <c r="L1714" i="2"/>
  <c r="M1714" i="2" s="1"/>
  <c r="L1715" i="2"/>
  <c r="M1715" i="2" s="1"/>
  <c r="L1716" i="2"/>
  <c r="M1716" i="2" s="1"/>
  <c r="L1717" i="2"/>
  <c r="M1717" i="2" s="1"/>
  <c r="L1718" i="2"/>
  <c r="M1718" i="2" s="1"/>
  <c r="L1719" i="2"/>
  <c r="M1719" i="2" s="1"/>
  <c r="L1720" i="2"/>
  <c r="M1720" i="2" s="1"/>
  <c r="L1721" i="2"/>
  <c r="M1721" i="2" s="1"/>
  <c r="L1722" i="2"/>
  <c r="M1722" i="2" s="1"/>
  <c r="L1723" i="2"/>
  <c r="M1723" i="2" s="1"/>
  <c r="L1724" i="2"/>
  <c r="M1724" i="2" s="1"/>
  <c r="L1725" i="2"/>
  <c r="M1725" i="2" s="1"/>
  <c r="L1726" i="2"/>
  <c r="M1726" i="2" s="1"/>
  <c r="L1727" i="2"/>
  <c r="L1728" i="2"/>
  <c r="M1728" i="2" s="1"/>
  <c r="L1729" i="2"/>
  <c r="M1729" i="2" s="1"/>
  <c r="L1730" i="2"/>
  <c r="M1730" i="2" s="1"/>
  <c r="L1731" i="2"/>
  <c r="L1732" i="2"/>
  <c r="M1732" i="2" s="1"/>
  <c r="L1733" i="2"/>
  <c r="M1733" i="2" s="1"/>
  <c r="L1734" i="2"/>
  <c r="M1734" i="2" s="1"/>
  <c r="L1735" i="2"/>
  <c r="L1736" i="2"/>
  <c r="M1736" i="2" s="1"/>
  <c r="L1737" i="2"/>
  <c r="M1737" i="2" s="1"/>
  <c r="L1738" i="2"/>
  <c r="M1738" i="2" s="1"/>
  <c r="L1739" i="2"/>
  <c r="M1739" i="2" s="1"/>
  <c r="L1740" i="2"/>
  <c r="M1740" i="2" s="1"/>
  <c r="L1741" i="2"/>
  <c r="M1741" i="2" s="1"/>
  <c r="L1742" i="2"/>
  <c r="M1742" i="2" s="1"/>
  <c r="L1743" i="2"/>
  <c r="M1743" i="2" s="1"/>
  <c r="L1744" i="2"/>
  <c r="M1744" i="2" s="1"/>
  <c r="L1745" i="2"/>
  <c r="L1746" i="2"/>
  <c r="M1746" i="2" s="1"/>
  <c r="L1747" i="2"/>
  <c r="M1747" i="2" s="1"/>
  <c r="L1748" i="2"/>
  <c r="M1748" i="2" s="1"/>
  <c r="L1749" i="2"/>
  <c r="L1750" i="2"/>
  <c r="M1750" i="2" s="1"/>
  <c r="L1751" i="2"/>
  <c r="M1751" i="2" s="1"/>
  <c r="L1752" i="2"/>
  <c r="M1752" i="2" s="1"/>
  <c r="L1753" i="2"/>
  <c r="M1753" i="2" s="1"/>
  <c r="L1754" i="2"/>
  <c r="L1755" i="2"/>
  <c r="M1755" i="2" s="1"/>
  <c r="L1756" i="2"/>
  <c r="M1756" i="2" s="1"/>
  <c r="L1757" i="2"/>
  <c r="L1758" i="2"/>
  <c r="M1758" i="2" s="1"/>
  <c r="L1759" i="2"/>
  <c r="M1759" i="2" s="1"/>
  <c r="L1760" i="2"/>
  <c r="M1760" i="2" s="1"/>
  <c r="L1761" i="2"/>
  <c r="M1761" i="2" s="1"/>
  <c r="L1762" i="2"/>
  <c r="M1762" i="2" s="1"/>
  <c r="L1763" i="2"/>
  <c r="M1763" i="2" s="1"/>
  <c r="L1764" i="2"/>
  <c r="M1764" i="2" s="1"/>
  <c r="L1765" i="2"/>
  <c r="M1765" i="2" s="1"/>
  <c r="L1766" i="2"/>
  <c r="M1766" i="2" s="1"/>
  <c r="L1767" i="2"/>
  <c r="M1767" i="2" s="1"/>
  <c r="L1768" i="2"/>
  <c r="M1768" i="2" s="1"/>
  <c r="L1769" i="2"/>
  <c r="L1770" i="2"/>
  <c r="M1770" i="2" s="1"/>
  <c r="L1771" i="2"/>
  <c r="L1772" i="2"/>
  <c r="M1772" i="2" s="1"/>
  <c r="L1773" i="2"/>
  <c r="M1773" i="2" s="1"/>
  <c r="L1774" i="2"/>
  <c r="M1774" i="2" s="1"/>
  <c r="L1775" i="2"/>
  <c r="M1775" i="2" s="1"/>
  <c r="L1776" i="2"/>
  <c r="M1776" i="2" s="1"/>
  <c r="L1777" i="2"/>
  <c r="M1777" i="2" s="1"/>
  <c r="L1778" i="2"/>
  <c r="M1778" i="2" s="1"/>
  <c r="L1779" i="2"/>
  <c r="M1779" i="2" s="1"/>
  <c r="L1780" i="2"/>
  <c r="M1780" i="2" s="1"/>
  <c r="L1781" i="2"/>
  <c r="M1781" i="2" s="1"/>
  <c r="L1782" i="2"/>
  <c r="M1782" i="2" s="1"/>
  <c r="L1783" i="2"/>
  <c r="M1783" i="2" s="1"/>
  <c r="L1784" i="2"/>
  <c r="M1784" i="2" s="1"/>
  <c r="L1785" i="2"/>
  <c r="M1785" i="2" s="1"/>
  <c r="L1786" i="2"/>
  <c r="M1786" i="2" s="1"/>
  <c r="L1787" i="2"/>
  <c r="M1787" i="2" s="1"/>
  <c r="L1788" i="2"/>
  <c r="M1788" i="2" s="1"/>
  <c r="L1789" i="2"/>
  <c r="M1789" i="2" s="1"/>
  <c r="L1790" i="2"/>
  <c r="M1790" i="2" s="1"/>
  <c r="L1791" i="2"/>
  <c r="M1791" i="2" s="1"/>
  <c r="L1792" i="2"/>
  <c r="M1792" i="2" s="1"/>
  <c r="L1793" i="2"/>
  <c r="M1793" i="2" s="1"/>
  <c r="L1794" i="2"/>
  <c r="M1794" i="2" s="1"/>
  <c r="L1795" i="2"/>
  <c r="M1795" i="2" s="1"/>
  <c r="L1796" i="2"/>
  <c r="M1796" i="2" s="1"/>
  <c r="L1797" i="2"/>
  <c r="M1797" i="2" s="1"/>
  <c r="L1798" i="2"/>
  <c r="L1799" i="2"/>
  <c r="M1799" i="2" s="1"/>
  <c r="L1800" i="2"/>
  <c r="M1800" i="2" s="1"/>
  <c r="L1801" i="2"/>
  <c r="M1801" i="2" s="1"/>
  <c r="L1802" i="2"/>
  <c r="L1803" i="2"/>
  <c r="M1803" i="2" s="1"/>
  <c r="L1804" i="2"/>
  <c r="M1804" i="2" s="1"/>
  <c r="L1805" i="2"/>
  <c r="M1805" i="2" s="1"/>
  <c r="L1806" i="2"/>
  <c r="M1806" i="2" s="1"/>
  <c r="L1807" i="2"/>
  <c r="M1807" i="2" s="1"/>
  <c r="L1808" i="2"/>
  <c r="M1808" i="2" s="1"/>
  <c r="L1809" i="2"/>
  <c r="M1809" i="2" s="1"/>
  <c r="L1810" i="2"/>
  <c r="M1810" i="2" s="1"/>
  <c r="L1811" i="2"/>
  <c r="M1811" i="2" s="1"/>
  <c r="L1812" i="2"/>
  <c r="L1813" i="2"/>
  <c r="M1813" i="2" s="1"/>
  <c r="L1814" i="2"/>
  <c r="M1814" i="2" s="1"/>
  <c r="L1815" i="2"/>
  <c r="M1815" i="2" s="1"/>
  <c r="L1816" i="2"/>
  <c r="M1816" i="2" s="1"/>
  <c r="L1817" i="2"/>
  <c r="M1817" i="2" s="1"/>
  <c r="L1818" i="2"/>
  <c r="M1818" i="2" s="1"/>
  <c r="L1819" i="2"/>
  <c r="M1819" i="2" s="1"/>
  <c r="L1820" i="2"/>
  <c r="M1820" i="2" s="1"/>
  <c r="L1821" i="2"/>
  <c r="M1821" i="2" s="1"/>
  <c r="L1822" i="2"/>
  <c r="L1823" i="2"/>
  <c r="M1823" i="2" s="1"/>
  <c r="L1824" i="2"/>
  <c r="M1824" i="2" s="1"/>
  <c r="L1825" i="2"/>
  <c r="M1825" i="2" s="1"/>
  <c r="L1826" i="2"/>
  <c r="M1826" i="2" s="1"/>
  <c r="L1827" i="2"/>
  <c r="M1827" i="2" s="1"/>
  <c r="L1828" i="2"/>
  <c r="M1828" i="2" s="1"/>
  <c r="L1829" i="2"/>
  <c r="L1830" i="2"/>
  <c r="M1830" i="2" s="1"/>
  <c r="L1831" i="2"/>
  <c r="M1831" i="2" s="1"/>
  <c r="L1832" i="2"/>
  <c r="M1832" i="2" s="1"/>
  <c r="L1833" i="2"/>
  <c r="M1833" i="2" s="1"/>
  <c r="L1834" i="2"/>
  <c r="M1834" i="2" s="1"/>
  <c r="L1835" i="2"/>
  <c r="M1835" i="2" s="1"/>
  <c r="L1836" i="2"/>
  <c r="M1836" i="2" s="1"/>
  <c r="L1837" i="2"/>
  <c r="M1837" i="2" s="1"/>
  <c r="L1838" i="2"/>
  <c r="M1838" i="2" s="1"/>
  <c r="L1839" i="2"/>
  <c r="M1839" i="2" s="1"/>
  <c r="L1840" i="2"/>
  <c r="M1840" i="2" s="1"/>
  <c r="L1841" i="2"/>
  <c r="M1841" i="2" s="1"/>
  <c r="L1842" i="2"/>
  <c r="M1842" i="2" s="1"/>
  <c r="L1843" i="2"/>
  <c r="M1843" i="2" s="1"/>
  <c r="L1844" i="2"/>
  <c r="M1844" i="2" s="1"/>
  <c r="L1845" i="2"/>
  <c r="L1846" i="2"/>
  <c r="M1846" i="2" s="1"/>
  <c r="L1847" i="2"/>
  <c r="M1847" i="2" s="1"/>
  <c r="L1848" i="2"/>
  <c r="M1848" i="2" s="1"/>
  <c r="L1849" i="2"/>
  <c r="M1849" i="2" s="1"/>
  <c r="L1850" i="2"/>
  <c r="M1850" i="2" s="1"/>
  <c r="L1851" i="2"/>
  <c r="M1851" i="2" s="1"/>
  <c r="L1852" i="2"/>
  <c r="M1852" i="2" s="1"/>
  <c r="L1853" i="2"/>
  <c r="M1853" i="2" s="1"/>
  <c r="L1854" i="2"/>
  <c r="M1854" i="2" s="1"/>
  <c r="L1855" i="2"/>
  <c r="M1855" i="2" s="1"/>
  <c r="L1856" i="2"/>
  <c r="M1856" i="2" s="1"/>
  <c r="L1857" i="2"/>
  <c r="M1857" i="2" s="1"/>
  <c r="L1858" i="2"/>
  <c r="M1858" i="2" s="1"/>
  <c r="L1859" i="2"/>
  <c r="M1859" i="2" s="1"/>
  <c r="L1860" i="2"/>
  <c r="M1860" i="2" s="1"/>
  <c r="L1861" i="2"/>
  <c r="M1861" i="2" s="1"/>
  <c r="L1862" i="2"/>
  <c r="M1862" i="2" s="1"/>
  <c r="L1863" i="2"/>
  <c r="L1864" i="2"/>
  <c r="M1864" i="2" s="1"/>
  <c r="L1865" i="2"/>
  <c r="M1865" i="2" s="1"/>
  <c r="L1866" i="2"/>
  <c r="M1866" i="2" s="1"/>
  <c r="L1867" i="2"/>
  <c r="M1867" i="2" s="1"/>
  <c r="L1868" i="2"/>
  <c r="M1868" i="2" s="1"/>
  <c r="L1869" i="2"/>
  <c r="M1869" i="2" s="1"/>
  <c r="L1870" i="2"/>
  <c r="M1870" i="2" s="1"/>
  <c r="L1871" i="2"/>
  <c r="M1871" i="2" s="1"/>
  <c r="L1872" i="2"/>
  <c r="M1872" i="2" s="1"/>
  <c r="L1873" i="2"/>
  <c r="M1873" i="2" s="1"/>
  <c r="L1874" i="2"/>
  <c r="M1874" i="2" s="1"/>
  <c r="L1875" i="2"/>
  <c r="M1875" i="2" s="1"/>
  <c r="L1876" i="2"/>
  <c r="M1876" i="2" s="1"/>
  <c r="L1877" i="2"/>
  <c r="M1877" i="2" s="1"/>
  <c r="L1878" i="2"/>
  <c r="M1878" i="2" s="1"/>
  <c r="L1879" i="2"/>
  <c r="M1879" i="2" s="1"/>
  <c r="L1880" i="2"/>
  <c r="M1880" i="2" s="1"/>
  <c r="L1881" i="2"/>
  <c r="M1881" i="2" s="1"/>
  <c r="L1882" i="2"/>
  <c r="M1882" i="2" s="1"/>
  <c r="L1883" i="2"/>
  <c r="M1883" i="2" s="1"/>
  <c r="L1884" i="2"/>
  <c r="L1885" i="2"/>
  <c r="M1885" i="2" s="1"/>
  <c r="L1886" i="2"/>
  <c r="M1886" i="2" s="1"/>
  <c r="L1887" i="2"/>
  <c r="M1887" i="2" s="1"/>
  <c r="L1888" i="2"/>
  <c r="L1889" i="2"/>
  <c r="M1889" i="2" s="1"/>
  <c r="L1890" i="2"/>
  <c r="M1890" i="2" s="1"/>
  <c r="L1891" i="2"/>
  <c r="M1891" i="2" s="1"/>
  <c r="L1892" i="2"/>
  <c r="M1892" i="2" s="1"/>
  <c r="L1893" i="2"/>
  <c r="M1893" i="2" s="1"/>
  <c r="L1894" i="2"/>
  <c r="M1894" i="2" s="1"/>
  <c r="L1895" i="2"/>
  <c r="M1895" i="2" s="1"/>
  <c r="L1896" i="2"/>
  <c r="M1896" i="2" s="1"/>
  <c r="L1897" i="2"/>
  <c r="M1897" i="2" s="1"/>
  <c r="L1898" i="2"/>
  <c r="M1898" i="2" s="1"/>
  <c r="L1899" i="2"/>
  <c r="M1899" i="2" s="1"/>
  <c r="L1900" i="2"/>
  <c r="M1900" i="2" s="1"/>
  <c r="L1901" i="2"/>
  <c r="M1901" i="2" s="1"/>
  <c r="L1902" i="2"/>
  <c r="M1902" i="2" s="1"/>
  <c r="L1903" i="2"/>
  <c r="M1903" i="2" s="1"/>
  <c r="L1904" i="2"/>
  <c r="M1904" i="2" s="1"/>
  <c r="L1905" i="2"/>
  <c r="M1905" i="2" s="1"/>
  <c r="L1906" i="2"/>
  <c r="M1906" i="2" s="1"/>
  <c r="L1907" i="2"/>
  <c r="M1907" i="2" s="1"/>
  <c r="L1908" i="2"/>
  <c r="M1908" i="2" s="1"/>
  <c r="L1909" i="2"/>
  <c r="M1909" i="2" s="1"/>
  <c r="L1910" i="2"/>
  <c r="M1910" i="2" s="1"/>
  <c r="L1911" i="2"/>
  <c r="M1911" i="2" s="1"/>
  <c r="L1912" i="2"/>
  <c r="M1912" i="2" s="1"/>
  <c r="L1913" i="2"/>
  <c r="M1913" i="2" s="1"/>
  <c r="L1914" i="2"/>
  <c r="M1914" i="2" s="1"/>
  <c r="L1915" i="2"/>
  <c r="M1915" i="2" s="1"/>
  <c r="L1916" i="2"/>
  <c r="M1916" i="2" s="1"/>
  <c r="L1917" i="2"/>
  <c r="M1917" i="2" s="1"/>
  <c r="L1918" i="2"/>
  <c r="M1918" i="2" s="1"/>
  <c r="L1919" i="2"/>
  <c r="M1919" i="2" s="1"/>
  <c r="L1920" i="2"/>
  <c r="M1920" i="2" s="1"/>
  <c r="L1921" i="2"/>
  <c r="M1921" i="2" s="1"/>
  <c r="L1922" i="2"/>
  <c r="M1922" i="2" s="1"/>
  <c r="L1923" i="2"/>
  <c r="M1923" i="2" s="1"/>
  <c r="L1924" i="2"/>
  <c r="M1924" i="2" s="1"/>
  <c r="L1925" i="2"/>
  <c r="M1925" i="2" s="1"/>
  <c r="L1926" i="2"/>
  <c r="M1926" i="2" s="1"/>
  <c r="L1927" i="2"/>
  <c r="M1927" i="2" s="1"/>
  <c r="L1928" i="2"/>
  <c r="M1928" i="2" s="1"/>
  <c r="L1929" i="2"/>
  <c r="M1929" i="2" s="1"/>
  <c r="L1930" i="2"/>
  <c r="M1930" i="2" s="1"/>
  <c r="L1931" i="2"/>
  <c r="M1931" i="2" s="1"/>
  <c r="L1932" i="2"/>
  <c r="M1932" i="2" s="1"/>
  <c r="L1933" i="2"/>
  <c r="M1933" i="2" s="1"/>
  <c r="L1934" i="2"/>
  <c r="M1934" i="2" s="1"/>
  <c r="L1935" i="2"/>
  <c r="M1935" i="2" s="1"/>
  <c r="L1936" i="2"/>
  <c r="M1936" i="2" s="1"/>
  <c r="L1937" i="2"/>
  <c r="M1937" i="2" s="1"/>
  <c r="L1938" i="2"/>
  <c r="M1938" i="2" s="1"/>
  <c r="L1939" i="2"/>
  <c r="M1939" i="2" s="1"/>
  <c r="L1940" i="2"/>
  <c r="M1940" i="2" s="1"/>
  <c r="L1941" i="2"/>
  <c r="L1942" i="2"/>
  <c r="M1942" i="2" s="1"/>
  <c r="L1943" i="2"/>
  <c r="M1943" i="2" s="1"/>
  <c r="L1944" i="2"/>
  <c r="M1944" i="2" s="1"/>
  <c r="L1945" i="2"/>
  <c r="M1945" i="2" s="1"/>
  <c r="L1946" i="2"/>
  <c r="M1946" i="2" s="1"/>
  <c r="L1947" i="2"/>
  <c r="M1947" i="2" s="1"/>
  <c r="L1948" i="2"/>
  <c r="M1948" i="2" s="1"/>
  <c r="L1949" i="2"/>
  <c r="M1949" i="2" s="1"/>
  <c r="L1950" i="2"/>
  <c r="M1950" i="2" s="1"/>
  <c r="L1951" i="2"/>
  <c r="M1951" i="2" s="1"/>
  <c r="L1952" i="2"/>
  <c r="M1952" i="2" s="1"/>
  <c r="L1953" i="2"/>
  <c r="M1953" i="2" s="1"/>
  <c r="L1954" i="2"/>
  <c r="M1954" i="2" s="1"/>
  <c r="L1955" i="2"/>
  <c r="M1955" i="2" s="1"/>
  <c r="L1956" i="2"/>
  <c r="M1956" i="2" s="1"/>
  <c r="L1957" i="2"/>
  <c r="M1957" i="2" s="1"/>
  <c r="L1958" i="2"/>
  <c r="M1958" i="2" s="1"/>
  <c r="L1959" i="2"/>
  <c r="L1960" i="2"/>
  <c r="M1960" i="2" s="1"/>
  <c r="L1961" i="2"/>
  <c r="M1961" i="2" s="1"/>
  <c r="L1962" i="2"/>
  <c r="M1962" i="2" s="1"/>
  <c r="L1963" i="2"/>
  <c r="M1963" i="2" s="1"/>
  <c r="L1964" i="2"/>
  <c r="M1964" i="2" s="1"/>
  <c r="L1965" i="2"/>
  <c r="M1965" i="2" s="1"/>
  <c r="L1966" i="2"/>
  <c r="M1966" i="2" s="1"/>
  <c r="L1967" i="2"/>
  <c r="M1967" i="2" s="1"/>
  <c r="L1968" i="2"/>
  <c r="M1968" i="2" s="1"/>
  <c r="L1969" i="2"/>
  <c r="M1969" i="2" s="1"/>
  <c r="L1970" i="2"/>
  <c r="M1970" i="2" s="1"/>
  <c r="L1971" i="2"/>
  <c r="M1971" i="2" s="1"/>
  <c r="L1972" i="2"/>
  <c r="M1972" i="2" s="1"/>
  <c r="L1973" i="2"/>
  <c r="M1973" i="2" s="1"/>
  <c r="L1974" i="2"/>
  <c r="M1974" i="2" s="1"/>
  <c r="L1975" i="2"/>
  <c r="M1975" i="2" s="1"/>
  <c r="L1976" i="2"/>
  <c r="M1976" i="2" s="1"/>
  <c r="L1977" i="2"/>
  <c r="M1977" i="2" s="1"/>
  <c r="L1978" i="2"/>
  <c r="M1978" i="2" s="1"/>
  <c r="L1979" i="2"/>
  <c r="M1979" i="2" s="1"/>
  <c r="L1980" i="2"/>
  <c r="M1980" i="2" s="1"/>
  <c r="L1981" i="2"/>
  <c r="M1981" i="2" s="1"/>
  <c r="L1982" i="2"/>
  <c r="M1982" i="2" s="1"/>
  <c r="L1983" i="2"/>
  <c r="M1983" i="2" s="1"/>
  <c r="L1984" i="2"/>
  <c r="M1984" i="2" s="1"/>
  <c r="L1985" i="2"/>
  <c r="M1985" i="2" s="1"/>
  <c r="L1986" i="2"/>
  <c r="M1986" i="2" s="1"/>
  <c r="L1987" i="2"/>
  <c r="M1987" i="2" s="1"/>
  <c r="L1988" i="2"/>
  <c r="M1988" i="2" s="1"/>
  <c r="L1989" i="2"/>
  <c r="M1989" i="2" s="1"/>
  <c r="L1990" i="2"/>
  <c r="M1990" i="2" s="1"/>
  <c r="L1991" i="2"/>
  <c r="M1991" i="2" s="1"/>
  <c r="L1992" i="2"/>
  <c r="M1992" i="2" s="1"/>
  <c r="L1993" i="2"/>
  <c r="M1993" i="2" s="1"/>
  <c r="L1994" i="2"/>
  <c r="M1994" i="2" s="1"/>
  <c r="L1995" i="2"/>
  <c r="M1995" i="2" s="1"/>
  <c r="L1996" i="2"/>
  <c r="M1996" i="2" s="1"/>
  <c r="L1997" i="2"/>
  <c r="M1997" i="2" s="1"/>
  <c r="L1998" i="2"/>
  <c r="M1998" i="2" s="1"/>
  <c r="L1999" i="2"/>
  <c r="M1999" i="2" s="1"/>
  <c r="L2000" i="2"/>
  <c r="M2000" i="2" s="1"/>
  <c r="L2001" i="2"/>
  <c r="M2001" i="2" s="1"/>
  <c r="L2002" i="2"/>
  <c r="M2002" i="2" s="1"/>
  <c r="L2003" i="2"/>
  <c r="M2003" i="2" s="1"/>
  <c r="L2004" i="2"/>
  <c r="M2004" i="2" s="1"/>
  <c r="L2005" i="2"/>
  <c r="M2005" i="2" s="1"/>
  <c r="L2006" i="2"/>
  <c r="M2006" i="2" s="1"/>
  <c r="L2007" i="2"/>
  <c r="M2007" i="2" s="1"/>
  <c r="L2008" i="2"/>
  <c r="M2008" i="2" s="1"/>
  <c r="L2009" i="2"/>
  <c r="M2009" i="2" s="1"/>
  <c r="L2010" i="2"/>
  <c r="M2010" i="2" s="1"/>
  <c r="L2011" i="2"/>
  <c r="M2011" i="2" s="1"/>
  <c r="L2012" i="2"/>
  <c r="M2012" i="2" s="1"/>
  <c r="L2013" i="2"/>
  <c r="M2013" i="2" s="1"/>
  <c r="L2014" i="2"/>
  <c r="M2014" i="2" s="1"/>
  <c r="L2015" i="2"/>
  <c r="M2015" i="2" s="1"/>
  <c r="L2016" i="2"/>
  <c r="M2016" i="2" s="1"/>
  <c r="L2017" i="2"/>
  <c r="M2017" i="2" s="1"/>
  <c r="L2018" i="2"/>
  <c r="M2018" i="2" s="1"/>
  <c r="L2019" i="2"/>
  <c r="M2019" i="2" s="1"/>
  <c r="L2020" i="2"/>
  <c r="M2020" i="2" s="1"/>
  <c r="L2021" i="2"/>
  <c r="M2021" i="2" s="1"/>
  <c r="L2022" i="2"/>
  <c r="M2022" i="2" s="1"/>
  <c r="L2023" i="2"/>
  <c r="L2024" i="2"/>
  <c r="M2024" i="2" s="1"/>
  <c r="L2025" i="2"/>
  <c r="M2025" i="2" s="1"/>
  <c r="L2026" i="2"/>
  <c r="M2026" i="2" s="1"/>
  <c r="L2027" i="2"/>
  <c r="M2027" i="2" s="1"/>
  <c r="L2028" i="2"/>
  <c r="M2028" i="2" s="1"/>
  <c r="L2029" i="2"/>
  <c r="M2029" i="2" s="1"/>
  <c r="L2030" i="2"/>
  <c r="M2030" i="2" s="1"/>
  <c r="L2031" i="2"/>
  <c r="M2031" i="2" s="1"/>
  <c r="L2032" i="2"/>
  <c r="M2032" i="2" s="1"/>
  <c r="L2033" i="2"/>
  <c r="L2034" i="2"/>
  <c r="M2034" i="2" s="1"/>
  <c r="L2035" i="2"/>
  <c r="M2035" i="2" s="1"/>
  <c r="L2036" i="2"/>
  <c r="M2036" i="2" s="1"/>
  <c r="L2037" i="2"/>
  <c r="M2037" i="2" s="1"/>
  <c r="L2038" i="2"/>
  <c r="M2038" i="2" s="1"/>
  <c r="L2039" i="2"/>
  <c r="M2039" i="2" s="1"/>
  <c r="L2040" i="2"/>
  <c r="M2040" i="2" s="1"/>
  <c r="L2041" i="2"/>
  <c r="M2041" i="2" s="1"/>
  <c r="L2042" i="2"/>
  <c r="M2042" i="2" s="1"/>
  <c r="L2043" i="2"/>
  <c r="M2043" i="2" s="1"/>
  <c r="L2044" i="2"/>
  <c r="M2044" i="2" s="1"/>
  <c r="L2045" i="2"/>
  <c r="M2045" i="2" s="1"/>
  <c r="L2046" i="2"/>
  <c r="M2046" i="2" s="1"/>
  <c r="L2047" i="2"/>
  <c r="M2047" i="2" s="1"/>
  <c r="L2048" i="2"/>
  <c r="L2049" i="2"/>
  <c r="L2050" i="2"/>
  <c r="M2050" i="2" s="1"/>
  <c r="L2051" i="2"/>
  <c r="M2051" i="2" s="1"/>
  <c r="L2052" i="2"/>
  <c r="L2053" i="2"/>
  <c r="M2053" i="2" s="1"/>
  <c r="L2054" i="2"/>
  <c r="L2055" i="2"/>
  <c r="L2056" i="2"/>
  <c r="L2057" i="2"/>
  <c r="L2058" i="2"/>
  <c r="L2059" i="2"/>
  <c r="L2060" i="2"/>
  <c r="L2061" i="2"/>
  <c r="L2062" i="2"/>
  <c r="L2063" i="2"/>
  <c r="L2064" i="2"/>
  <c r="L2065" i="2"/>
  <c r="L2066" i="2"/>
  <c r="L2067" i="2"/>
  <c r="L2068" i="2"/>
  <c r="L2069" i="2"/>
  <c r="L2070" i="2"/>
  <c r="M2070" i="2" s="1"/>
  <c r="L2071" i="2"/>
  <c r="L2072" i="2"/>
  <c r="L2073" i="2"/>
  <c r="L2074" i="2"/>
  <c r="M2074" i="2" s="1"/>
  <c r="L2075" i="2"/>
  <c r="M2075" i="2" s="1"/>
  <c r="L2076" i="2"/>
  <c r="M2076" i="2" s="1"/>
  <c r="L2077" i="2"/>
  <c r="M2077" i="2" s="1"/>
  <c r="L2078" i="2"/>
  <c r="M2078" i="2" s="1"/>
  <c r="L2079" i="2"/>
  <c r="M2079" i="2" s="1"/>
  <c r="L2080" i="2"/>
  <c r="M2080" i="2" s="1"/>
  <c r="L2081" i="2"/>
  <c r="M2081" i="2" s="1"/>
  <c r="L2082" i="2"/>
  <c r="M2082" i="2" s="1"/>
  <c r="L2083" i="2"/>
  <c r="L2084" i="2"/>
  <c r="M2084" i="2" s="1"/>
  <c r="L2085" i="2"/>
  <c r="M2085" i="2" s="1"/>
  <c r="L2086" i="2"/>
  <c r="M2086" i="2" s="1"/>
  <c r="L2087" i="2"/>
  <c r="M2087" i="2" s="1"/>
  <c r="L2088" i="2"/>
  <c r="L2089" i="2"/>
  <c r="M2089" i="2" s="1"/>
  <c r="L2090" i="2"/>
  <c r="M2090" i="2" s="1"/>
  <c r="L2091" i="2"/>
  <c r="M2091" i="2" s="1"/>
  <c r="L2092" i="2"/>
  <c r="M2092" i="2" s="1"/>
  <c r="L2093" i="2"/>
  <c r="M2093" i="2" s="1"/>
  <c r="L2094" i="2"/>
  <c r="M2094" i="2" s="1"/>
  <c r="L2095" i="2"/>
  <c r="M2095" i="2" s="1"/>
  <c r="L2096" i="2"/>
  <c r="M2096" i="2" s="1"/>
  <c r="L2097" i="2"/>
  <c r="L2098" i="2"/>
  <c r="M2098" i="2" s="1"/>
  <c r="L2099" i="2"/>
  <c r="M2099" i="2" s="1"/>
  <c r="L2100" i="2"/>
  <c r="M2100" i="2" s="1"/>
  <c r="L2101" i="2"/>
  <c r="M2101" i="2" s="1"/>
  <c r="L2102" i="2"/>
  <c r="M2102" i="2" s="1"/>
  <c r="L2103" i="2"/>
  <c r="M2103" i="2" s="1"/>
  <c r="L2104" i="2"/>
  <c r="M2104" i="2" s="1"/>
  <c r="L2105" i="2"/>
  <c r="M2105" i="2" s="1"/>
  <c r="L2106" i="2"/>
  <c r="M2106" i="2" s="1"/>
  <c r="L2107" i="2"/>
  <c r="M2107" i="2" s="1"/>
  <c r="L2108" i="2"/>
  <c r="M2108" i="2" s="1"/>
  <c r="L2109" i="2"/>
  <c r="M2109" i="2" s="1"/>
  <c r="L2110" i="2"/>
  <c r="M2110" i="2" s="1"/>
  <c r="L2111" i="2"/>
  <c r="M2111" i="2" s="1"/>
  <c r="L2112" i="2"/>
  <c r="M2112" i="2" s="1"/>
  <c r="L2113" i="2"/>
  <c r="M2113" i="2" s="1"/>
  <c r="L2114" i="2"/>
  <c r="M2114" i="2" s="1"/>
  <c r="L2115" i="2"/>
  <c r="L2116" i="2"/>
  <c r="M2116" i="2" s="1"/>
  <c r="L2117" i="2"/>
  <c r="M2117" i="2" s="1"/>
  <c r="L2118" i="2"/>
  <c r="M2118" i="2" s="1"/>
  <c r="L2119" i="2"/>
  <c r="M2119" i="2" s="1"/>
  <c r="L2120" i="2"/>
  <c r="M2120" i="2" s="1"/>
  <c r="L2121" i="2"/>
  <c r="M2121" i="2" s="1"/>
  <c r="L2122" i="2"/>
  <c r="M2122" i="2" s="1"/>
  <c r="L2123" i="2"/>
  <c r="M2123" i="2" s="1"/>
  <c r="L2124" i="2"/>
  <c r="M2124" i="2" s="1"/>
  <c r="L2125" i="2"/>
  <c r="M2125" i="2" s="1"/>
  <c r="L2126" i="2"/>
  <c r="M2126" i="2" s="1"/>
  <c r="L2127" i="2"/>
  <c r="M2127" i="2" s="1"/>
  <c r="L2128" i="2"/>
  <c r="M2128" i="2" s="1"/>
  <c r="L2129" i="2"/>
  <c r="M2129" i="2" s="1"/>
  <c r="L2130" i="2"/>
  <c r="M2130" i="2" s="1"/>
  <c r="L2131" i="2"/>
  <c r="M2131" i="2" s="1"/>
  <c r="L2132" i="2"/>
  <c r="M2132" i="2" s="1"/>
  <c r="L2133" i="2"/>
  <c r="M2133" i="2" s="1"/>
  <c r="L2134" i="2"/>
  <c r="M2134" i="2" s="1"/>
  <c r="L2135" i="2"/>
  <c r="M2135" i="2" s="1"/>
  <c r="L2136" i="2"/>
  <c r="M2136" i="2" s="1"/>
  <c r="L2137" i="2"/>
  <c r="M2137" i="2" s="1"/>
  <c r="L2138" i="2"/>
  <c r="M2138" i="2" s="1"/>
  <c r="L2139" i="2"/>
  <c r="M2139" i="2" s="1"/>
  <c r="L2140" i="2"/>
  <c r="M2140" i="2" s="1"/>
  <c r="L2141" i="2"/>
  <c r="M2141" i="2" s="1"/>
  <c r="L2142" i="2"/>
  <c r="M2142" i="2" s="1"/>
  <c r="L2143" i="2"/>
  <c r="M2143" i="2" s="1"/>
  <c r="L2144" i="2"/>
  <c r="M2144" i="2" s="1"/>
  <c r="L2145" i="2"/>
  <c r="M2145" i="2" s="1"/>
  <c r="L2146" i="2"/>
  <c r="M2146" i="2" s="1"/>
  <c r="L2147" i="2"/>
  <c r="M2147" i="2" s="1"/>
  <c r="L2148" i="2"/>
  <c r="M2148" i="2" s="1"/>
  <c r="L2149" i="2"/>
  <c r="M2149" i="2" s="1"/>
  <c r="L2150" i="2"/>
  <c r="L2151" i="2"/>
  <c r="M2151" i="2" s="1"/>
  <c r="L2152" i="2"/>
  <c r="M2152" i="2" s="1"/>
  <c r="L2153" i="2"/>
  <c r="M2153" i="2" s="1"/>
  <c r="L2154" i="2"/>
  <c r="M2154" i="2" s="1"/>
  <c r="L2155" i="2"/>
  <c r="M2155" i="2" s="1"/>
  <c r="L2156" i="2"/>
  <c r="M2156" i="2" s="1"/>
  <c r="L2157" i="2"/>
  <c r="M2157" i="2" s="1"/>
  <c r="L2158" i="2"/>
  <c r="M2158" i="2" s="1"/>
  <c r="L2159" i="2"/>
  <c r="M2159" i="2" s="1"/>
  <c r="L2160" i="2"/>
  <c r="M2160" i="2" s="1"/>
  <c r="L2161" i="2"/>
  <c r="M2161" i="2" s="1"/>
  <c r="L2162" i="2"/>
  <c r="M2162" i="2" s="1"/>
  <c r="L2163" i="2"/>
  <c r="M2163" i="2" s="1"/>
  <c r="L2164" i="2"/>
  <c r="M2164" i="2" s="1"/>
  <c r="L2165" i="2"/>
  <c r="M2165" i="2" s="1"/>
  <c r="L2166" i="2"/>
  <c r="M2166" i="2" s="1"/>
  <c r="L2167" i="2"/>
  <c r="M2167" i="2" s="1"/>
  <c r="L2168" i="2"/>
  <c r="M2168" i="2" s="1"/>
  <c r="L2169" i="2"/>
  <c r="M2169" i="2" s="1"/>
  <c r="L2170" i="2"/>
  <c r="M2170" i="2" s="1"/>
  <c r="L2171" i="2"/>
  <c r="M2171" i="2" s="1"/>
  <c r="L2172" i="2"/>
  <c r="M2172" i="2" s="1"/>
  <c r="L2173" i="2"/>
  <c r="M2173" i="2" s="1"/>
  <c r="L2174" i="2"/>
  <c r="M2174" i="2" s="1"/>
  <c r="L2175" i="2"/>
  <c r="M2175" i="2" s="1"/>
  <c r="L2176" i="2"/>
  <c r="M2176" i="2" s="1"/>
  <c r="L2177" i="2"/>
  <c r="M2177" i="2" s="1"/>
  <c r="L2178" i="2"/>
  <c r="L2179" i="2"/>
  <c r="M2179" i="2" s="1"/>
  <c r="L2180" i="2"/>
  <c r="L2181" i="2"/>
  <c r="M2181" i="2" s="1"/>
  <c r="L2182" i="2"/>
  <c r="M2182" i="2" s="1"/>
  <c r="L2183" i="2"/>
  <c r="M2183" i="2" s="1"/>
  <c r="L2184" i="2"/>
  <c r="M2184" i="2" s="1"/>
  <c r="L2185" i="2"/>
  <c r="M2185" i="2" s="1"/>
  <c r="L2186" i="2"/>
  <c r="M2186" i="2" s="1"/>
  <c r="L2187" i="2"/>
  <c r="L2188" i="2"/>
  <c r="M2188" i="2" s="1"/>
  <c r="L2189" i="2"/>
  <c r="M2189" i="2" s="1"/>
  <c r="L2190" i="2"/>
  <c r="M2190" i="2" s="1"/>
  <c r="L2191" i="2"/>
  <c r="M2191" i="2" s="1"/>
  <c r="L2192" i="2"/>
  <c r="M2192" i="2" s="1"/>
  <c r="L2193" i="2"/>
  <c r="M2193" i="2" s="1"/>
  <c r="L2194" i="2"/>
  <c r="M2194" i="2" s="1"/>
  <c r="L2195" i="2"/>
  <c r="M2195" i="2" s="1"/>
  <c r="L2196" i="2"/>
  <c r="M2196" i="2" s="1"/>
  <c r="L2197" i="2"/>
  <c r="M2197" i="2" s="1"/>
  <c r="L2198" i="2"/>
  <c r="M2198" i="2" s="1"/>
  <c r="L2199" i="2"/>
  <c r="M2199" i="2" s="1"/>
  <c r="L2200" i="2"/>
  <c r="M2200" i="2" s="1"/>
  <c r="L2201" i="2"/>
  <c r="M2201" i="2" s="1"/>
  <c r="L2202" i="2"/>
  <c r="M2202" i="2" s="1"/>
  <c r="L2203" i="2"/>
  <c r="M2203" i="2" s="1"/>
  <c r="L2204" i="2"/>
  <c r="L2205" i="2"/>
  <c r="M2205" i="2" s="1"/>
  <c r="L2206" i="2"/>
  <c r="M2206" i="2" s="1"/>
  <c r="L2207" i="2"/>
  <c r="M2207" i="2" s="1"/>
  <c r="L2208" i="2"/>
  <c r="M2208" i="2" s="1"/>
  <c r="L2209" i="2"/>
  <c r="M2209" i="2" s="1"/>
  <c r="L2210" i="2"/>
  <c r="M2210" i="2" s="1"/>
  <c r="L2211" i="2"/>
  <c r="M2211" i="2" s="1"/>
  <c r="L2212" i="2"/>
  <c r="M2212" i="2" s="1"/>
  <c r="L2213" i="2"/>
  <c r="M2213" i="2" s="1"/>
  <c r="L2214" i="2"/>
  <c r="M2214" i="2" s="1"/>
  <c r="L2215" i="2"/>
  <c r="M2215" i="2" s="1"/>
  <c r="L2216" i="2"/>
  <c r="M2216" i="2" s="1"/>
  <c r="L2217" i="2"/>
  <c r="M2217" i="2" s="1"/>
  <c r="L2218" i="2"/>
  <c r="M2218" i="2" s="1"/>
  <c r="L2219" i="2"/>
  <c r="L2220" i="2"/>
  <c r="M2220" i="2" s="1"/>
  <c r="L2221" i="2"/>
  <c r="M2221" i="2" s="1"/>
  <c r="L2222" i="2"/>
  <c r="M2222" i="2" s="1"/>
  <c r="L2223" i="2"/>
  <c r="M2223" i="2" s="1"/>
  <c r="L2224" i="2"/>
  <c r="M2224" i="2" s="1"/>
  <c r="L2225" i="2"/>
  <c r="M2225" i="2" s="1"/>
  <c r="L2226" i="2"/>
  <c r="M2226" i="2" s="1"/>
  <c r="L2227" i="2"/>
  <c r="M2227" i="2" s="1"/>
  <c r="L2228" i="2"/>
  <c r="M2228" i="2" s="1"/>
  <c r="L2229" i="2"/>
  <c r="M2229" i="2" s="1"/>
  <c r="L2230" i="2"/>
  <c r="M2230" i="2" s="1"/>
  <c r="L2231" i="2"/>
  <c r="M2231" i="2" s="1"/>
  <c r="L2232" i="2"/>
  <c r="M2232" i="2" s="1"/>
  <c r="L2233" i="2"/>
  <c r="M2233" i="2" s="1"/>
  <c r="L2234" i="2"/>
  <c r="M2234" i="2" s="1"/>
  <c r="L2235" i="2"/>
  <c r="L2236" i="2"/>
  <c r="M2236" i="2" s="1"/>
  <c r="L2237" i="2"/>
  <c r="M2237" i="2" s="1"/>
  <c r="L2238" i="2"/>
  <c r="M2238" i="2" s="1"/>
  <c r="L2239" i="2"/>
  <c r="M2239" i="2" s="1"/>
  <c r="L2240" i="2"/>
  <c r="M2240" i="2" s="1"/>
  <c r="L2241" i="2"/>
  <c r="M2241" i="2" s="1"/>
  <c r="L2242" i="2"/>
  <c r="M2242" i="2" s="1"/>
  <c r="L2243" i="2"/>
  <c r="M2243" i="2" s="1"/>
  <c r="L2244" i="2"/>
  <c r="M2244" i="2" s="1"/>
  <c r="L2245" i="2"/>
  <c r="M2245" i="2" s="1"/>
  <c r="L2246" i="2"/>
  <c r="M2246" i="2" s="1"/>
  <c r="L2247" i="2"/>
  <c r="M2247" i="2" s="1"/>
  <c r="L2248" i="2"/>
  <c r="M2248" i="2" s="1"/>
  <c r="L2249" i="2"/>
  <c r="M2249" i="2" s="1"/>
  <c r="L2250" i="2"/>
  <c r="M2250" i="2" s="1"/>
  <c r="L2251" i="2"/>
  <c r="M2251" i="2" s="1"/>
  <c r="L2252" i="2"/>
  <c r="M2252" i="2" s="1"/>
  <c r="L2253" i="2"/>
  <c r="M2253" i="2" s="1"/>
  <c r="L2254" i="2"/>
  <c r="M2254" i="2" s="1"/>
  <c r="L2255" i="2"/>
  <c r="M2255" i="2" s="1"/>
  <c r="L2256" i="2"/>
  <c r="M2256" i="2" s="1"/>
  <c r="L2257" i="2"/>
  <c r="M2257" i="2" s="1"/>
  <c r="L2258" i="2"/>
  <c r="M2258" i="2" s="1"/>
  <c r="L2259" i="2"/>
  <c r="M2259" i="2" s="1"/>
  <c r="L2260" i="2"/>
  <c r="M2260" i="2" s="1"/>
  <c r="L2261" i="2"/>
  <c r="M2261" i="2" s="1"/>
  <c r="L2262" i="2"/>
  <c r="M2262" i="2" s="1"/>
  <c r="L2263" i="2"/>
  <c r="M2263" i="2" s="1"/>
  <c r="L2264" i="2"/>
  <c r="M2264" i="2" s="1"/>
  <c r="L2265" i="2"/>
  <c r="M2265" i="2" s="1"/>
  <c r="L2266" i="2"/>
  <c r="M2266" i="2" s="1"/>
  <c r="L2267" i="2"/>
  <c r="M2267" i="2" s="1"/>
  <c r="L2268" i="2"/>
  <c r="M2268" i="2" s="1"/>
  <c r="L2269" i="2"/>
  <c r="M2269" i="2" s="1"/>
  <c r="L2270" i="2"/>
  <c r="M2270" i="2" s="1"/>
  <c r="L2271" i="2"/>
  <c r="M2271" i="2" s="1"/>
  <c r="L2272" i="2"/>
  <c r="M2272" i="2" s="1"/>
  <c r="L2273" i="2"/>
  <c r="M2273" i="2" s="1"/>
  <c r="L2274" i="2"/>
  <c r="M2274" i="2" s="1"/>
  <c r="L2275" i="2"/>
  <c r="M2275" i="2" s="1"/>
  <c r="L2276" i="2"/>
  <c r="M2276" i="2" s="1"/>
  <c r="L2277" i="2"/>
  <c r="M2277" i="2" s="1"/>
  <c r="L2278" i="2"/>
  <c r="M2278" i="2" s="1"/>
  <c r="L2279" i="2"/>
  <c r="M2279" i="2" s="1"/>
  <c r="L2280" i="2"/>
  <c r="M2280" i="2" s="1"/>
  <c r="L2281" i="2"/>
  <c r="L2282" i="2"/>
  <c r="M2282" i="2" s="1"/>
  <c r="L2283" i="2"/>
  <c r="M2283" i="2" s="1"/>
  <c r="L2284" i="2"/>
  <c r="M2284" i="2" s="1"/>
  <c r="L2285" i="2"/>
  <c r="M2285" i="2" s="1"/>
  <c r="L2286" i="2"/>
  <c r="M2286" i="2" s="1"/>
  <c r="L2287" i="2"/>
  <c r="M2287" i="2" s="1"/>
  <c r="L2288" i="2"/>
  <c r="M2288" i="2" s="1"/>
  <c r="L2289" i="2"/>
  <c r="M2289" i="2" s="1"/>
  <c r="L2290" i="2"/>
  <c r="M2290" i="2" s="1"/>
  <c r="L2291" i="2"/>
  <c r="M2291" i="2" s="1"/>
  <c r="L2292" i="2"/>
  <c r="M2292" i="2" s="1"/>
  <c r="L2293" i="2"/>
  <c r="M2293" i="2" s="1"/>
  <c r="L2294" i="2"/>
  <c r="M2294" i="2" s="1"/>
  <c r="L2295" i="2"/>
  <c r="M2295" i="2" s="1"/>
  <c r="L2296" i="2"/>
  <c r="M2296" i="2" s="1"/>
  <c r="L2297" i="2"/>
  <c r="M2297" i="2" s="1"/>
  <c r="L2298" i="2"/>
  <c r="M2298" i="2" s="1"/>
  <c r="L2299" i="2"/>
  <c r="M2299" i="2" s="1"/>
  <c r="L2300" i="2"/>
  <c r="M2300" i="2" s="1"/>
  <c r="L2301" i="2"/>
  <c r="M2301" i="2" s="1"/>
  <c r="L2302" i="2"/>
  <c r="M2302" i="2" s="1"/>
  <c r="L2303" i="2"/>
  <c r="M2303" i="2" s="1"/>
  <c r="L2304" i="2"/>
  <c r="M2304" i="2" s="1"/>
  <c r="L2305" i="2"/>
  <c r="M2305" i="2" s="1"/>
  <c r="L2306" i="2"/>
  <c r="M2306" i="2" s="1"/>
  <c r="L2307" i="2"/>
  <c r="M2307" i="2" s="1"/>
  <c r="L2308" i="2"/>
  <c r="M2308" i="2" s="1"/>
  <c r="L2309" i="2"/>
  <c r="M2309" i="2" s="1"/>
  <c r="L2310" i="2"/>
  <c r="M2310" i="2" s="1"/>
  <c r="L2311" i="2"/>
  <c r="M2311" i="2" s="1"/>
  <c r="L2312" i="2"/>
  <c r="M2312" i="2" s="1"/>
  <c r="L2313" i="2"/>
  <c r="M2313" i="2" s="1"/>
  <c r="L2314" i="2"/>
  <c r="M2314" i="2" s="1"/>
  <c r="L2315" i="2"/>
  <c r="M2315" i="2" s="1"/>
  <c r="L2316" i="2"/>
  <c r="M2316" i="2" s="1"/>
  <c r="L2317" i="2"/>
  <c r="M2317" i="2" s="1"/>
  <c r="L2318" i="2"/>
  <c r="M2318" i="2" s="1"/>
  <c r="L2319" i="2"/>
  <c r="M2319" i="2" s="1"/>
  <c r="L2320" i="2"/>
  <c r="M2320" i="2" s="1"/>
  <c r="L2321" i="2"/>
  <c r="M2321" i="2" s="1"/>
  <c r="L2322" i="2"/>
  <c r="M2322" i="2" s="1"/>
  <c r="L2323" i="2"/>
  <c r="M2323" i="2" s="1"/>
  <c r="L2324" i="2"/>
  <c r="M2324" i="2" s="1"/>
  <c r="L2325" i="2"/>
  <c r="M2325" i="2" s="1"/>
  <c r="L2326" i="2"/>
  <c r="M2326" i="2" s="1"/>
  <c r="L2327" i="2"/>
  <c r="M2327" i="2" s="1"/>
  <c r="L2328" i="2"/>
  <c r="M2328" i="2" s="1"/>
  <c r="L2329" i="2"/>
  <c r="M2329" i="2" s="1"/>
  <c r="L2330" i="2"/>
  <c r="M2330" i="2" s="1"/>
  <c r="L2331" i="2"/>
  <c r="M2331" i="2" s="1"/>
  <c r="L2332" i="2"/>
  <c r="M2332" i="2" s="1"/>
  <c r="L2333" i="2"/>
  <c r="M2333" i="2" s="1"/>
  <c r="L2334" i="2"/>
  <c r="M2334" i="2" s="1"/>
  <c r="L2335" i="2"/>
  <c r="M2335" i="2" s="1"/>
  <c r="L2336" i="2"/>
  <c r="M2336" i="2" s="1"/>
  <c r="L2337" i="2"/>
  <c r="M2337" i="2" s="1"/>
  <c r="L2338" i="2"/>
  <c r="M2338" i="2" s="1"/>
  <c r="L2339" i="2"/>
  <c r="M2339" i="2" s="1"/>
  <c r="L2340" i="2"/>
  <c r="M2340" i="2" s="1"/>
  <c r="L2341" i="2"/>
  <c r="M2341" i="2" s="1"/>
  <c r="L2342" i="2"/>
  <c r="M2342" i="2" s="1"/>
  <c r="L2343" i="2"/>
  <c r="M2343" i="2" s="1"/>
  <c r="L2344" i="2"/>
  <c r="M2344" i="2" s="1"/>
  <c r="L2345" i="2"/>
  <c r="M2345" i="2" s="1"/>
  <c r="L2346" i="2"/>
  <c r="M2346" i="2" s="1"/>
  <c r="L2347" i="2"/>
  <c r="M2347" i="2" s="1"/>
  <c r="L2348" i="2"/>
  <c r="M2348" i="2" s="1"/>
  <c r="L2349" i="2"/>
  <c r="M2349" i="2" s="1"/>
  <c r="L2350" i="2"/>
  <c r="M2350" i="2" s="1"/>
  <c r="L2351" i="2"/>
  <c r="M2351" i="2" s="1"/>
  <c r="L2352" i="2"/>
  <c r="M2352" i="2" s="1"/>
  <c r="L2353" i="2"/>
  <c r="M2353" i="2" s="1"/>
  <c r="L2354" i="2"/>
  <c r="M2354" i="2" s="1"/>
  <c r="L2355" i="2"/>
  <c r="M2355" i="2" s="1"/>
  <c r="L2356" i="2"/>
  <c r="M2356" i="2" s="1"/>
  <c r="L2357" i="2"/>
  <c r="M2357" i="2" s="1"/>
  <c r="L2358" i="2"/>
  <c r="M2358" i="2" s="1"/>
  <c r="L2359" i="2"/>
  <c r="M2359" i="2" s="1"/>
  <c r="L2360" i="2"/>
  <c r="M2360" i="2" s="1"/>
  <c r="L2361" i="2"/>
  <c r="M2361" i="2" s="1"/>
  <c r="L2362" i="2"/>
  <c r="M2362" i="2" s="1"/>
  <c r="L2363" i="2"/>
  <c r="M2363" i="2" s="1"/>
  <c r="L2364" i="2"/>
  <c r="M2364" i="2" s="1"/>
  <c r="L2365" i="2"/>
  <c r="M2365" i="2" s="1"/>
  <c r="L2366" i="2"/>
  <c r="M2366" i="2" s="1"/>
  <c r="L2367" i="2"/>
  <c r="M2367" i="2" s="1"/>
  <c r="L2368" i="2"/>
  <c r="M2368" i="2" s="1"/>
  <c r="L2369" i="2"/>
  <c r="M2369" i="2" s="1"/>
  <c r="L2370" i="2"/>
  <c r="M2370" i="2" s="1"/>
  <c r="L2371" i="2"/>
  <c r="M2371" i="2" s="1"/>
  <c r="L2372" i="2"/>
  <c r="M2372" i="2" s="1"/>
  <c r="L2373" i="2"/>
  <c r="M2373" i="2" s="1"/>
  <c r="L2374" i="2"/>
  <c r="M2374" i="2" s="1"/>
  <c r="L2375" i="2"/>
  <c r="M2375" i="2" s="1"/>
  <c r="L2376" i="2"/>
  <c r="M2376" i="2" s="1"/>
  <c r="L2377" i="2"/>
  <c r="M2377" i="2" s="1"/>
  <c r="L2378" i="2"/>
  <c r="M2378" i="2" s="1"/>
  <c r="L2379" i="2"/>
  <c r="M2379" i="2" s="1"/>
  <c r="L2380" i="2"/>
  <c r="M2380" i="2" s="1"/>
  <c r="L2381" i="2"/>
  <c r="M2381" i="2" s="1"/>
  <c r="L2382" i="2"/>
  <c r="M2382" i="2" s="1"/>
  <c r="L2383" i="2"/>
  <c r="M2383" i="2" s="1"/>
  <c r="L2384" i="2"/>
  <c r="M2384" i="2" s="1"/>
  <c r="L2385" i="2"/>
  <c r="M2385" i="2" s="1"/>
  <c r="L2386" i="2"/>
  <c r="M2386" i="2" s="1"/>
  <c r="L2387" i="2"/>
  <c r="M2387" i="2" s="1"/>
  <c r="L2388" i="2"/>
  <c r="M2388" i="2" s="1"/>
  <c r="L2389" i="2"/>
  <c r="M2389" i="2" s="1"/>
  <c r="L2390" i="2"/>
  <c r="M2390" i="2" s="1"/>
  <c r="L2391" i="2"/>
  <c r="M2391" i="2" s="1"/>
  <c r="L2392" i="2"/>
  <c r="M2392" i="2" s="1"/>
  <c r="L2393" i="2"/>
  <c r="M2393" i="2" s="1"/>
  <c r="L2394" i="2"/>
  <c r="M2394" i="2" s="1"/>
  <c r="L2395" i="2"/>
  <c r="M2395" i="2" s="1"/>
  <c r="L2396" i="2"/>
  <c r="M2396" i="2" s="1"/>
  <c r="L2397" i="2"/>
  <c r="M2397" i="2" s="1"/>
  <c r="L2398" i="2"/>
  <c r="M2398" i="2" s="1"/>
  <c r="L2399" i="2"/>
  <c r="M2399" i="2" s="1"/>
  <c r="L2400" i="2"/>
  <c r="M2400" i="2" s="1"/>
  <c r="L2401" i="2"/>
  <c r="M2401" i="2" s="1"/>
  <c r="L2402" i="2"/>
  <c r="M2402" i="2" s="1"/>
  <c r="L2403" i="2"/>
  <c r="M2403" i="2" s="1"/>
  <c r="L2404" i="2"/>
  <c r="M2404" i="2" s="1"/>
  <c r="L2405" i="2"/>
  <c r="M2405" i="2" s="1"/>
  <c r="L2406" i="2"/>
  <c r="M2406" i="2" s="1"/>
  <c r="L2407" i="2"/>
  <c r="M2407" i="2" s="1"/>
  <c r="L2408" i="2"/>
  <c r="M2408" i="2" s="1"/>
  <c r="L2409" i="2"/>
  <c r="L2410" i="2"/>
  <c r="M2410" i="2" s="1"/>
  <c r="L2411" i="2"/>
  <c r="M2411" i="2" s="1"/>
  <c r="L2412" i="2"/>
  <c r="M2412" i="2" s="1"/>
  <c r="L2413" i="2"/>
  <c r="M2413" i="2" s="1"/>
  <c r="L2414" i="2"/>
  <c r="M2414" i="2" s="1"/>
  <c r="L2415" i="2"/>
  <c r="M2415" i="2" s="1"/>
  <c r="L2416" i="2"/>
  <c r="M2416" i="2" s="1"/>
  <c r="L2417" i="2"/>
  <c r="M2417" i="2" s="1"/>
  <c r="L2418" i="2"/>
  <c r="M2418" i="2" s="1"/>
  <c r="L2419" i="2"/>
  <c r="L2420" i="2"/>
  <c r="M2420" i="2" s="1"/>
  <c r="L2421" i="2"/>
  <c r="M2421" i="2" s="1"/>
  <c r="L2422" i="2"/>
  <c r="M2422" i="2" s="1"/>
  <c r="L2423" i="2"/>
  <c r="L2424" i="2"/>
  <c r="M2424" i="2" s="1"/>
  <c r="L2425" i="2"/>
  <c r="M2425" i="2" s="1"/>
  <c r="L2426" i="2"/>
  <c r="M2426" i="2" s="1"/>
  <c r="L2427" i="2"/>
  <c r="M2427" i="2" s="1"/>
  <c r="L2428" i="2"/>
  <c r="M2428" i="2" s="1"/>
  <c r="L2429" i="2"/>
  <c r="M2429" i="2" s="1"/>
  <c r="L2430" i="2"/>
  <c r="M2430" i="2" s="1"/>
  <c r="L2431" i="2"/>
  <c r="M2431" i="2" s="1"/>
  <c r="L2432" i="2"/>
  <c r="M2432" i="2" s="1"/>
  <c r="L2433" i="2"/>
  <c r="M2433" i="2" s="1"/>
  <c r="L2434" i="2"/>
  <c r="M2434" i="2" s="1"/>
  <c r="L2435" i="2"/>
  <c r="M2435" i="2" s="1"/>
  <c r="L2436" i="2"/>
  <c r="M2436" i="2" s="1"/>
  <c r="L2437" i="2"/>
  <c r="L2438" i="2"/>
  <c r="M2438" i="2" s="1"/>
  <c r="L2439" i="2"/>
  <c r="M2439" i="2" s="1"/>
  <c r="L2440" i="2"/>
  <c r="M2440" i="2" s="1"/>
  <c r="L2441" i="2"/>
  <c r="M2441" i="2" s="1"/>
  <c r="L2442" i="2"/>
  <c r="M2442" i="2" s="1"/>
  <c r="L2443" i="2"/>
  <c r="M2443" i="2" s="1"/>
  <c r="L2444" i="2"/>
  <c r="M2444" i="2" s="1"/>
  <c r="L2445" i="2"/>
  <c r="M2445" i="2" s="1"/>
  <c r="L2446" i="2"/>
  <c r="M2446" i="2" s="1"/>
  <c r="L2447" i="2"/>
  <c r="M2447" i="2" s="1"/>
  <c r="L2448" i="2"/>
  <c r="M2448" i="2" s="1"/>
  <c r="L2449" i="2"/>
  <c r="M2449" i="2" s="1"/>
  <c r="L2450" i="2"/>
  <c r="M2450" i="2" s="1"/>
  <c r="L2451" i="2"/>
  <c r="M2451" i="2" s="1"/>
  <c r="L2452" i="2"/>
  <c r="M2452" i="2" s="1"/>
  <c r="L2453" i="2"/>
  <c r="M2453" i="2" s="1"/>
  <c r="L2454" i="2"/>
  <c r="M2454" i="2" s="1"/>
  <c r="L2455" i="2"/>
  <c r="M2455" i="2" s="1"/>
  <c r="L2456" i="2"/>
  <c r="M2456" i="2" s="1"/>
  <c r="L2457" i="2"/>
  <c r="M2457" i="2" s="1"/>
  <c r="L2458" i="2"/>
  <c r="M2458" i="2" s="1"/>
  <c r="L2459" i="2"/>
  <c r="M2459" i="2" s="1"/>
  <c r="L2460" i="2"/>
  <c r="M2460" i="2" s="1"/>
  <c r="L2461" i="2"/>
  <c r="M2461" i="2" s="1"/>
  <c r="L2462" i="2"/>
  <c r="M2462" i="2" s="1"/>
  <c r="L2463" i="2"/>
  <c r="M2463" i="2" s="1"/>
  <c r="L2464" i="2"/>
  <c r="M2464" i="2" s="1"/>
  <c r="L2465" i="2"/>
  <c r="M2465" i="2" s="1"/>
  <c r="L2466" i="2"/>
  <c r="M2466" i="2" s="1"/>
  <c r="L2467" i="2"/>
  <c r="M2467" i="2" s="1"/>
  <c r="L2468" i="2"/>
  <c r="M2468" i="2" s="1"/>
  <c r="L2469" i="2"/>
  <c r="L2470" i="2"/>
  <c r="M2470" i="2" s="1"/>
  <c r="L2471" i="2"/>
  <c r="M2471" i="2" s="1"/>
  <c r="L2472" i="2"/>
  <c r="M2472" i="2" s="1"/>
  <c r="L2473" i="2"/>
  <c r="M2473" i="2" s="1"/>
  <c r="L2474" i="2"/>
  <c r="M2474" i="2" s="1"/>
  <c r="L2475" i="2"/>
  <c r="M2475" i="2" s="1"/>
  <c r="L2476" i="2"/>
  <c r="M2476" i="2" s="1"/>
  <c r="L2477" i="2"/>
  <c r="M2477" i="2" s="1"/>
  <c r="L2478" i="2"/>
  <c r="M2478" i="2" s="1"/>
  <c r="L2479" i="2"/>
  <c r="M2479" i="2" s="1"/>
  <c r="L2480" i="2"/>
  <c r="M2480" i="2" s="1"/>
  <c r="L2481" i="2"/>
  <c r="M2481" i="2" s="1"/>
  <c r="L2482" i="2"/>
  <c r="M2482" i="2" s="1"/>
  <c r="L2483" i="2"/>
  <c r="M2483" i="2" s="1"/>
  <c r="L2484" i="2"/>
  <c r="M2484" i="2" s="1"/>
  <c r="L2485" i="2"/>
  <c r="M2485" i="2" s="1"/>
  <c r="L2486" i="2"/>
  <c r="M2486" i="2" s="1"/>
  <c r="L2487" i="2"/>
  <c r="M2487" i="2" s="1"/>
  <c r="L2488" i="2"/>
  <c r="M2488" i="2" s="1"/>
  <c r="L2489" i="2"/>
  <c r="M2489" i="2" s="1"/>
  <c r="L2490" i="2"/>
  <c r="M2490" i="2" s="1"/>
  <c r="L2491" i="2"/>
  <c r="M2491" i="2" s="1"/>
  <c r="L2492" i="2"/>
  <c r="M2492" i="2" s="1"/>
  <c r="L2493" i="2"/>
  <c r="M2493" i="2" s="1"/>
  <c r="L2494" i="2"/>
  <c r="M2494" i="2" s="1"/>
  <c r="L2495" i="2"/>
  <c r="L2496" i="2"/>
  <c r="M2496" i="2" s="1"/>
  <c r="L2497" i="2"/>
  <c r="M2497" i="2" s="1"/>
  <c r="L2498" i="2"/>
  <c r="M2498" i="2" s="1"/>
  <c r="L2499" i="2"/>
  <c r="M2499" i="2" s="1"/>
  <c r="L2500" i="2"/>
  <c r="M2500" i="2" s="1"/>
  <c r="L2501" i="2"/>
  <c r="M2501" i="2" s="1"/>
  <c r="L2502" i="2"/>
  <c r="M2502" i="2" s="1"/>
  <c r="L2503" i="2"/>
  <c r="M2503" i="2" s="1"/>
  <c r="L2504" i="2"/>
  <c r="M2504" i="2" s="1"/>
  <c r="L2505" i="2"/>
  <c r="M2505" i="2" s="1"/>
  <c r="L2506" i="2"/>
  <c r="L2507" i="2"/>
  <c r="M2507" i="2" s="1"/>
  <c r="L2508" i="2"/>
  <c r="M2508" i="2" s="1"/>
  <c r="L2509" i="2"/>
  <c r="M2509" i="2" s="1"/>
  <c r="L2510" i="2"/>
  <c r="L2511" i="2"/>
  <c r="M2511" i="2" s="1"/>
  <c r="L2512" i="2"/>
  <c r="M2512" i="2" s="1"/>
  <c r="L2513" i="2"/>
  <c r="M2513" i="2" s="1"/>
  <c r="L2514" i="2"/>
  <c r="M2514" i="2" s="1"/>
  <c r="L2515" i="2"/>
  <c r="M2515" i="2" s="1"/>
  <c r="L2516" i="2"/>
  <c r="M2516" i="2" s="1"/>
  <c r="L2517" i="2"/>
  <c r="M2517" i="2" s="1"/>
  <c r="L2518" i="2"/>
  <c r="M2518" i="2" s="1"/>
  <c r="L2519" i="2"/>
  <c r="M2519" i="2" s="1"/>
  <c r="L2520" i="2"/>
  <c r="M2520" i="2" s="1"/>
  <c r="L2521" i="2"/>
  <c r="M2521" i="2" s="1"/>
  <c r="L2522" i="2"/>
  <c r="M2522" i="2" s="1"/>
  <c r="L2523" i="2"/>
  <c r="M2523" i="2" s="1"/>
  <c r="L2524" i="2"/>
  <c r="M2524" i="2" s="1"/>
  <c r="L2525" i="2"/>
  <c r="M2525" i="2" s="1"/>
  <c r="L2526" i="2"/>
  <c r="M2526" i="2" s="1"/>
  <c r="L2527" i="2"/>
  <c r="M2527" i="2" s="1"/>
  <c r="L2528" i="2"/>
  <c r="M2528" i="2" s="1"/>
  <c r="L2529" i="2"/>
  <c r="M2529" i="2" s="1"/>
  <c r="L2530" i="2"/>
  <c r="M2530" i="2" s="1"/>
  <c r="L2531" i="2"/>
  <c r="M2531" i="2" s="1"/>
  <c r="L2532" i="2"/>
  <c r="M2532" i="2" s="1"/>
  <c r="L2533" i="2"/>
  <c r="M2533" i="2" s="1"/>
  <c r="L2534" i="2"/>
  <c r="M2534" i="2" s="1"/>
  <c r="L2535" i="2"/>
  <c r="M2535" i="2" s="1"/>
  <c r="L2536" i="2"/>
  <c r="M2536" i="2" s="1"/>
  <c r="L2537" i="2"/>
  <c r="M2537" i="2" s="1"/>
  <c r="L2538" i="2"/>
  <c r="M2538" i="2" s="1"/>
  <c r="L2539" i="2"/>
  <c r="M2539" i="2" s="1"/>
  <c r="L2540" i="2"/>
  <c r="M2540" i="2" s="1"/>
  <c r="L2541" i="2"/>
  <c r="M2541" i="2" s="1"/>
  <c r="L2542" i="2"/>
  <c r="M2542" i="2" s="1"/>
  <c r="L2543" i="2"/>
  <c r="M2543" i="2" s="1"/>
  <c r="L2544" i="2"/>
  <c r="M2544" i="2" s="1"/>
  <c r="L2545" i="2"/>
  <c r="M2545" i="2" s="1"/>
  <c r="L2546" i="2"/>
  <c r="M2546" i="2" s="1"/>
  <c r="L2547" i="2"/>
  <c r="M2547" i="2" s="1"/>
  <c r="L2548" i="2"/>
  <c r="M2548" i="2" s="1"/>
  <c r="L2549" i="2"/>
  <c r="M2549" i="2" s="1"/>
  <c r="L2550" i="2"/>
  <c r="M2550" i="2" s="1"/>
  <c r="L2551" i="2"/>
  <c r="M2551" i="2" s="1"/>
  <c r="L2552" i="2"/>
  <c r="M2552" i="2" s="1"/>
  <c r="L2553" i="2"/>
  <c r="M2553" i="2" s="1"/>
  <c r="L2554" i="2"/>
  <c r="M2554" i="2" s="1"/>
  <c r="L2555" i="2"/>
  <c r="M2555" i="2" s="1"/>
  <c r="L2556" i="2"/>
  <c r="M2556" i="2" s="1"/>
  <c r="L2557" i="2"/>
  <c r="M2557" i="2" s="1"/>
  <c r="L2558" i="2"/>
  <c r="M2558" i="2" s="1"/>
  <c r="L2559" i="2"/>
  <c r="M2559" i="2" s="1"/>
  <c r="L2560" i="2"/>
  <c r="M2560" i="2" s="1"/>
  <c r="L2561" i="2"/>
  <c r="M2561" i="2" s="1"/>
  <c r="L2562" i="2"/>
  <c r="M2562" i="2" s="1"/>
  <c r="L2563" i="2"/>
  <c r="M2563" i="2" s="1"/>
  <c r="L2564" i="2"/>
  <c r="M2564" i="2" s="1"/>
  <c r="L2565" i="2"/>
  <c r="M2565" i="2" s="1"/>
  <c r="L2566" i="2"/>
  <c r="M2566" i="2" s="1"/>
  <c r="L2567" i="2"/>
  <c r="M2567" i="2" s="1"/>
  <c r="L2568" i="2"/>
  <c r="M2568" i="2" s="1"/>
  <c r="L2569" i="2"/>
  <c r="M2569" i="2" s="1"/>
  <c r="L2570" i="2"/>
  <c r="M2570" i="2" s="1"/>
  <c r="L2571" i="2"/>
  <c r="M2571" i="2" s="1"/>
  <c r="L2572" i="2"/>
  <c r="M2572" i="2" s="1"/>
  <c r="L2573" i="2"/>
  <c r="L2574" i="2"/>
  <c r="M2574" i="2" s="1"/>
  <c r="L2575" i="2"/>
  <c r="M2575" i="2" s="1"/>
  <c r="L2576" i="2"/>
  <c r="M2576" i="2" s="1"/>
  <c r="L2577" i="2"/>
  <c r="M2577" i="2" s="1"/>
  <c r="L2578" i="2"/>
  <c r="M2578" i="2" s="1"/>
  <c r="L2579" i="2"/>
  <c r="L2580" i="2"/>
  <c r="M2580" i="2" s="1"/>
  <c r="L2581" i="2"/>
  <c r="M2581" i="2" s="1"/>
  <c r="L2582" i="2"/>
  <c r="M2582" i="2" s="1"/>
  <c r="L2583" i="2"/>
  <c r="M2583" i="2" s="1"/>
  <c r="L2584" i="2"/>
  <c r="M2584" i="2" s="1"/>
  <c r="L2585" i="2"/>
  <c r="M2585" i="2" s="1"/>
  <c r="L2586" i="2"/>
  <c r="L2587" i="2"/>
  <c r="M2587" i="2" s="1"/>
  <c r="L2588" i="2"/>
  <c r="L2589" i="2"/>
  <c r="M2589" i="2" s="1"/>
  <c r="L2590" i="2"/>
  <c r="M2590" i="2" s="1"/>
  <c r="L2591" i="2"/>
  <c r="M2591" i="2" s="1"/>
  <c r="L2592" i="2"/>
  <c r="M2592" i="2" s="1"/>
  <c r="L2593" i="2"/>
  <c r="M2593" i="2" s="1"/>
  <c r="L2594" i="2"/>
  <c r="M2594" i="2" s="1"/>
  <c r="L2595" i="2"/>
  <c r="M2595" i="2" s="1"/>
  <c r="L2596" i="2"/>
  <c r="M2596" i="2" s="1"/>
  <c r="L2597" i="2"/>
  <c r="M2597" i="2" s="1"/>
  <c r="L2598" i="2"/>
  <c r="M2598" i="2" s="1"/>
  <c r="L2599" i="2"/>
  <c r="M2599" i="2" s="1"/>
  <c r="L2600" i="2"/>
  <c r="M2600" i="2" s="1"/>
  <c r="L2601" i="2"/>
  <c r="M2601" i="2" s="1"/>
  <c r="L2602" i="2"/>
  <c r="M2602" i="2" s="1"/>
  <c r="L2603" i="2"/>
  <c r="M2603" i="2" s="1"/>
  <c r="L2604" i="2"/>
  <c r="M2604" i="2" s="1"/>
  <c r="L2605" i="2"/>
  <c r="M2605" i="2" s="1"/>
  <c r="L2606" i="2"/>
  <c r="M2606" i="2" s="1"/>
  <c r="L2607" i="2"/>
  <c r="M2607" i="2" s="1"/>
  <c r="L2608" i="2"/>
  <c r="M2608" i="2" s="1"/>
  <c r="L2609" i="2"/>
  <c r="M2609" i="2" s="1"/>
  <c r="L2610" i="2"/>
  <c r="M2610" i="2" s="1"/>
  <c r="L2611" i="2"/>
  <c r="M2611" i="2" s="1"/>
  <c r="L2612" i="2"/>
  <c r="M2612" i="2" s="1"/>
  <c r="L2613" i="2"/>
  <c r="M2613" i="2" s="1"/>
  <c r="L2614" i="2"/>
  <c r="M2614" i="2" s="1"/>
  <c r="L2615" i="2"/>
  <c r="M2615" i="2" s="1"/>
  <c r="L2616" i="2"/>
  <c r="M2616" i="2" s="1"/>
  <c r="L2617" i="2"/>
  <c r="M2617" i="2" s="1"/>
  <c r="L2618" i="2"/>
  <c r="M2618" i="2" s="1"/>
  <c r="L2619" i="2"/>
  <c r="M2619" i="2" s="1"/>
  <c r="L2620" i="2"/>
  <c r="M2620" i="2" s="1"/>
  <c r="L2621" i="2"/>
  <c r="M2621" i="2" s="1"/>
  <c r="L2622" i="2"/>
  <c r="M2622" i="2" s="1"/>
  <c r="L2623" i="2"/>
  <c r="M2623" i="2" s="1"/>
  <c r="L2624" i="2"/>
  <c r="M2624" i="2" s="1"/>
  <c r="L2625" i="2"/>
  <c r="M2625" i="2" s="1"/>
  <c r="L2626" i="2"/>
  <c r="M2626" i="2" s="1"/>
  <c r="L2627" i="2"/>
  <c r="M2627" i="2" s="1"/>
  <c r="L2628" i="2"/>
  <c r="M2628" i="2" s="1"/>
  <c r="L2629" i="2"/>
  <c r="M2629" i="2" s="1"/>
  <c r="L2630" i="2"/>
  <c r="M2630" i="2" s="1"/>
  <c r="L2631" i="2"/>
  <c r="M2631" i="2" s="1"/>
  <c r="L2632" i="2"/>
  <c r="M2632" i="2" s="1"/>
  <c r="L2633" i="2"/>
  <c r="M2633" i="2" s="1"/>
  <c r="L2634" i="2"/>
  <c r="M2634" i="2" s="1"/>
  <c r="L2635" i="2"/>
  <c r="M2635" i="2" s="1"/>
  <c r="L2636" i="2"/>
  <c r="M2636" i="2" s="1"/>
  <c r="L2637" i="2"/>
  <c r="M2637" i="2" s="1"/>
  <c r="L2638" i="2"/>
  <c r="M2638" i="2" s="1"/>
  <c r="L2639" i="2"/>
  <c r="M2639" i="2" s="1"/>
  <c r="L2640" i="2"/>
  <c r="M2640" i="2" s="1"/>
  <c r="L2641" i="2"/>
  <c r="M2641" i="2" s="1"/>
  <c r="L2642" i="2"/>
  <c r="M2642" i="2" s="1"/>
  <c r="L2643" i="2"/>
  <c r="L2644" i="2"/>
  <c r="L2645" i="2"/>
  <c r="M2645" i="2" s="1"/>
  <c r="L2646" i="2"/>
  <c r="L2647" i="2"/>
  <c r="L2648" i="2"/>
  <c r="L2649" i="2"/>
  <c r="L2650" i="2"/>
  <c r="L2651" i="2"/>
  <c r="M2651" i="2" s="1"/>
  <c r="L2652" i="2"/>
  <c r="L2653" i="2"/>
  <c r="L2654" i="2"/>
  <c r="L2655" i="2"/>
  <c r="L2656" i="2"/>
  <c r="L2657" i="2"/>
  <c r="L2658" i="2"/>
  <c r="L2659" i="2"/>
  <c r="L2660" i="2"/>
  <c r="L2661" i="2"/>
  <c r="M2661" i="2" s="1"/>
  <c r="L2662" i="2"/>
  <c r="M2662" i="2" s="1"/>
  <c r="L2663" i="2"/>
  <c r="M2663" i="2" s="1"/>
  <c r="L2664" i="2"/>
  <c r="L2665" i="2"/>
  <c r="L2666" i="2"/>
  <c r="M2666" i="2" s="1"/>
  <c r="L2667" i="2"/>
  <c r="L2668" i="2"/>
  <c r="M2668" i="2" s="1"/>
  <c r="L2669" i="2"/>
  <c r="M2669" i="2" s="1"/>
  <c r="L2670" i="2"/>
  <c r="M2670" i="2" s="1"/>
  <c r="L2671" i="2"/>
  <c r="M2671" i="2" s="1"/>
  <c r="L2672" i="2"/>
  <c r="M2672" i="2" s="1"/>
  <c r="L2673" i="2"/>
  <c r="M2673" i="2" s="1"/>
  <c r="L2674" i="2"/>
  <c r="M2674" i="2" s="1"/>
  <c r="L2675" i="2"/>
  <c r="M2675" i="2" s="1"/>
  <c r="L2676" i="2"/>
  <c r="M2676" i="2" s="1"/>
  <c r="L2677" i="2"/>
  <c r="M2677" i="2" s="1"/>
  <c r="L2678" i="2"/>
  <c r="M2678" i="2" s="1"/>
  <c r="L2679" i="2"/>
  <c r="M2679" i="2" s="1"/>
  <c r="L2680" i="2"/>
  <c r="M2680" i="2" s="1"/>
  <c r="L2681" i="2"/>
  <c r="M2681" i="2" s="1"/>
  <c r="L2682" i="2"/>
  <c r="M2682" i="2" s="1"/>
  <c r="L2683" i="2"/>
  <c r="M2683" i="2" s="1"/>
  <c r="L2684" i="2"/>
  <c r="M2684" i="2" s="1"/>
  <c r="L2685" i="2"/>
  <c r="M2685" i="2" s="1"/>
  <c r="L2686" i="2"/>
  <c r="M2686" i="2" s="1"/>
  <c r="L2687" i="2"/>
  <c r="M2687" i="2" s="1"/>
  <c r="L2688" i="2"/>
  <c r="M2688" i="2" s="1"/>
  <c r="L2689" i="2"/>
  <c r="M2689" i="2" s="1"/>
  <c r="L2690" i="2"/>
  <c r="M2690" i="2" s="1"/>
  <c r="L2691" i="2"/>
  <c r="M2691" i="2" s="1"/>
  <c r="L2692" i="2"/>
  <c r="M2692" i="2" s="1"/>
  <c r="L2693" i="2"/>
  <c r="M2693" i="2" s="1"/>
  <c r="L2694" i="2"/>
  <c r="L2695" i="2"/>
  <c r="M2695" i="2" s="1"/>
  <c r="L2696" i="2"/>
  <c r="L2697" i="2"/>
  <c r="M2697" i="2" s="1"/>
  <c r="L2698" i="2"/>
  <c r="L2699" i="2"/>
  <c r="M2699" i="2" s="1"/>
  <c r="L2700" i="2"/>
  <c r="L2701" i="2"/>
  <c r="M2701" i="2" s="1"/>
  <c r="L2702" i="2"/>
  <c r="L2703" i="2"/>
  <c r="L2704" i="2"/>
  <c r="M2704" i="2" s="1"/>
  <c r="L2705" i="2"/>
  <c r="L2706" i="2"/>
  <c r="M2706" i="2" s="1"/>
  <c r="L2707" i="2"/>
  <c r="M2707" i="2" s="1"/>
  <c r="L2708" i="2"/>
  <c r="M2708" i="2" s="1"/>
  <c r="L2709" i="2"/>
  <c r="L2710" i="2"/>
  <c r="M2710" i="2" s="1"/>
  <c r="L2711" i="2"/>
  <c r="M2711" i="2" s="1"/>
  <c r="L2712" i="2"/>
  <c r="M2712" i="2" s="1"/>
  <c r="L2713" i="2"/>
  <c r="M2713" i="2" s="1"/>
  <c r="L2714" i="2"/>
  <c r="M2714" i="2" s="1"/>
  <c r="L2715" i="2"/>
  <c r="M2715" i="2" s="1"/>
  <c r="L2716" i="2"/>
  <c r="M2716" i="2" s="1"/>
  <c r="L2717" i="2"/>
  <c r="L2718" i="2"/>
  <c r="L2719" i="2"/>
  <c r="M2719" i="2" s="1"/>
  <c r="L2720" i="2"/>
  <c r="M2720" i="2" s="1"/>
  <c r="L2721" i="2"/>
  <c r="M2721" i="2" s="1"/>
  <c r="L2722" i="2"/>
  <c r="M2722" i="2" s="1"/>
  <c r="L2723" i="2"/>
  <c r="M2723" i="2" s="1"/>
  <c r="L2724" i="2"/>
  <c r="M2724" i="2" s="1"/>
  <c r="L2725" i="2"/>
  <c r="M2725" i="2" s="1"/>
  <c r="L2726" i="2"/>
  <c r="M2726" i="2" s="1"/>
  <c r="L2727" i="2"/>
  <c r="M2727" i="2" s="1"/>
  <c r="L2728" i="2"/>
  <c r="M2728" i="2" s="1"/>
  <c r="L2729" i="2"/>
  <c r="M2729" i="2" s="1"/>
  <c r="L2730" i="2"/>
  <c r="M2730" i="2" s="1"/>
  <c r="L2731" i="2"/>
  <c r="M2731" i="2" s="1"/>
  <c r="L2732" i="2"/>
  <c r="M2732" i="2" s="1"/>
  <c r="L2733" i="2"/>
  <c r="M2733" i="2" s="1"/>
  <c r="L2734" i="2"/>
  <c r="M2734" i="2" s="1"/>
  <c r="L2735" i="2"/>
  <c r="M2735" i="2" s="1"/>
  <c r="L2736" i="2"/>
  <c r="M2736" i="2" s="1"/>
  <c r="L2737" i="2"/>
  <c r="M2737" i="2" s="1"/>
  <c r="L2738" i="2"/>
  <c r="M2738" i="2" s="1"/>
  <c r="L2739" i="2"/>
  <c r="M2739" i="2" s="1"/>
  <c r="L2740" i="2"/>
  <c r="M2740" i="2" s="1"/>
  <c r="L2741" i="2"/>
  <c r="M2741" i="2" s="1"/>
  <c r="L2742" i="2"/>
  <c r="M2742" i="2" s="1"/>
  <c r="L2743" i="2"/>
  <c r="M2743" i="2" s="1"/>
  <c r="L2744" i="2"/>
  <c r="M2744" i="2" s="1"/>
  <c r="L2745" i="2"/>
  <c r="M2745" i="2" s="1"/>
  <c r="L2746" i="2"/>
  <c r="M2746" i="2" s="1"/>
  <c r="L2747" i="2"/>
  <c r="M2747" i="2" s="1"/>
  <c r="L2748" i="2"/>
  <c r="M2748" i="2" s="1"/>
  <c r="L2749" i="2"/>
  <c r="M2749" i="2" s="1"/>
  <c r="L2750" i="2"/>
  <c r="M2750" i="2" s="1"/>
  <c r="L2751" i="2"/>
  <c r="M2751" i="2" s="1"/>
  <c r="L2752" i="2"/>
  <c r="M2752" i="2" s="1"/>
  <c r="L2753" i="2"/>
  <c r="M2753" i="2" s="1"/>
  <c r="L2754" i="2"/>
  <c r="L2755" i="2"/>
  <c r="M2755" i="2" s="1"/>
  <c r="L2756" i="2"/>
  <c r="M2756" i="2" s="1"/>
  <c r="L2757" i="2"/>
  <c r="M2757" i="2" s="1"/>
  <c r="L2758" i="2"/>
  <c r="M2758" i="2" s="1"/>
  <c r="L2759" i="2"/>
  <c r="M2759" i="2" s="1"/>
  <c r="L2760" i="2"/>
  <c r="M2760" i="2" s="1"/>
  <c r="L2761" i="2"/>
  <c r="M2761" i="2" s="1"/>
  <c r="L2762" i="2"/>
  <c r="M2762" i="2" s="1"/>
  <c r="L2763" i="2"/>
  <c r="M2763" i="2" s="1"/>
  <c r="L2764" i="2"/>
  <c r="M2764" i="2" s="1"/>
  <c r="L2765" i="2"/>
  <c r="M2765" i="2" s="1"/>
  <c r="L2766" i="2"/>
  <c r="M2766" i="2" s="1"/>
  <c r="L2767" i="2"/>
  <c r="M2767" i="2" s="1"/>
  <c r="L2768" i="2"/>
  <c r="M2768" i="2" s="1"/>
  <c r="L2769" i="2"/>
  <c r="M2769" i="2" s="1"/>
  <c r="L2770" i="2"/>
  <c r="M2770" i="2" s="1"/>
  <c r="L2771" i="2"/>
  <c r="M2771" i="2" s="1"/>
  <c r="L2772" i="2"/>
  <c r="M2772" i="2" s="1"/>
  <c r="L2773" i="2"/>
  <c r="M2773" i="2" s="1"/>
  <c r="L2774" i="2"/>
  <c r="M2774" i="2" s="1"/>
  <c r="L2775" i="2"/>
  <c r="M2775" i="2" s="1"/>
  <c r="L2776" i="2"/>
  <c r="L2777" i="2"/>
  <c r="M2777" i="2" s="1"/>
  <c r="L2778" i="2"/>
  <c r="M2778" i="2" s="1"/>
  <c r="L2779" i="2"/>
  <c r="M2779" i="2" s="1"/>
  <c r="L2780" i="2"/>
  <c r="M2780" i="2" s="1"/>
  <c r="L2781" i="2"/>
  <c r="M2781" i="2" s="1"/>
  <c r="L2782" i="2"/>
  <c r="M2782" i="2" s="1"/>
  <c r="L2783" i="2"/>
  <c r="M2783" i="2" s="1"/>
  <c r="L2784" i="2"/>
  <c r="M2784" i="2" s="1"/>
  <c r="L2785" i="2"/>
  <c r="M2785" i="2" s="1"/>
  <c r="L2786" i="2"/>
  <c r="M2786" i="2" s="1"/>
  <c r="L2787" i="2"/>
  <c r="M2787" i="2" s="1"/>
  <c r="L2788" i="2"/>
  <c r="M2788" i="2" s="1"/>
  <c r="L2789" i="2"/>
  <c r="M2789" i="2" s="1"/>
  <c r="L2790" i="2"/>
  <c r="M2790" i="2" s="1"/>
  <c r="L2791" i="2"/>
  <c r="M2791" i="2" s="1"/>
  <c r="L2792" i="2"/>
  <c r="M2792" i="2" s="1"/>
  <c r="L2793" i="2"/>
  <c r="M2793" i="2" s="1"/>
  <c r="L2794" i="2"/>
  <c r="M2794" i="2" s="1"/>
  <c r="L2795" i="2"/>
  <c r="M2795" i="2" s="1"/>
  <c r="L2796" i="2"/>
  <c r="M2796" i="2" s="1"/>
  <c r="L2797" i="2"/>
  <c r="M2797" i="2" s="1"/>
  <c r="L2798" i="2"/>
  <c r="M2798" i="2" s="1"/>
  <c r="L2799" i="2"/>
  <c r="M2799" i="2" s="1"/>
  <c r="L2800" i="2"/>
  <c r="M2800" i="2" s="1"/>
  <c r="L2801" i="2"/>
  <c r="M2801" i="2" s="1"/>
  <c r="L2802" i="2"/>
  <c r="M2802" i="2" s="1"/>
  <c r="L2803" i="2"/>
  <c r="M2803" i="2" s="1"/>
  <c r="L2804" i="2"/>
  <c r="L2805" i="2"/>
  <c r="M2805" i="2" s="1"/>
  <c r="L2806" i="2"/>
  <c r="M2806" i="2" s="1"/>
  <c r="L2807" i="2"/>
  <c r="M2807" i="2" s="1"/>
  <c r="L2808" i="2"/>
  <c r="M2808" i="2" s="1"/>
  <c r="L2809" i="2"/>
  <c r="M2809" i="2" s="1"/>
  <c r="L2810" i="2"/>
  <c r="M2810" i="2" s="1"/>
  <c r="L2811" i="2"/>
  <c r="M2811" i="2" s="1"/>
  <c r="L2812" i="2"/>
  <c r="M2812" i="2" s="1"/>
  <c r="L2813" i="2"/>
  <c r="L2814" i="2"/>
  <c r="M2814" i="2" s="1"/>
  <c r="L2815" i="2"/>
  <c r="M2815" i="2" s="1"/>
  <c r="L2816" i="2"/>
  <c r="M2816" i="2" s="1"/>
  <c r="L2817" i="2"/>
  <c r="M2817" i="2" s="1"/>
  <c r="L2818" i="2"/>
  <c r="M2818" i="2" s="1"/>
  <c r="L2819" i="2"/>
  <c r="M2819" i="2" s="1"/>
  <c r="L2820" i="2"/>
  <c r="M2820" i="2" s="1"/>
  <c r="L2821" i="2"/>
  <c r="M2821" i="2" s="1"/>
  <c r="L2822" i="2"/>
  <c r="M2822" i="2" s="1"/>
  <c r="L2823" i="2"/>
  <c r="M2823" i="2" s="1"/>
  <c r="L2824" i="2"/>
  <c r="M2824" i="2" s="1"/>
  <c r="L2" i="2"/>
  <c r="M2" i="2"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 i="2"/>
  <c r="AC19" i="1"/>
  <c r="AC18" i="1"/>
  <c r="AC17" i="1"/>
  <c r="AC16" i="1"/>
  <c r="AC15" i="1"/>
  <c r="AO7" i="1"/>
  <c r="AG7" i="1"/>
  <c r="F9" i="1"/>
  <c r="B9" i="1"/>
  <c r="AC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69364-EBAE-45BF-9B88-A5DA4D9B5B7E}"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2" xr16:uid="{1E6BE629-5E8B-4479-9788-90641C010728}"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s>
</file>

<file path=xl/sharedStrings.xml><?xml version="1.0" encoding="utf-8"?>
<sst xmlns="http://schemas.openxmlformats.org/spreadsheetml/2006/main" count="17228" uniqueCount="163">
  <si>
    <t>SALES</t>
  </si>
  <si>
    <t>STATUS</t>
  </si>
  <si>
    <t>QTR_ID</t>
  </si>
  <si>
    <t>MONTH_ID</t>
  </si>
  <si>
    <t>YEAR_ID</t>
  </si>
  <si>
    <t>MSRP</t>
  </si>
  <si>
    <t>CITY</t>
  </si>
  <si>
    <t>COUNTRY</t>
  </si>
  <si>
    <t>TERRITORY</t>
  </si>
  <si>
    <t>Shipped</t>
  </si>
  <si>
    <t>Motorcycles</t>
  </si>
  <si>
    <t>NYC</t>
  </si>
  <si>
    <t>USA</t>
  </si>
  <si>
    <t>NA</t>
  </si>
  <si>
    <t>Small</t>
  </si>
  <si>
    <t>Reims</t>
  </si>
  <si>
    <t>France</t>
  </si>
  <si>
    <t>EMEA</t>
  </si>
  <si>
    <t>Paris</t>
  </si>
  <si>
    <t>Medium</t>
  </si>
  <si>
    <t>Pasadena</t>
  </si>
  <si>
    <t>San Francisco</t>
  </si>
  <si>
    <t>Burlingame</t>
  </si>
  <si>
    <t>Lille</t>
  </si>
  <si>
    <t>Bergen</t>
  </si>
  <si>
    <t>Norway</t>
  </si>
  <si>
    <t>Melbourne</t>
  </si>
  <si>
    <t>Australia</t>
  </si>
  <si>
    <t>APAC</t>
  </si>
  <si>
    <t>Newark</t>
  </si>
  <si>
    <t>Bridgewater</t>
  </si>
  <si>
    <t>Nantes</t>
  </si>
  <si>
    <t>Cambridge</t>
  </si>
  <si>
    <t>Helsinki</t>
  </si>
  <si>
    <t>Finland</t>
  </si>
  <si>
    <t>Stavern</t>
  </si>
  <si>
    <t>Allentown</t>
  </si>
  <si>
    <t>Salzburg</t>
  </si>
  <si>
    <t>Austria</t>
  </si>
  <si>
    <t>Large</t>
  </si>
  <si>
    <t>Chatswood</t>
  </si>
  <si>
    <t>New Bedford</t>
  </si>
  <si>
    <t>Liverpool</t>
  </si>
  <si>
    <t>UK</t>
  </si>
  <si>
    <t>Disputed</t>
  </si>
  <si>
    <t>Madrid</t>
  </si>
  <si>
    <t>Spain</t>
  </si>
  <si>
    <t>Classic Cars</t>
  </si>
  <si>
    <t>Lule</t>
  </si>
  <si>
    <t>Sweden</t>
  </si>
  <si>
    <t>Singapore</t>
  </si>
  <si>
    <t>Japan</t>
  </si>
  <si>
    <t>South Brisbane</t>
  </si>
  <si>
    <t>Philadelphia</t>
  </si>
  <si>
    <t>Lyon</t>
  </si>
  <si>
    <t>Vancouver</t>
  </si>
  <si>
    <t>Canada</t>
  </si>
  <si>
    <t>Burbank</t>
  </si>
  <si>
    <t>New Haven</t>
  </si>
  <si>
    <t>Minato-ku</t>
  </si>
  <si>
    <t>Torino</t>
  </si>
  <si>
    <t>Italy</t>
  </si>
  <si>
    <t>Boras</t>
  </si>
  <si>
    <t>Versailles</t>
  </si>
  <si>
    <t>San Rafael</t>
  </si>
  <si>
    <t>Nashua</t>
  </si>
  <si>
    <t>Brickhaven</t>
  </si>
  <si>
    <t>North Sydney</t>
  </si>
  <si>
    <t>Montreal</t>
  </si>
  <si>
    <t>In Process</t>
  </si>
  <si>
    <t>Osaka</t>
  </si>
  <si>
    <t>White Plains</t>
  </si>
  <si>
    <t>Kobenhavn</t>
  </si>
  <si>
    <t>Denmark</t>
  </si>
  <si>
    <t>London</t>
  </si>
  <si>
    <t>Cancelled</t>
  </si>
  <si>
    <t>Toulouse</t>
  </si>
  <si>
    <t>Barcelona</t>
  </si>
  <si>
    <t>Los Angeles</t>
  </si>
  <si>
    <t>San Diego</t>
  </si>
  <si>
    <t>Bruxelles</t>
  </si>
  <si>
    <t>Belgium</t>
  </si>
  <si>
    <t>Tsawassen</t>
  </si>
  <si>
    <t>Boston</t>
  </si>
  <si>
    <t>Cowes</t>
  </si>
  <si>
    <t>Oulu</t>
  </si>
  <si>
    <t>San Jose</t>
  </si>
  <si>
    <t>On Hold</t>
  </si>
  <si>
    <t>Resolved</t>
  </si>
  <si>
    <t>Graz</t>
  </si>
  <si>
    <t>Makati City</t>
  </si>
  <si>
    <t>Philippines</t>
  </si>
  <si>
    <t>Marseille</t>
  </si>
  <si>
    <t>Koln</t>
  </si>
  <si>
    <t>Germany</t>
  </si>
  <si>
    <t>Gensve</t>
  </si>
  <si>
    <t>Switzerland</t>
  </si>
  <si>
    <t>Reggio Emilia</t>
  </si>
  <si>
    <t>Frankfurt</t>
  </si>
  <si>
    <t>Espoo</t>
  </si>
  <si>
    <t>Dublin</t>
  </si>
  <si>
    <t>Ireland</t>
  </si>
  <si>
    <t>Manchester</t>
  </si>
  <si>
    <t>Aaarhus</t>
  </si>
  <si>
    <t>Trucks and Buses</t>
  </si>
  <si>
    <t>Glendale</t>
  </si>
  <si>
    <t>Sevilla</t>
  </si>
  <si>
    <t>Brisbane</t>
  </si>
  <si>
    <t>Strasbourg</t>
  </si>
  <si>
    <t>Las Vegas</t>
  </si>
  <si>
    <t>Oslo</t>
  </si>
  <si>
    <t>Jan</t>
  </si>
  <si>
    <t>Vintage Cars</t>
  </si>
  <si>
    <t>Bergamo</t>
  </si>
  <si>
    <t>Glen Waverly</t>
  </si>
  <si>
    <t>Planes</t>
  </si>
  <si>
    <t>Munich</t>
  </si>
  <si>
    <t>Charleroi</t>
  </si>
  <si>
    <t>Ships</t>
  </si>
  <si>
    <t>Trains</t>
  </si>
  <si>
    <t>QUANTITY ORDERED</t>
  </si>
  <si>
    <t>PRICE EACH</t>
  </si>
  <si>
    <t>ORDER DATE</t>
  </si>
  <si>
    <t>PRODUCT LINE</t>
  </si>
  <si>
    <t>DEAL SIZE</t>
  </si>
  <si>
    <t>PRICE VARIANCE</t>
  </si>
  <si>
    <t>AVG DISCOUNT</t>
  </si>
  <si>
    <t>Row Labels</t>
  </si>
  <si>
    <t>Grand Total</t>
  </si>
  <si>
    <t>DISCOUNT RANGE</t>
  </si>
  <si>
    <t>0%</t>
  </si>
  <si>
    <t>0%-5%</t>
  </si>
  <si>
    <t>10%-15%</t>
  </si>
  <si>
    <t>15%-20%</t>
  </si>
  <si>
    <t>5%-10%</t>
  </si>
  <si>
    <t>Sum of SALES</t>
  </si>
  <si>
    <t>total sales</t>
  </si>
  <si>
    <t>Average of AVG DISCOUNT</t>
  </si>
  <si>
    <t>AVG Discount</t>
  </si>
  <si>
    <t>sales by country</t>
  </si>
  <si>
    <t>sales by city</t>
  </si>
  <si>
    <t>sales by product</t>
  </si>
  <si>
    <t>sales over time</t>
  </si>
  <si>
    <t>Feb</t>
  </si>
  <si>
    <t>Mar</t>
  </si>
  <si>
    <t>Apr</t>
  </si>
  <si>
    <t>May</t>
  </si>
  <si>
    <t>Jun</t>
  </si>
  <si>
    <t>Jul</t>
  </si>
  <si>
    <t>Aug</t>
  </si>
  <si>
    <t>Sep</t>
  </si>
  <si>
    <t>Oct</t>
  </si>
  <si>
    <t>Nov</t>
  </si>
  <si>
    <t>Dec</t>
  </si>
  <si>
    <t>Count of STATUS</t>
  </si>
  <si>
    <t>percentage of orders status</t>
  </si>
  <si>
    <t>AVG OF quantity</t>
  </si>
  <si>
    <t>Average of QUANTITY ORDERED</t>
  </si>
  <si>
    <t>+20%</t>
  </si>
  <si>
    <t>Below 0%</t>
  </si>
  <si>
    <t>discount VS sales</t>
  </si>
  <si>
    <t>Average of PRICE EACH</t>
  </si>
  <si>
    <t>AVG Of Price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</si>
</sst>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
    <numFmt numFmtId="165" formatCode="0.0%"/>
    <numFmt numFmtId="166" formatCode="0.0"/>
  </numFmts>
  <fonts count="5" x14ac:knownFonts="1">
    <font>
      <sz val="11"/>
      <color theme="1"/>
      <name val="Aptos Narrow"/>
      <family val="2"/>
      <scheme val="minor"/>
    </font>
    <font>
      <sz val="8"/>
      <name val="Aptos Narrow"/>
      <family val="2"/>
      <scheme val="minor"/>
    </font>
    <font>
      <sz val="11"/>
      <color theme="1"/>
      <name val="Aptos Narrow"/>
      <family val="2"/>
      <scheme val="minor"/>
    </font>
    <font>
      <sz val="11"/>
      <color rgb="FF13F235"/>
      <name val="Aptos Narrow"/>
      <family val="2"/>
      <scheme val="minor"/>
    </font>
    <font>
      <b/>
      <sz val="11"/>
      <color theme="0"/>
      <name val="Aptos Narrow"/>
      <family val="2"/>
      <scheme val="minor"/>
    </font>
  </fonts>
  <fills count="6">
    <fill>
      <patternFill patternType="none"/>
    </fill>
    <fill>
      <patternFill patternType="gray125"/>
    </fill>
    <fill>
      <patternFill patternType="solid">
        <fgColor rgb="FF36BF98"/>
        <bgColor indexed="64"/>
      </patternFill>
    </fill>
    <fill>
      <patternFill patternType="solid">
        <fgColor rgb="FF4AB0D9"/>
        <bgColor indexed="64"/>
      </patternFill>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4">
    <xf numFmtId="0" fontId="0" fillId="0" borderId="0" xfId="0"/>
    <xf numFmtId="1" fontId="0" fillId="0" borderId="0" xfId="0" applyNumberFormat="1"/>
    <xf numFmtId="14" fontId="0" fillId="0" borderId="0" xfId="0" applyNumberFormat="1"/>
    <xf numFmtId="164" fontId="0" fillId="0" borderId="0" xfId="0" applyNumberFormat="1"/>
    <xf numFmtId="10" fontId="0" fillId="0" borderId="0" xfId="0" applyNumberFormat="1"/>
    <xf numFmtId="9"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0" fontId="3" fillId="2" borderId="0" xfId="0" applyFont="1" applyFill="1"/>
    <xf numFmtId="9" fontId="0" fillId="0" borderId="0" xfId="2" applyFont="1"/>
    <xf numFmtId="0" fontId="0" fillId="2" borderId="0" xfId="0" applyFill="1"/>
    <xf numFmtId="0" fontId="3" fillId="3" borderId="0" xfId="0" applyFont="1" applyFill="1"/>
    <xf numFmtId="0" fontId="0" fillId="3" borderId="0" xfId="0" applyFill="1"/>
    <xf numFmtId="165" fontId="0" fillId="0" borderId="0" xfId="0" applyNumberFormat="1"/>
    <xf numFmtId="166" fontId="0" fillId="0" borderId="0" xfId="0" applyNumberFormat="1"/>
    <xf numFmtId="165" fontId="0" fillId="0" borderId="0" xfId="2" applyNumberFormat="1" applyFont="1"/>
    <xf numFmtId="0" fontId="0" fillId="3" borderId="0" xfId="0" applyFill="1" applyAlignment="1">
      <alignment horizontal="center"/>
    </xf>
    <xf numFmtId="0" fontId="0" fillId="0" borderId="0" xfId="0" applyAlignment="1">
      <alignment horizontal="center"/>
    </xf>
    <xf numFmtId="1" fontId="0" fillId="5" borderId="1" xfId="0" applyNumberFormat="1" applyFont="1" applyFill="1" applyBorder="1"/>
    <xf numFmtId="164" fontId="0" fillId="5" borderId="1" xfId="0" applyNumberFormat="1" applyFont="1" applyFill="1" applyBorder="1"/>
    <xf numFmtId="14" fontId="0" fillId="5" borderId="1" xfId="0" applyNumberFormat="1" applyFont="1" applyFill="1" applyBorder="1"/>
    <xf numFmtId="0" fontId="0" fillId="5" borderId="1" xfId="0" applyFont="1" applyFill="1" applyBorder="1"/>
    <xf numFmtId="9" fontId="0" fillId="5" borderId="1" xfId="0" applyNumberFormat="1" applyFont="1" applyFill="1" applyBorder="1"/>
    <xf numFmtId="1" fontId="0" fillId="0" borderId="1" xfId="0" applyNumberFormat="1" applyFont="1" applyBorder="1"/>
    <xf numFmtId="164" fontId="0" fillId="0" borderId="1" xfId="0" applyNumberFormat="1" applyFont="1" applyBorder="1"/>
    <xf numFmtId="14" fontId="0" fillId="0" borderId="1" xfId="0" applyNumberFormat="1" applyFont="1" applyBorder="1"/>
    <xf numFmtId="0" fontId="0" fillId="0" borderId="1" xfId="0" applyFont="1" applyBorder="1"/>
    <xf numFmtId="9" fontId="0" fillId="0" borderId="1" xfId="0" applyNumberFormat="1" applyFont="1" applyBorder="1"/>
    <xf numFmtId="0" fontId="4" fillId="4" borderId="0" xfId="0" applyFont="1" applyFill="1" applyBorder="1"/>
    <xf numFmtId="1" fontId="4" fillId="4" borderId="0" xfId="0" applyNumberFormat="1" applyFont="1" applyFill="1" applyBorder="1"/>
    <xf numFmtId="164" fontId="4" fillId="4" borderId="0" xfId="0" applyNumberFormat="1" applyFont="1" applyFill="1" applyBorder="1"/>
    <xf numFmtId="14" fontId="4" fillId="4" borderId="0" xfId="0" applyNumberFormat="1" applyFont="1" applyFill="1" applyBorder="1"/>
    <xf numFmtId="10" fontId="4" fillId="4" borderId="0" xfId="0" applyNumberFormat="1" applyFont="1" applyFill="1" applyBorder="1"/>
  </cellXfs>
  <cellStyles count="3">
    <cellStyle name="Comma" xfId="1" builtinId="3"/>
    <cellStyle name="Normal" xfId="0" builtinId="0"/>
    <cellStyle name="Percent" xfId="2" builtinId="5"/>
  </cellStyles>
  <dxfs count="35">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1" formatCode="0"/>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3"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3"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numFmt numFmtId="165" formatCode="0.0%"/>
    </dxf>
    <dxf>
      <numFmt numFmtId="1" formatCode="0"/>
    </dxf>
    <dxf>
      <font>
        <b/>
        <sz val="11"/>
        <color theme="1"/>
      </font>
    </dxf>
    <dxf>
      <font>
        <color rgb="FF13F235"/>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4AB0D9"/>
      </font>
      <fill>
        <patternFill patternType="solid">
          <fgColor theme="0"/>
          <bgColor theme="1"/>
        </patternFill>
      </fill>
      <border diagonalUp="0" diagonalDown="0">
        <left/>
        <right/>
        <top/>
        <bottom/>
        <vertical/>
        <horizontal/>
      </border>
    </dxf>
    <dxf>
      <font>
        <color rgb="FF4AB0D9"/>
      </font>
      <fill>
        <patternFill>
          <bgColor theme="1"/>
        </patternFill>
      </fill>
      <border diagonalUp="0" diagonalDown="0">
        <left/>
        <right/>
        <top/>
        <bottom/>
        <vertical/>
        <horizontal/>
      </border>
    </dxf>
  </dxfs>
  <tableStyles count="3" defaultTableStyle="TableStyleMedium2" defaultPivotStyle="PivotStyleLight16">
    <tableStyle name="Slicer Style 1" pivot="0" table="0" count="1" xr9:uid="{7531A589-FB5E-4B60-894A-82AECA1FF936}">
      <tableStyleElement type="wholeTable" dxfId="34"/>
    </tableStyle>
    <tableStyle name="Timeline Style 1" pivot="0" table="0" count="8" xr9:uid="{4244C0F1-916A-4ADB-8B0E-399F006F64DB}">
      <tableStyleElement type="wholeTable" dxfId="33"/>
      <tableStyleElement type="headerRow" dxfId="32"/>
    </tableStyle>
    <tableStyle name="Timeline Style 2" pivot="0" table="0" count="8" xr9:uid="{03C65691-3CA9-4099-BD31-D3C3898277A3}">
      <tableStyleElement type="wholeTable" dxfId="31"/>
      <tableStyleElement type="headerRow" dxfId="30"/>
    </tableStyle>
  </tableStyles>
  <colors>
    <mruColors>
      <color rgb="FF36BF98"/>
      <color rgb="FF4AB0D9"/>
      <color rgb="FF13F235"/>
      <color rgb="FF0B0B0D"/>
      <color rgb="FF12A62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tables!PivotTable4</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070493454179166E-2"/>
              <c:y val="-0.1036831353259683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68177240684793"/>
                  <c:h val="0.11322418136020151"/>
                </c:manualLayout>
              </c15:layout>
            </c:ext>
          </c:extLst>
        </c:dLbl>
      </c:pivotFmt>
      <c:pivotFmt>
        <c:idx val="4"/>
        <c:spPr>
          <a:solidFill>
            <a:schemeClr val="accent1"/>
          </a:solidFill>
          <a:ln>
            <a:noFill/>
          </a:ln>
          <a:effectLst/>
        </c:spPr>
        <c:dLbl>
          <c:idx val="0"/>
          <c:layout>
            <c:manualLayout>
              <c:x val="2.0766745872742194E-2"/>
              <c:y val="-4.8103278619722894E-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11077542799596"/>
                  <c:h val="0.10482787573467674"/>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0755287009063"/>
                  <c:h val="0.10482787573467674"/>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04028197381673"/>
                  <c:h val="0.10482787573467674"/>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28700906344409"/>
                  <c:h val="0.10482787573467674"/>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35750251762336"/>
                  <c:h val="0.10482787573467674"/>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49848942598188"/>
                  <c:h val="0.10482787573467674"/>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018126888217523"/>
                  <c:h val="0.10482787573467674"/>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25176233635449"/>
                  <c:h val="0.10482787573467674"/>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13997985901312"/>
                  <c:h val="0.10482787573467674"/>
                </c:manualLayout>
              </c15:layout>
            </c:ext>
          </c:extLst>
        </c:dLbl>
      </c:pivotFmt>
    </c:pivotFmts>
    <c:plotArea>
      <c:layout>
        <c:manualLayout>
          <c:layoutTarget val="inner"/>
          <c:xMode val="edge"/>
          <c:yMode val="edge"/>
          <c:x val="0.2675365352744804"/>
          <c:y val="4.2887779271493502E-2"/>
          <c:w val="0.72082451173965789"/>
          <c:h val="0.90472689897502667"/>
        </c:manualLayout>
      </c:layout>
      <c:barChart>
        <c:barDir val="bar"/>
        <c:grouping val="clustered"/>
        <c:varyColors val="0"/>
        <c:ser>
          <c:idx val="0"/>
          <c:order val="0"/>
          <c:tx>
            <c:strRef>
              <c:f>'Pivot tables'!$K$4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2530-4ACF-92FF-58802C966BC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C-2530-4ACF-92FF-58802C966BC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2530-4ACF-92FF-58802C966BC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2530-4ACF-92FF-58802C966BC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2530-4ACF-92FF-58802C966BC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2530-4ACF-92FF-58802C966BC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2530-4ACF-92FF-58802C966BC7}"/>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6-2530-4ACF-92FF-58802C966BC7}"/>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5-2530-4ACF-92FF-58802C966BC7}"/>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4-2530-4ACF-92FF-58802C966BC7}"/>
              </c:ext>
            </c:extLst>
          </c:dPt>
          <c:dLbls>
            <c:dLbl>
              <c:idx val="0"/>
              <c:layout>
                <c:manualLayout>
                  <c:x val="-1.0070493454179166E-2"/>
                  <c:y val="-0.1036831353259683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68177240684793"/>
                      <c:h val="0.11322418136020151"/>
                    </c:manualLayout>
                  </c15:layout>
                </c:ext>
                <c:ext xmlns:c16="http://schemas.microsoft.com/office/drawing/2014/chart" uri="{C3380CC4-5D6E-409C-BE32-E72D297353CC}">
                  <c16:uniqueId val="{00000003-2530-4ACF-92FF-58802C966BC7}"/>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7713997985901312"/>
                      <c:h val="0.10482787573467674"/>
                    </c:manualLayout>
                  </c15:layout>
                </c:ext>
                <c:ext xmlns:c16="http://schemas.microsoft.com/office/drawing/2014/chart" uri="{C3380CC4-5D6E-409C-BE32-E72D297353CC}">
                  <c16:uniqueId val="{0000000C-2530-4ACF-92FF-58802C966BC7}"/>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5025176233635449"/>
                      <c:h val="0.10482787573467674"/>
                    </c:manualLayout>
                  </c15:layout>
                </c:ext>
                <c:ext xmlns:c16="http://schemas.microsoft.com/office/drawing/2014/chart" uri="{C3380CC4-5D6E-409C-BE32-E72D297353CC}">
                  <c16:uniqueId val="{0000000B-2530-4ACF-92FF-58802C966BC7}"/>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4018126888217523"/>
                      <c:h val="0.10482787573467674"/>
                    </c:manualLayout>
                  </c15:layout>
                </c:ext>
                <c:ext xmlns:c16="http://schemas.microsoft.com/office/drawing/2014/chart" uri="{C3380CC4-5D6E-409C-BE32-E72D297353CC}">
                  <c16:uniqueId val="{0000000A-2530-4ACF-92FF-58802C966BC7}"/>
                </c:ext>
              </c:extLst>
            </c:dLbl>
            <c:dLbl>
              <c:idx val="4"/>
              <c:showLegendKey val="0"/>
              <c:showVal val="1"/>
              <c:showCatName val="0"/>
              <c:showSerName val="0"/>
              <c:showPercent val="0"/>
              <c:showBubbleSize val="0"/>
              <c:extLst>
                <c:ext xmlns:c15="http://schemas.microsoft.com/office/drawing/2012/chart" uri="{CE6537A1-D6FC-4f65-9D91-7224C49458BB}">
                  <c15:layout>
                    <c:manualLayout>
                      <c:w val="0.28549848942598188"/>
                      <c:h val="0.10482787573467674"/>
                    </c:manualLayout>
                  </c15:layout>
                </c:ext>
                <c:ext xmlns:c16="http://schemas.microsoft.com/office/drawing/2014/chart" uri="{C3380CC4-5D6E-409C-BE32-E72D297353CC}">
                  <c16:uniqueId val="{00000009-2530-4ACF-92FF-58802C966BC7}"/>
                </c:ext>
              </c:extLst>
            </c:dLbl>
            <c:dLbl>
              <c:idx val="5"/>
              <c:showLegendKey val="0"/>
              <c:showVal val="1"/>
              <c:showCatName val="0"/>
              <c:showSerName val="0"/>
              <c:showPercent val="0"/>
              <c:showBubbleSize val="0"/>
              <c:extLst>
                <c:ext xmlns:c15="http://schemas.microsoft.com/office/drawing/2012/chart" uri="{CE6537A1-D6FC-4f65-9D91-7224C49458BB}">
                  <c15:layout>
                    <c:manualLayout>
                      <c:w val="0.26535750251762336"/>
                      <c:h val="0.10482787573467674"/>
                    </c:manualLayout>
                  </c15:layout>
                </c:ext>
                <c:ext xmlns:c16="http://schemas.microsoft.com/office/drawing/2014/chart" uri="{C3380CC4-5D6E-409C-BE32-E72D297353CC}">
                  <c16:uniqueId val="{00000008-2530-4ACF-92FF-58802C966BC7}"/>
                </c:ext>
              </c:extLst>
            </c:dLbl>
            <c:dLbl>
              <c:idx val="6"/>
              <c:showLegendKey val="0"/>
              <c:showVal val="1"/>
              <c:showCatName val="0"/>
              <c:showSerName val="0"/>
              <c:showPercent val="0"/>
              <c:showBubbleSize val="0"/>
              <c:extLst>
                <c:ext xmlns:c15="http://schemas.microsoft.com/office/drawing/2012/chart" uri="{CE6537A1-D6FC-4f65-9D91-7224C49458BB}">
                  <c15:layout>
                    <c:manualLayout>
                      <c:w val="0.25528700906344409"/>
                      <c:h val="0.10482787573467674"/>
                    </c:manualLayout>
                  </c15:layout>
                </c:ext>
                <c:ext xmlns:c16="http://schemas.microsoft.com/office/drawing/2014/chart" uri="{C3380CC4-5D6E-409C-BE32-E72D297353CC}">
                  <c16:uniqueId val="{00000007-2530-4ACF-92FF-58802C966BC7}"/>
                </c:ext>
              </c:extLst>
            </c:dLbl>
            <c:dLbl>
              <c:idx val="7"/>
              <c:showLegendKey val="0"/>
              <c:showVal val="1"/>
              <c:showCatName val="0"/>
              <c:showSerName val="0"/>
              <c:showPercent val="0"/>
              <c:showBubbleSize val="0"/>
              <c:extLst>
                <c:ext xmlns:c15="http://schemas.microsoft.com/office/drawing/2012/chart" uri="{CE6537A1-D6FC-4f65-9D91-7224C49458BB}">
                  <c15:layout>
                    <c:manualLayout>
                      <c:w val="0.22004028197381673"/>
                      <c:h val="0.10482787573467674"/>
                    </c:manualLayout>
                  </c15:layout>
                </c:ext>
                <c:ext xmlns:c16="http://schemas.microsoft.com/office/drawing/2014/chart" uri="{C3380CC4-5D6E-409C-BE32-E72D297353CC}">
                  <c16:uniqueId val="{00000006-2530-4ACF-92FF-58802C966BC7}"/>
                </c:ext>
              </c:extLst>
            </c:dLbl>
            <c:dLbl>
              <c:idx val="8"/>
              <c:showLegendKey val="0"/>
              <c:showVal val="1"/>
              <c:showCatName val="0"/>
              <c:showSerName val="0"/>
              <c:showPercent val="0"/>
              <c:showBubbleSize val="0"/>
              <c:extLst>
                <c:ext xmlns:c15="http://schemas.microsoft.com/office/drawing/2012/chart" uri="{CE6537A1-D6FC-4f65-9D91-7224C49458BB}">
                  <c15:layout>
                    <c:manualLayout>
                      <c:w val="0.2250755287009063"/>
                      <c:h val="0.10482787573467674"/>
                    </c:manualLayout>
                  </c15:layout>
                </c:ext>
                <c:ext xmlns:c16="http://schemas.microsoft.com/office/drawing/2014/chart" uri="{C3380CC4-5D6E-409C-BE32-E72D297353CC}">
                  <c16:uniqueId val="{00000005-2530-4ACF-92FF-58802C966BC7}"/>
                </c:ext>
              </c:extLst>
            </c:dLbl>
            <c:dLbl>
              <c:idx val="9"/>
              <c:layout>
                <c:manualLayout>
                  <c:x val="2.0766745872742194E-2"/>
                  <c:y val="-4.8103278619722894E-18"/>
                </c:manualLayout>
              </c:layout>
              <c:showLegendKey val="0"/>
              <c:showVal val="1"/>
              <c:showCatName val="0"/>
              <c:showSerName val="0"/>
              <c:showPercent val="0"/>
              <c:showBubbleSize val="0"/>
              <c:extLst>
                <c:ext xmlns:c15="http://schemas.microsoft.com/office/drawing/2012/chart" uri="{CE6537A1-D6FC-4f65-9D91-7224C49458BB}">
                  <c15:layout>
                    <c:manualLayout>
                      <c:w val="0.23011077542799596"/>
                      <c:h val="0.10482787573467674"/>
                    </c:manualLayout>
                  </c15:layout>
                </c:ext>
                <c:ext xmlns:c16="http://schemas.microsoft.com/office/drawing/2014/chart" uri="{C3380CC4-5D6E-409C-BE32-E72D297353CC}">
                  <c16:uniqueId val="{00000004-2530-4ACF-92FF-58802C966BC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tables'!$J$5:$J$15</c:f>
              <c:strCache>
                <c:ptCount val="10"/>
                <c:pt idx="0">
                  <c:v>USA</c:v>
                </c:pt>
                <c:pt idx="1">
                  <c:v>Spain</c:v>
                </c:pt>
                <c:pt idx="2">
                  <c:v>France</c:v>
                </c:pt>
                <c:pt idx="3">
                  <c:v>Australia</c:v>
                </c:pt>
                <c:pt idx="4">
                  <c:v>UK</c:v>
                </c:pt>
                <c:pt idx="5">
                  <c:v>Italy</c:v>
                </c:pt>
                <c:pt idx="6">
                  <c:v>Finland</c:v>
                </c:pt>
                <c:pt idx="7">
                  <c:v>Norway</c:v>
                </c:pt>
                <c:pt idx="8">
                  <c:v>Singapore</c:v>
                </c:pt>
                <c:pt idx="9">
                  <c:v>Canada</c:v>
                </c:pt>
              </c:strCache>
            </c:strRef>
          </c:cat>
          <c:val>
            <c:numRef>
              <c:f>'Pivot tables'!$K$5:$K$15</c:f>
              <c:numCache>
                <c:formatCode>"$"#,##0</c:formatCode>
                <c:ptCount val="10"/>
                <c:pt idx="0">
                  <c:v>2986425.2099999995</c:v>
                </c:pt>
                <c:pt idx="1">
                  <c:v>1021705.9700000002</c:v>
                </c:pt>
                <c:pt idx="2">
                  <c:v>919257.84999999974</c:v>
                </c:pt>
                <c:pt idx="3">
                  <c:v>521598.45999999985</c:v>
                </c:pt>
                <c:pt idx="4">
                  <c:v>413203.33999999997</c:v>
                </c:pt>
                <c:pt idx="5">
                  <c:v>309402.86999999988</c:v>
                </c:pt>
                <c:pt idx="6">
                  <c:v>268714.70000000007</c:v>
                </c:pt>
                <c:pt idx="7">
                  <c:v>246115.8000000001</c:v>
                </c:pt>
                <c:pt idx="8">
                  <c:v>227985.50000000009</c:v>
                </c:pt>
                <c:pt idx="9">
                  <c:v>193504.34000000003</c:v>
                </c:pt>
              </c:numCache>
            </c:numRef>
          </c:val>
          <c:extLst>
            <c:ext xmlns:c16="http://schemas.microsoft.com/office/drawing/2014/chart" uri="{C3380CC4-5D6E-409C-BE32-E72D297353CC}">
              <c16:uniqueId val="{00000000-2530-4ACF-92FF-58802C966BC7}"/>
            </c:ext>
          </c:extLst>
        </c:ser>
        <c:dLbls>
          <c:showLegendKey val="0"/>
          <c:showVal val="1"/>
          <c:showCatName val="0"/>
          <c:showSerName val="0"/>
          <c:showPercent val="0"/>
          <c:showBubbleSize val="0"/>
        </c:dLbls>
        <c:gapWidth val="150"/>
        <c:axId val="831584200"/>
        <c:axId val="831584920"/>
      </c:barChart>
      <c:catAx>
        <c:axId val="831584200"/>
        <c:scaling>
          <c:orientation val="minMax"/>
        </c:scaling>
        <c:delete val="0"/>
        <c:axPos val="l"/>
        <c:numFmt formatCode="General" sourceLinked="1"/>
        <c:majorTickMark val="out"/>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831584920"/>
        <c:crosses val="autoZero"/>
        <c:auto val="1"/>
        <c:lblAlgn val="ctr"/>
        <c:lblOffset val="100"/>
        <c:noMultiLvlLbl val="0"/>
      </c:catAx>
      <c:valAx>
        <c:axId val="831584920"/>
        <c:scaling>
          <c:orientation val="minMax"/>
        </c:scaling>
        <c:delete val="1"/>
        <c:axPos val="b"/>
        <c:numFmt formatCode="&quot;$&quot;#,##0" sourceLinked="1"/>
        <c:majorTickMark val="out"/>
        <c:minorTickMark val="none"/>
        <c:tickLblPos val="nextTo"/>
        <c:crossAx val="831584200"/>
        <c:crosses val="autoZero"/>
        <c:crossBetween val="between"/>
      </c:valAx>
      <c:spPr>
        <a:solidFill>
          <a:srgbClr val="0B0B0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B0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5784334104225648E-17"/>
              <c:y val="-3.740648379052369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4.95399858457183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123142250530785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43546290094731"/>
          <c:y val="3.1489340246556696E-2"/>
          <c:w val="0.68479911797859128"/>
          <c:h val="0.9085619285120532"/>
        </c:manualLayout>
      </c:layout>
      <c:barChart>
        <c:barDir val="bar"/>
        <c:grouping val="clustered"/>
        <c:varyColors val="0"/>
        <c:ser>
          <c:idx val="0"/>
          <c:order val="0"/>
          <c:tx>
            <c:strRef>
              <c:f>'Pivot tables'!$P$4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771-4848-BAD9-4458550D1466}"/>
              </c:ext>
            </c:extLst>
          </c:dPt>
          <c:dPt>
            <c:idx val="2"/>
            <c:invertIfNegative val="0"/>
            <c:bubble3D val="0"/>
            <c:extLst>
              <c:ext xmlns:c16="http://schemas.microsoft.com/office/drawing/2014/chart" uri="{C3380CC4-5D6E-409C-BE32-E72D297353CC}">
                <c16:uniqueId val="{00000002-5C55-4F5F-A669-CA73E23C2277}"/>
              </c:ext>
            </c:extLst>
          </c:dPt>
          <c:dPt>
            <c:idx val="4"/>
            <c:invertIfNegative val="0"/>
            <c:bubble3D val="0"/>
            <c:extLst>
              <c:ext xmlns:c16="http://schemas.microsoft.com/office/drawing/2014/chart" uri="{C3380CC4-5D6E-409C-BE32-E72D297353CC}">
                <c16:uniqueId val="{00000003-5C55-4F5F-A669-CA73E23C2277}"/>
              </c:ext>
            </c:extLst>
          </c:dPt>
          <c:dLbls>
            <c:dLbl>
              <c:idx val="0"/>
              <c:layout>
                <c:manualLayout>
                  <c:x val="-9.5784334104225648E-17"/>
                  <c:y val="-3.74064837905236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71-4848-BAD9-4458550D1466}"/>
                </c:ext>
              </c:extLst>
            </c:dLbl>
            <c:dLbl>
              <c:idx val="2"/>
              <c:layout>
                <c:manualLayout>
                  <c:x val="0"/>
                  <c:y val="-2.12314225053078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55-4F5F-A669-CA73E23C2277}"/>
                </c:ext>
              </c:extLst>
            </c:dLbl>
            <c:dLbl>
              <c:idx val="4"/>
              <c:layout>
                <c:manualLayout>
                  <c:x val="0"/>
                  <c:y val="-4.9539985845718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55-4F5F-A669-CA73E23C227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tables'!$O$5:$O$15</c:f>
              <c:strCache>
                <c:ptCount val="10"/>
                <c:pt idx="0">
                  <c:v>Madrid</c:v>
                </c:pt>
                <c:pt idx="1">
                  <c:v>San Rafael</c:v>
                </c:pt>
                <c:pt idx="2">
                  <c:v>NYC</c:v>
                </c:pt>
                <c:pt idx="3">
                  <c:v>Singapore</c:v>
                </c:pt>
                <c:pt idx="4">
                  <c:v>Paris</c:v>
                </c:pt>
                <c:pt idx="5">
                  <c:v>San Francisco</c:v>
                </c:pt>
                <c:pt idx="6">
                  <c:v>Nantes</c:v>
                </c:pt>
                <c:pt idx="7">
                  <c:v>New Bedford</c:v>
                </c:pt>
                <c:pt idx="8">
                  <c:v>Melbourne</c:v>
                </c:pt>
                <c:pt idx="9">
                  <c:v>Brickhaven</c:v>
                </c:pt>
              </c:strCache>
            </c:strRef>
          </c:cat>
          <c:val>
            <c:numRef>
              <c:f>'Pivot tables'!$P$5:$P$15</c:f>
              <c:numCache>
                <c:formatCode>"$"#,##0</c:formatCode>
                <c:ptCount val="10"/>
                <c:pt idx="0">
                  <c:v>902094.19000000018</c:v>
                </c:pt>
                <c:pt idx="1">
                  <c:v>530587.19000000018</c:v>
                </c:pt>
                <c:pt idx="2">
                  <c:v>450418.62999999983</c:v>
                </c:pt>
                <c:pt idx="3">
                  <c:v>227985.50000000009</c:v>
                </c:pt>
                <c:pt idx="4">
                  <c:v>212959.81999999998</c:v>
                </c:pt>
                <c:pt idx="5">
                  <c:v>179088.23</c:v>
                </c:pt>
                <c:pt idx="6">
                  <c:v>175122.97999999998</c:v>
                </c:pt>
                <c:pt idx="7">
                  <c:v>172699.64999999997</c:v>
                </c:pt>
                <c:pt idx="8">
                  <c:v>164575.87000000002</c:v>
                </c:pt>
                <c:pt idx="9">
                  <c:v>141145.54</c:v>
                </c:pt>
              </c:numCache>
            </c:numRef>
          </c:val>
          <c:extLst>
            <c:ext xmlns:c16="http://schemas.microsoft.com/office/drawing/2014/chart" uri="{C3380CC4-5D6E-409C-BE32-E72D297353CC}">
              <c16:uniqueId val="{00000000-6771-4848-BAD9-4458550D1466}"/>
            </c:ext>
          </c:extLst>
        </c:ser>
        <c:dLbls>
          <c:dLblPos val="outEnd"/>
          <c:showLegendKey val="0"/>
          <c:showVal val="1"/>
          <c:showCatName val="0"/>
          <c:showSerName val="0"/>
          <c:showPercent val="0"/>
          <c:showBubbleSize val="0"/>
        </c:dLbls>
        <c:gapWidth val="182"/>
        <c:axId val="962894480"/>
        <c:axId val="962903480"/>
      </c:barChart>
      <c:catAx>
        <c:axId val="962894480"/>
        <c:scaling>
          <c:orientation val="minMax"/>
        </c:scaling>
        <c:delete val="0"/>
        <c:axPos val="l"/>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rgbClr val="4AB0D9"/>
                </a:solidFill>
                <a:latin typeface="+mn-lt"/>
                <a:ea typeface="+mn-ea"/>
                <a:cs typeface="+mn-cs"/>
              </a:defRPr>
            </a:pPr>
            <a:endParaRPr lang="en-US"/>
          </a:p>
        </c:txPr>
        <c:crossAx val="962903480"/>
        <c:crosses val="autoZero"/>
        <c:auto val="1"/>
        <c:lblAlgn val="ctr"/>
        <c:lblOffset val="100"/>
        <c:noMultiLvlLbl val="0"/>
      </c:catAx>
      <c:valAx>
        <c:axId val="962903480"/>
        <c:scaling>
          <c:orientation val="minMax"/>
        </c:scaling>
        <c:delete val="1"/>
        <c:axPos val="b"/>
        <c:numFmt formatCode="&quot;$&quot;#,##0" sourceLinked="1"/>
        <c:majorTickMark val="none"/>
        <c:minorTickMark val="none"/>
        <c:tickLblPos val="nextTo"/>
        <c:crossAx val="962894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B0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tables!PivotTable6</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35891223656214E-2"/>
          <c:y val="0.10703363914373089"/>
          <c:w val="0.93680927642920375"/>
          <c:h val="0.42603963495388764"/>
        </c:manualLayout>
      </c:layout>
      <c:barChart>
        <c:barDir val="col"/>
        <c:grouping val="clustered"/>
        <c:varyColors val="0"/>
        <c:ser>
          <c:idx val="0"/>
          <c:order val="0"/>
          <c:tx>
            <c:strRef>
              <c:f>'Pivot tables'!$U$4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AB0D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tables'!$T$5:$T$12</c:f>
              <c:strCache>
                <c:ptCount val="7"/>
                <c:pt idx="0">
                  <c:v>Classic Cars</c:v>
                </c:pt>
                <c:pt idx="1">
                  <c:v>Vintage Cars</c:v>
                </c:pt>
                <c:pt idx="2">
                  <c:v>Motorcycles</c:v>
                </c:pt>
                <c:pt idx="3">
                  <c:v>Trucks and Buses</c:v>
                </c:pt>
                <c:pt idx="4">
                  <c:v>Planes</c:v>
                </c:pt>
                <c:pt idx="5">
                  <c:v>Ships</c:v>
                </c:pt>
                <c:pt idx="6">
                  <c:v>Trains</c:v>
                </c:pt>
              </c:strCache>
            </c:strRef>
          </c:cat>
          <c:val>
            <c:numRef>
              <c:f>'Pivot tables'!$U$5:$U$12</c:f>
              <c:numCache>
                <c:formatCode>"$"#,##0</c:formatCode>
                <c:ptCount val="7"/>
                <c:pt idx="0">
                  <c:v>2968546.399999998</c:v>
                </c:pt>
                <c:pt idx="1">
                  <c:v>1644212.05</c:v>
                </c:pt>
                <c:pt idx="2">
                  <c:v>971086.29000000062</c:v>
                </c:pt>
                <c:pt idx="3">
                  <c:v>947355.17999999993</c:v>
                </c:pt>
                <c:pt idx="4">
                  <c:v>877942.21000000008</c:v>
                </c:pt>
                <c:pt idx="5">
                  <c:v>677940.39999999991</c:v>
                </c:pt>
                <c:pt idx="6">
                  <c:v>203804.26</c:v>
                </c:pt>
              </c:numCache>
            </c:numRef>
          </c:val>
          <c:extLst>
            <c:ext xmlns:c16="http://schemas.microsoft.com/office/drawing/2014/chart" uri="{C3380CC4-5D6E-409C-BE32-E72D297353CC}">
              <c16:uniqueId val="{00000000-FCFA-46FA-92D4-340BE34DDAC7}"/>
            </c:ext>
          </c:extLst>
        </c:ser>
        <c:dLbls>
          <c:showLegendKey val="0"/>
          <c:showVal val="1"/>
          <c:showCatName val="0"/>
          <c:showSerName val="0"/>
          <c:showPercent val="0"/>
          <c:showBubbleSize val="0"/>
        </c:dLbls>
        <c:gapWidth val="150"/>
        <c:axId val="962959640"/>
        <c:axId val="962953520"/>
      </c:barChart>
      <c:catAx>
        <c:axId val="96295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B0D9"/>
                </a:solidFill>
                <a:latin typeface="+mn-lt"/>
                <a:ea typeface="+mn-ea"/>
                <a:cs typeface="+mn-cs"/>
              </a:defRPr>
            </a:pPr>
            <a:endParaRPr lang="en-US"/>
          </a:p>
        </c:txPr>
        <c:crossAx val="962953520"/>
        <c:crosses val="autoZero"/>
        <c:auto val="1"/>
        <c:lblAlgn val="ctr"/>
        <c:lblOffset val="100"/>
        <c:noMultiLvlLbl val="0"/>
      </c:catAx>
      <c:valAx>
        <c:axId val="962953520"/>
        <c:scaling>
          <c:orientation val="minMax"/>
        </c:scaling>
        <c:delete val="1"/>
        <c:axPos val="l"/>
        <c:numFmt formatCode="&quot;$&quot;#,##0" sourceLinked="1"/>
        <c:majorTickMark val="none"/>
        <c:minorTickMark val="none"/>
        <c:tickLblPos val="nextTo"/>
        <c:crossAx val="962959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B0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tables!PivotTable7</c:name>
    <c:fmtId val="2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1.6899634663822642E-3"/>
              <c:y val="-0.2528380381023800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6.4524972699580435E-2"/>
              <c:y val="-0.2389976340985546"/>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5827007050127699E-2"/>
                  <c:h val="0.19319901188821986"/>
                </c:manualLayout>
              </c15:layout>
            </c:ext>
          </c:extLst>
        </c:dLbl>
      </c:pivotFmt>
      <c:pivotFmt>
        <c:idx val="5"/>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6.7352061341677275E-2"/>
              <c:y val="-0.2581731378405285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82238442822382"/>
                  <c:h val="0.18761783298214485"/>
                </c:manualLayout>
              </c15:layout>
            </c:ext>
          </c:extLst>
        </c:dLbl>
      </c:pivotFmt>
      <c:pivotFmt>
        <c:idx val="6"/>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5.9922155502075615E-2"/>
              <c:y val="-0.1885112706499922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5.9922155502075636E-2"/>
              <c:y val="-0.2130210745715609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4.7558159458554371E-2"/>
              <c:y val="-0.1762563686892079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4.2779426310583582E-2"/>
              <c:y val="-0.130869808553342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5.4976557084667269E-2"/>
              <c:y val="-0.2007661726107765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5.7449356293371341E-2"/>
              <c:y val="-0.2497857804539138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5.2503757875962925E-2"/>
              <c:y val="-0.1640014667284237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5.2503757875962835E-2"/>
              <c:y val="-0.2007661726107765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layout>
            <c:manualLayout>
              <c:x val="-6.9813352336892648E-2"/>
              <c:y val="-0.1762563686892079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95252080274098E-3"/>
          <c:y val="0.12910798122065728"/>
          <c:w val="0.99005325976588698"/>
          <c:h val="0.59955084839747141"/>
        </c:manualLayout>
      </c:layout>
      <c:lineChart>
        <c:grouping val="standard"/>
        <c:varyColors val="0"/>
        <c:ser>
          <c:idx val="0"/>
          <c:order val="0"/>
          <c:tx>
            <c:strRef>
              <c:f>'Pivot tables'!$Y$4</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dPt>
            <c:idx val="0"/>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9196-48D9-B89C-B19FB0CAADB0}"/>
              </c:ext>
            </c:extLst>
          </c:dPt>
          <c:dPt>
            <c:idx val="1"/>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9196-48D9-B89C-B19FB0CAADB0}"/>
              </c:ext>
            </c:extLst>
          </c:dPt>
          <c:dPt>
            <c:idx val="2"/>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9196-48D9-B89C-B19FB0CAADB0}"/>
              </c:ext>
            </c:extLst>
          </c:dPt>
          <c:dPt>
            <c:idx val="3"/>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9196-48D9-B89C-B19FB0CAADB0}"/>
              </c:ext>
            </c:extLst>
          </c:dPt>
          <c:dPt>
            <c:idx val="4"/>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9196-48D9-B89C-B19FB0CAADB0}"/>
              </c:ext>
            </c:extLst>
          </c:dPt>
          <c:dPt>
            <c:idx val="5"/>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9196-48D9-B89C-B19FB0CAADB0}"/>
              </c:ext>
            </c:extLst>
          </c:dPt>
          <c:dPt>
            <c:idx val="6"/>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9196-48D9-B89C-B19FB0CAADB0}"/>
              </c:ext>
            </c:extLst>
          </c:dPt>
          <c:dPt>
            <c:idx val="7"/>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9196-48D9-B89C-B19FB0CAADB0}"/>
              </c:ext>
            </c:extLst>
          </c:dPt>
          <c:dPt>
            <c:idx val="8"/>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9196-48D9-B89C-B19FB0CAADB0}"/>
              </c:ext>
            </c:extLst>
          </c:dPt>
          <c:dPt>
            <c:idx val="9"/>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9196-48D9-B89C-B19FB0CAADB0}"/>
              </c:ext>
            </c:extLst>
          </c:dPt>
          <c:dPt>
            <c:idx val="10"/>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9196-48D9-B89C-B19FB0CAADB0}"/>
              </c:ext>
            </c:extLst>
          </c:dPt>
          <c:dPt>
            <c:idx val="11"/>
            <c:marker>
              <c:symbol val="circle"/>
              <c:size val="6"/>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196-48D9-B89C-B19FB0CAADB0}"/>
              </c:ext>
            </c:extLst>
          </c:dPt>
          <c:dLbls>
            <c:dLbl>
              <c:idx val="0"/>
              <c:layout>
                <c:manualLayout>
                  <c:x val="-6.4524972699580435E-2"/>
                  <c:y val="-0.2389976340985546"/>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5827007050127699E-2"/>
                      <c:h val="0.19319901188821986"/>
                    </c:manualLayout>
                  </c15:layout>
                </c:ext>
                <c:ext xmlns:c16="http://schemas.microsoft.com/office/drawing/2014/chart" uri="{C3380CC4-5D6E-409C-BE32-E72D297353CC}">
                  <c16:uniqueId val="{00000002-9196-48D9-B89C-B19FB0CAADB0}"/>
                </c:ext>
              </c:extLst>
            </c:dLbl>
            <c:dLbl>
              <c:idx val="1"/>
              <c:layout>
                <c:manualLayout>
                  <c:x val="-6.7352061341677275E-2"/>
                  <c:y val="-0.2581731378405285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4AB0D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82238442822382"/>
                      <c:h val="0.18761783298214485"/>
                    </c:manualLayout>
                  </c15:layout>
                </c:ext>
                <c:ext xmlns:c16="http://schemas.microsoft.com/office/drawing/2014/chart" uri="{C3380CC4-5D6E-409C-BE32-E72D297353CC}">
                  <c16:uniqueId val="{00000003-9196-48D9-B89C-B19FB0CAADB0}"/>
                </c:ext>
              </c:extLst>
            </c:dLbl>
            <c:dLbl>
              <c:idx val="2"/>
              <c:layout>
                <c:manualLayout>
                  <c:x val="-5.9922155502075615E-2"/>
                  <c:y val="-0.188511270649992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96-48D9-B89C-B19FB0CAADB0}"/>
                </c:ext>
              </c:extLst>
            </c:dLbl>
            <c:dLbl>
              <c:idx val="3"/>
              <c:layout>
                <c:manualLayout>
                  <c:x val="-5.9922155502075636E-2"/>
                  <c:y val="-0.213021074571560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96-48D9-B89C-B19FB0CAADB0}"/>
                </c:ext>
              </c:extLst>
            </c:dLbl>
            <c:dLbl>
              <c:idx val="4"/>
              <c:layout>
                <c:manualLayout>
                  <c:x val="-4.7558159458554371E-2"/>
                  <c:y val="-0.176256368689207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96-48D9-B89C-B19FB0CAADB0}"/>
                </c:ext>
              </c:extLst>
            </c:dLbl>
            <c:dLbl>
              <c:idx val="5"/>
              <c:layout>
                <c:manualLayout>
                  <c:x val="-6.9813352336892648E-2"/>
                  <c:y val="-0.176256368689207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196-48D9-B89C-B19FB0CAADB0}"/>
                </c:ext>
              </c:extLst>
            </c:dLbl>
            <c:dLbl>
              <c:idx val="6"/>
              <c:layout>
                <c:manualLayout>
                  <c:x val="-5.2503757875962835E-2"/>
                  <c:y val="-0.200766172610776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196-48D9-B89C-B19FB0CAADB0}"/>
                </c:ext>
              </c:extLst>
            </c:dLbl>
            <c:dLbl>
              <c:idx val="7"/>
              <c:layout>
                <c:manualLayout>
                  <c:x val="-5.2503757875962925E-2"/>
                  <c:y val="-0.164001466728423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196-48D9-B89C-B19FB0CAADB0}"/>
                </c:ext>
              </c:extLst>
            </c:dLbl>
            <c:dLbl>
              <c:idx val="8"/>
              <c:layout>
                <c:manualLayout>
                  <c:x val="-5.7449356293371341E-2"/>
                  <c:y val="-0.249785780453913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196-48D9-B89C-B19FB0CAADB0}"/>
                </c:ext>
              </c:extLst>
            </c:dLbl>
            <c:dLbl>
              <c:idx val="9"/>
              <c:layout>
                <c:manualLayout>
                  <c:x val="-5.4976557084667269E-2"/>
                  <c:y val="-0.200766172610776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196-48D9-B89C-B19FB0CAADB0}"/>
                </c:ext>
              </c:extLst>
            </c:dLbl>
            <c:dLbl>
              <c:idx val="10"/>
              <c:layout>
                <c:manualLayout>
                  <c:x val="-4.2779426310583582E-2"/>
                  <c:y val="-0.13086980855334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196-48D9-B89C-B19FB0CAADB0}"/>
                </c:ext>
              </c:extLst>
            </c:dLbl>
            <c:dLbl>
              <c:idx val="11"/>
              <c:layout>
                <c:manualLayout>
                  <c:x val="-1.6899634663822642E-3"/>
                  <c:y val="-0.252838038102380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96-48D9-B89C-B19FB0CAADB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B0D9"/>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tables'!$X$5:$X$17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tables'!$Y$5:$Y$17</c:f>
              <c:numCache>
                <c:formatCode>"$"#,##0</c:formatCode>
                <c:ptCount val="12"/>
                <c:pt idx="0">
                  <c:v>659582.29000000027</c:v>
                </c:pt>
                <c:pt idx="1">
                  <c:v>668328.14999999979</c:v>
                </c:pt>
                <c:pt idx="2">
                  <c:v>626186.73000000033</c:v>
                </c:pt>
                <c:pt idx="3">
                  <c:v>560334.4600000002</c:v>
                </c:pt>
                <c:pt idx="4">
                  <c:v>756812.9099999998</c:v>
                </c:pt>
                <c:pt idx="5">
                  <c:v>384743.58999999997</c:v>
                </c:pt>
                <c:pt idx="6">
                  <c:v>420973.33999999997</c:v>
                </c:pt>
                <c:pt idx="7">
                  <c:v>552132.91000000015</c:v>
                </c:pt>
                <c:pt idx="8">
                  <c:v>474900.11999999994</c:v>
                </c:pt>
                <c:pt idx="9">
                  <c:v>919036.70000000065</c:v>
                </c:pt>
                <c:pt idx="10">
                  <c:v>1744682.4499999997</c:v>
                </c:pt>
                <c:pt idx="11">
                  <c:v>523173.13999999984</c:v>
                </c:pt>
              </c:numCache>
            </c:numRef>
          </c:val>
          <c:smooth val="1"/>
          <c:extLst>
            <c:ext xmlns:c16="http://schemas.microsoft.com/office/drawing/2014/chart" uri="{C3380CC4-5D6E-409C-BE32-E72D297353CC}">
              <c16:uniqueId val="{00000000-9196-48D9-B89C-B19FB0CAADB0}"/>
            </c:ext>
          </c:extLst>
        </c:ser>
        <c:dLbls>
          <c:dLblPos val="t"/>
          <c:showLegendKey val="0"/>
          <c:showVal val="1"/>
          <c:showCatName val="0"/>
          <c:showSerName val="0"/>
          <c:showPercent val="0"/>
          <c:showBubbleSize val="0"/>
        </c:dLbls>
        <c:marker val="1"/>
        <c:smooth val="0"/>
        <c:axId val="1002868848"/>
        <c:axId val="1002879288"/>
      </c:lineChart>
      <c:catAx>
        <c:axId val="10028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B0D9"/>
                </a:solidFill>
                <a:latin typeface="+mn-lt"/>
                <a:ea typeface="+mn-ea"/>
                <a:cs typeface="+mn-cs"/>
              </a:defRPr>
            </a:pPr>
            <a:endParaRPr lang="en-US"/>
          </a:p>
        </c:txPr>
        <c:crossAx val="1002879288"/>
        <c:crosses val="autoZero"/>
        <c:auto val="1"/>
        <c:lblAlgn val="ctr"/>
        <c:lblOffset val="100"/>
        <c:noMultiLvlLbl val="0"/>
      </c:catAx>
      <c:valAx>
        <c:axId val="1002879288"/>
        <c:scaling>
          <c:orientation val="minMax"/>
        </c:scaling>
        <c:delete val="1"/>
        <c:axPos val="l"/>
        <c:numFmt formatCode="&quot;$&quot;#,##0" sourceLinked="1"/>
        <c:majorTickMark val="none"/>
        <c:minorTickMark val="none"/>
        <c:tickLblPos val="nextTo"/>
        <c:crossAx val="1002868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B0D"/>
    </a:solidFill>
    <a:ln w="9525" cap="flat" cmpd="sng" algn="ctr">
      <a:solidFill>
        <a:srgbClr val="0B0B0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Sales!$C$1</c:f>
              <c:strCache>
                <c:ptCount val="1"/>
                <c:pt idx="0">
                  <c:v>SALES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rgbClr val="FFFF00"/>
                </a:solidFill>
                <a:prstDash val="sysDot"/>
              </a:ln>
              <a:effectLst/>
            </c:spPr>
            <c:trendlineType val="exp"/>
            <c:dispRSqr val="0"/>
            <c:dispEq val="0"/>
          </c:trendline>
          <c:xVal>
            <c:numRef>
              <c:f>Sales!$A$2:$A$2824</c:f>
              <c:numCache>
                <c:formatCode>General</c:formatCode>
                <c:ptCount val="2823"/>
                <c:pt idx="0">
                  <c:v>30</c:v>
                </c:pt>
                <c:pt idx="1">
                  <c:v>34</c:v>
                </c:pt>
                <c:pt idx="2">
                  <c:v>41</c:v>
                </c:pt>
                <c:pt idx="3">
                  <c:v>45</c:v>
                </c:pt>
                <c:pt idx="4">
                  <c:v>49</c:v>
                </c:pt>
                <c:pt idx="5">
                  <c:v>36</c:v>
                </c:pt>
                <c:pt idx="6">
                  <c:v>29</c:v>
                </c:pt>
                <c:pt idx="7">
                  <c:v>48</c:v>
                </c:pt>
                <c:pt idx="8">
                  <c:v>22</c:v>
                </c:pt>
                <c:pt idx="9">
                  <c:v>41</c:v>
                </c:pt>
                <c:pt idx="10">
                  <c:v>37</c:v>
                </c:pt>
                <c:pt idx="11">
                  <c:v>23</c:v>
                </c:pt>
                <c:pt idx="12">
                  <c:v>28</c:v>
                </c:pt>
                <c:pt idx="13">
                  <c:v>34</c:v>
                </c:pt>
                <c:pt idx="14">
                  <c:v>45</c:v>
                </c:pt>
                <c:pt idx="15">
                  <c:v>36</c:v>
                </c:pt>
                <c:pt idx="16">
                  <c:v>23</c:v>
                </c:pt>
                <c:pt idx="17">
                  <c:v>41</c:v>
                </c:pt>
                <c:pt idx="18">
                  <c:v>46</c:v>
                </c:pt>
                <c:pt idx="19">
                  <c:v>42</c:v>
                </c:pt>
                <c:pt idx="20">
                  <c:v>41</c:v>
                </c:pt>
                <c:pt idx="21">
                  <c:v>20</c:v>
                </c:pt>
                <c:pt idx="22">
                  <c:v>21</c:v>
                </c:pt>
                <c:pt idx="23">
                  <c:v>42</c:v>
                </c:pt>
                <c:pt idx="24">
                  <c:v>24</c:v>
                </c:pt>
                <c:pt idx="25">
                  <c:v>66</c:v>
                </c:pt>
                <c:pt idx="26">
                  <c:v>26</c:v>
                </c:pt>
                <c:pt idx="27">
                  <c:v>29</c:v>
                </c:pt>
                <c:pt idx="28">
                  <c:v>38</c:v>
                </c:pt>
                <c:pt idx="29">
                  <c:v>37</c:v>
                </c:pt>
                <c:pt idx="30">
                  <c:v>45</c:v>
                </c:pt>
                <c:pt idx="31">
                  <c:v>21</c:v>
                </c:pt>
                <c:pt idx="32">
                  <c:v>34</c:v>
                </c:pt>
                <c:pt idx="33">
                  <c:v>23</c:v>
                </c:pt>
                <c:pt idx="34">
                  <c:v>42</c:v>
                </c:pt>
                <c:pt idx="35">
                  <c:v>47</c:v>
                </c:pt>
                <c:pt idx="36">
                  <c:v>35</c:v>
                </c:pt>
                <c:pt idx="37">
                  <c:v>29</c:v>
                </c:pt>
                <c:pt idx="38">
                  <c:v>34</c:v>
                </c:pt>
                <c:pt idx="39">
                  <c:v>32</c:v>
                </c:pt>
                <c:pt idx="40">
                  <c:v>21</c:v>
                </c:pt>
                <c:pt idx="41">
                  <c:v>34</c:v>
                </c:pt>
                <c:pt idx="42">
                  <c:v>37</c:v>
                </c:pt>
                <c:pt idx="43">
                  <c:v>47</c:v>
                </c:pt>
                <c:pt idx="44">
                  <c:v>48</c:v>
                </c:pt>
                <c:pt idx="45">
                  <c:v>40</c:v>
                </c:pt>
                <c:pt idx="46">
                  <c:v>26</c:v>
                </c:pt>
                <c:pt idx="47">
                  <c:v>30</c:v>
                </c:pt>
                <c:pt idx="48">
                  <c:v>32</c:v>
                </c:pt>
                <c:pt idx="49">
                  <c:v>41</c:v>
                </c:pt>
                <c:pt idx="50">
                  <c:v>36</c:v>
                </c:pt>
                <c:pt idx="51">
                  <c:v>24</c:v>
                </c:pt>
                <c:pt idx="52">
                  <c:v>23</c:v>
                </c:pt>
                <c:pt idx="53">
                  <c:v>50</c:v>
                </c:pt>
                <c:pt idx="54">
                  <c:v>39</c:v>
                </c:pt>
                <c:pt idx="55">
                  <c:v>29</c:v>
                </c:pt>
                <c:pt idx="56">
                  <c:v>27</c:v>
                </c:pt>
                <c:pt idx="57">
                  <c:v>37</c:v>
                </c:pt>
                <c:pt idx="58">
                  <c:v>37</c:v>
                </c:pt>
                <c:pt idx="59">
                  <c:v>27</c:v>
                </c:pt>
                <c:pt idx="60">
                  <c:v>42</c:v>
                </c:pt>
                <c:pt idx="61">
                  <c:v>38</c:v>
                </c:pt>
                <c:pt idx="62">
                  <c:v>24</c:v>
                </c:pt>
                <c:pt idx="63">
                  <c:v>23</c:v>
                </c:pt>
                <c:pt idx="64">
                  <c:v>47</c:v>
                </c:pt>
                <c:pt idx="65">
                  <c:v>22</c:v>
                </c:pt>
                <c:pt idx="66">
                  <c:v>44</c:v>
                </c:pt>
                <c:pt idx="67">
                  <c:v>40</c:v>
                </c:pt>
                <c:pt idx="68">
                  <c:v>22</c:v>
                </c:pt>
                <c:pt idx="69">
                  <c:v>47</c:v>
                </c:pt>
                <c:pt idx="70">
                  <c:v>39</c:v>
                </c:pt>
                <c:pt idx="71">
                  <c:v>34</c:v>
                </c:pt>
                <c:pt idx="72">
                  <c:v>45</c:v>
                </c:pt>
                <c:pt idx="73">
                  <c:v>20</c:v>
                </c:pt>
                <c:pt idx="74">
                  <c:v>40</c:v>
                </c:pt>
                <c:pt idx="75">
                  <c:v>26</c:v>
                </c:pt>
                <c:pt idx="76">
                  <c:v>39</c:v>
                </c:pt>
                <c:pt idx="77">
                  <c:v>50</c:v>
                </c:pt>
                <c:pt idx="78">
                  <c:v>45</c:v>
                </c:pt>
                <c:pt idx="79">
                  <c:v>45</c:v>
                </c:pt>
                <c:pt idx="80">
                  <c:v>27</c:v>
                </c:pt>
                <c:pt idx="81">
                  <c:v>46</c:v>
                </c:pt>
                <c:pt idx="82">
                  <c:v>31</c:v>
                </c:pt>
                <c:pt idx="83">
                  <c:v>33</c:v>
                </c:pt>
                <c:pt idx="84">
                  <c:v>22</c:v>
                </c:pt>
                <c:pt idx="85">
                  <c:v>20</c:v>
                </c:pt>
                <c:pt idx="86">
                  <c:v>41</c:v>
                </c:pt>
                <c:pt idx="87">
                  <c:v>45</c:v>
                </c:pt>
                <c:pt idx="88">
                  <c:v>49</c:v>
                </c:pt>
                <c:pt idx="89">
                  <c:v>34</c:v>
                </c:pt>
                <c:pt idx="90">
                  <c:v>49</c:v>
                </c:pt>
                <c:pt idx="91">
                  <c:v>39</c:v>
                </c:pt>
                <c:pt idx="92">
                  <c:v>43</c:v>
                </c:pt>
                <c:pt idx="93">
                  <c:v>41</c:v>
                </c:pt>
                <c:pt idx="94">
                  <c:v>36</c:v>
                </c:pt>
                <c:pt idx="95">
                  <c:v>27</c:v>
                </c:pt>
                <c:pt idx="96">
                  <c:v>29</c:v>
                </c:pt>
                <c:pt idx="97">
                  <c:v>20</c:v>
                </c:pt>
                <c:pt idx="98">
                  <c:v>37</c:v>
                </c:pt>
                <c:pt idx="99">
                  <c:v>26</c:v>
                </c:pt>
                <c:pt idx="100">
                  <c:v>39</c:v>
                </c:pt>
                <c:pt idx="101">
                  <c:v>22</c:v>
                </c:pt>
                <c:pt idx="102">
                  <c:v>22</c:v>
                </c:pt>
                <c:pt idx="103">
                  <c:v>21</c:v>
                </c:pt>
                <c:pt idx="104">
                  <c:v>66</c:v>
                </c:pt>
                <c:pt idx="105">
                  <c:v>56</c:v>
                </c:pt>
                <c:pt idx="106">
                  <c:v>50</c:v>
                </c:pt>
                <c:pt idx="107">
                  <c:v>46</c:v>
                </c:pt>
                <c:pt idx="108">
                  <c:v>33</c:v>
                </c:pt>
                <c:pt idx="109">
                  <c:v>49</c:v>
                </c:pt>
                <c:pt idx="110">
                  <c:v>32</c:v>
                </c:pt>
                <c:pt idx="111">
                  <c:v>44</c:v>
                </c:pt>
                <c:pt idx="112">
                  <c:v>24</c:v>
                </c:pt>
                <c:pt idx="113">
                  <c:v>26</c:v>
                </c:pt>
                <c:pt idx="114">
                  <c:v>45</c:v>
                </c:pt>
                <c:pt idx="115">
                  <c:v>39</c:v>
                </c:pt>
                <c:pt idx="116">
                  <c:v>49</c:v>
                </c:pt>
                <c:pt idx="117">
                  <c:v>20</c:v>
                </c:pt>
                <c:pt idx="118">
                  <c:v>27</c:v>
                </c:pt>
                <c:pt idx="119">
                  <c:v>30</c:v>
                </c:pt>
                <c:pt idx="120">
                  <c:v>25</c:v>
                </c:pt>
                <c:pt idx="121">
                  <c:v>24</c:v>
                </c:pt>
                <c:pt idx="122">
                  <c:v>22</c:v>
                </c:pt>
                <c:pt idx="123">
                  <c:v>33</c:v>
                </c:pt>
                <c:pt idx="124">
                  <c:v>47</c:v>
                </c:pt>
                <c:pt idx="125">
                  <c:v>25</c:v>
                </c:pt>
                <c:pt idx="126">
                  <c:v>26</c:v>
                </c:pt>
                <c:pt idx="127">
                  <c:v>48</c:v>
                </c:pt>
                <c:pt idx="128">
                  <c:v>39</c:v>
                </c:pt>
                <c:pt idx="129">
                  <c:v>34</c:v>
                </c:pt>
                <c:pt idx="130">
                  <c:v>32</c:v>
                </c:pt>
                <c:pt idx="131">
                  <c:v>64</c:v>
                </c:pt>
                <c:pt idx="132">
                  <c:v>19</c:v>
                </c:pt>
                <c:pt idx="133">
                  <c:v>42</c:v>
                </c:pt>
                <c:pt idx="134">
                  <c:v>31</c:v>
                </c:pt>
                <c:pt idx="135">
                  <c:v>22</c:v>
                </c:pt>
                <c:pt idx="136">
                  <c:v>26</c:v>
                </c:pt>
                <c:pt idx="137">
                  <c:v>20</c:v>
                </c:pt>
                <c:pt idx="138">
                  <c:v>21</c:v>
                </c:pt>
                <c:pt idx="139">
                  <c:v>33</c:v>
                </c:pt>
                <c:pt idx="140">
                  <c:v>28</c:v>
                </c:pt>
                <c:pt idx="141">
                  <c:v>26</c:v>
                </c:pt>
                <c:pt idx="142">
                  <c:v>31</c:v>
                </c:pt>
                <c:pt idx="143">
                  <c:v>48</c:v>
                </c:pt>
                <c:pt idx="144">
                  <c:v>50</c:v>
                </c:pt>
                <c:pt idx="145">
                  <c:v>28</c:v>
                </c:pt>
                <c:pt idx="146">
                  <c:v>26</c:v>
                </c:pt>
                <c:pt idx="147">
                  <c:v>32</c:v>
                </c:pt>
                <c:pt idx="148">
                  <c:v>44</c:v>
                </c:pt>
                <c:pt idx="149">
                  <c:v>30</c:v>
                </c:pt>
                <c:pt idx="150">
                  <c:v>38</c:v>
                </c:pt>
                <c:pt idx="151">
                  <c:v>40</c:v>
                </c:pt>
                <c:pt idx="152">
                  <c:v>46</c:v>
                </c:pt>
                <c:pt idx="153">
                  <c:v>26</c:v>
                </c:pt>
                <c:pt idx="154">
                  <c:v>27</c:v>
                </c:pt>
                <c:pt idx="155">
                  <c:v>43</c:v>
                </c:pt>
                <c:pt idx="156">
                  <c:v>35</c:v>
                </c:pt>
                <c:pt idx="157">
                  <c:v>37</c:v>
                </c:pt>
                <c:pt idx="158">
                  <c:v>37</c:v>
                </c:pt>
                <c:pt idx="159">
                  <c:v>27</c:v>
                </c:pt>
                <c:pt idx="160">
                  <c:v>38</c:v>
                </c:pt>
                <c:pt idx="161">
                  <c:v>33</c:v>
                </c:pt>
                <c:pt idx="162">
                  <c:v>42</c:v>
                </c:pt>
                <c:pt idx="163">
                  <c:v>42</c:v>
                </c:pt>
                <c:pt idx="164">
                  <c:v>48</c:v>
                </c:pt>
                <c:pt idx="165">
                  <c:v>41</c:v>
                </c:pt>
                <c:pt idx="166">
                  <c:v>30</c:v>
                </c:pt>
                <c:pt idx="167">
                  <c:v>27</c:v>
                </c:pt>
                <c:pt idx="168">
                  <c:v>21</c:v>
                </c:pt>
                <c:pt idx="169">
                  <c:v>20</c:v>
                </c:pt>
                <c:pt idx="170">
                  <c:v>41</c:v>
                </c:pt>
                <c:pt idx="171">
                  <c:v>27</c:v>
                </c:pt>
                <c:pt idx="172">
                  <c:v>28</c:v>
                </c:pt>
                <c:pt idx="173">
                  <c:v>24</c:v>
                </c:pt>
                <c:pt idx="174">
                  <c:v>44</c:v>
                </c:pt>
                <c:pt idx="175">
                  <c:v>50</c:v>
                </c:pt>
                <c:pt idx="176">
                  <c:v>21</c:v>
                </c:pt>
                <c:pt idx="177">
                  <c:v>33</c:v>
                </c:pt>
                <c:pt idx="178">
                  <c:v>33</c:v>
                </c:pt>
                <c:pt idx="179">
                  <c:v>31</c:v>
                </c:pt>
                <c:pt idx="180">
                  <c:v>41</c:v>
                </c:pt>
                <c:pt idx="181">
                  <c:v>45</c:v>
                </c:pt>
                <c:pt idx="182">
                  <c:v>33</c:v>
                </c:pt>
                <c:pt idx="183">
                  <c:v>45</c:v>
                </c:pt>
                <c:pt idx="184">
                  <c:v>26</c:v>
                </c:pt>
                <c:pt idx="185">
                  <c:v>12</c:v>
                </c:pt>
                <c:pt idx="186">
                  <c:v>41</c:v>
                </c:pt>
                <c:pt idx="187">
                  <c:v>33</c:v>
                </c:pt>
                <c:pt idx="188">
                  <c:v>46</c:v>
                </c:pt>
                <c:pt idx="189">
                  <c:v>33</c:v>
                </c:pt>
                <c:pt idx="190">
                  <c:v>20</c:v>
                </c:pt>
                <c:pt idx="191">
                  <c:v>44</c:v>
                </c:pt>
                <c:pt idx="192">
                  <c:v>33</c:v>
                </c:pt>
                <c:pt idx="193">
                  <c:v>21</c:v>
                </c:pt>
                <c:pt idx="194">
                  <c:v>47</c:v>
                </c:pt>
                <c:pt idx="195">
                  <c:v>46</c:v>
                </c:pt>
                <c:pt idx="196">
                  <c:v>32</c:v>
                </c:pt>
                <c:pt idx="197">
                  <c:v>42</c:v>
                </c:pt>
                <c:pt idx="198">
                  <c:v>44</c:v>
                </c:pt>
                <c:pt idx="199">
                  <c:v>35</c:v>
                </c:pt>
                <c:pt idx="200">
                  <c:v>41</c:v>
                </c:pt>
                <c:pt idx="201">
                  <c:v>46</c:v>
                </c:pt>
                <c:pt idx="202">
                  <c:v>31</c:v>
                </c:pt>
                <c:pt idx="203">
                  <c:v>38</c:v>
                </c:pt>
                <c:pt idx="204">
                  <c:v>42</c:v>
                </c:pt>
                <c:pt idx="205">
                  <c:v>33</c:v>
                </c:pt>
                <c:pt idx="206">
                  <c:v>48</c:v>
                </c:pt>
                <c:pt idx="207">
                  <c:v>42</c:v>
                </c:pt>
                <c:pt idx="208">
                  <c:v>32</c:v>
                </c:pt>
                <c:pt idx="209">
                  <c:v>34</c:v>
                </c:pt>
                <c:pt idx="210">
                  <c:v>33</c:v>
                </c:pt>
                <c:pt idx="211">
                  <c:v>36</c:v>
                </c:pt>
                <c:pt idx="212">
                  <c:v>27</c:v>
                </c:pt>
                <c:pt idx="213">
                  <c:v>21</c:v>
                </c:pt>
                <c:pt idx="214">
                  <c:v>21</c:v>
                </c:pt>
                <c:pt idx="215">
                  <c:v>38</c:v>
                </c:pt>
                <c:pt idx="216">
                  <c:v>30</c:v>
                </c:pt>
                <c:pt idx="217">
                  <c:v>49</c:v>
                </c:pt>
                <c:pt idx="218">
                  <c:v>43</c:v>
                </c:pt>
                <c:pt idx="219">
                  <c:v>41</c:v>
                </c:pt>
                <c:pt idx="220">
                  <c:v>38</c:v>
                </c:pt>
                <c:pt idx="221">
                  <c:v>28</c:v>
                </c:pt>
                <c:pt idx="222">
                  <c:v>43</c:v>
                </c:pt>
                <c:pt idx="223">
                  <c:v>25</c:v>
                </c:pt>
                <c:pt idx="224">
                  <c:v>38</c:v>
                </c:pt>
                <c:pt idx="225">
                  <c:v>41</c:v>
                </c:pt>
                <c:pt idx="226">
                  <c:v>28</c:v>
                </c:pt>
                <c:pt idx="227">
                  <c:v>25</c:v>
                </c:pt>
                <c:pt idx="228">
                  <c:v>41</c:v>
                </c:pt>
                <c:pt idx="229">
                  <c:v>39</c:v>
                </c:pt>
                <c:pt idx="230">
                  <c:v>21</c:v>
                </c:pt>
                <c:pt idx="231">
                  <c:v>27</c:v>
                </c:pt>
                <c:pt idx="232">
                  <c:v>33</c:v>
                </c:pt>
                <c:pt idx="233">
                  <c:v>29</c:v>
                </c:pt>
                <c:pt idx="234">
                  <c:v>49</c:v>
                </c:pt>
                <c:pt idx="235">
                  <c:v>49</c:v>
                </c:pt>
                <c:pt idx="236">
                  <c:v>20</c:v>
                </c:pt>
                <c:pt idx="237">
                  <c:v>39</c:v>
                </c:pt>
                <c:pt idx="238">
                  <c:v>40</c:v>
                </c:pt>
                <c:pt idx="239">
                  <c:v>49</c:v>
                </c:pt>
                <c:pt idx="240">
                  <c:v>21</c:v>
                </c:pt>
                <c:pt idx="241">
                  <c:v>50</c:v>
                </c:pt>
                <c:pt idx="242">
                  <c:v>20</c:v>
                </c:pt>
                <c:pt idx="243">
                  <c:v>49</c:v>
                </c:pt>
                <c:pt idx="244">
                  <c:v>38</c:v>
                </c:pt>
                <c:pt idx="245">
                  <c:v>35</c:v>
                </c:pt>
                <c:pt idx="246">
                  <c:v>40</c:v>
                </c:pt>
                <c:pt idx="247">
                  <c:v>28</c:v>
                </c:pt>
                <c:pt idx="248">
                  <c:v>25</c:v>
                </c:pt>
                <c:pt idx="249">
                  <c:v>36</c:v>
                </c:pt>
                <c:pt idx="250">
                  <c:v>43</c:v>
                </c:pt>
                <c:pt idx="251">
                  <c:v>32</c:v>
                </c:pt>
                <c:pt idx="252">
                  <c:v>46</c:v>
                </c:pt>
                <c:pt idx="253">
                  <c:v>48</c:v>
                </c:pt>
                <c:pt idx="254">
                  <c:v>43</c:v>
                </c:pt>
                <c:pt idx="255">
                  <c:v>49</c:v>
                </c:pt>
                <c:pt idx="256">
                  <c:v>24</c:v>
                </c:pt>
                <c:pt idx="257">
                  <c:v>26</c:v>
                </c:pt>
                <c:pt idx="258">
                  <c:v>30</c:v>
                </c:pt>
                <c:pt idx="259">
                  <c:v>24</c:v>
                </c:pt>
                <c:pt idx="260">
                  <c:v>55</c:v>
                </c:pt>
                <c:pt idx="261">
                  <c:v>22</c:v>
                </c:pt>
                <c:pt idx="262">
                  <c:v>49</c:v>
                </c:pt>
                <c:pt idx="263">
                  <c:v>44</c:v>
                </c:pt>
                <c:pt idx="264">
                  <c:v>66</c:v>
                </c:pt>
                <c:pt idx="265">
                  <c:v>21</c:v>
                </c:pt>
                <c:pt idx="266">
                  <c:v>34</c:v>
                </c:pt>
                <c:pt idx="267">
                  <c:v>43</c:v>
                </c:pt>
                <c:pt idx="268">
                  <c:v>46</c:v>
                </c:pt>
                <c:pt idx="269">
                  <c:v>33</c:v>
                </c:pt>
                <c:pt idx="270">
                  <c:v>42</c:v>
                </c:pt>
                <c:pt idx="271">
                  <c:v>34</c:v>
                </c:pt>
                <c:pt idx="272">
                  <c:v>47</c:v>
                </c:pt>
                <c:pt idx="273">
                  <c:v>33</c:v>
                </c:pt>
                <c:pt idx="274">
                  <c:v>24</c:v>
                </c:pt>
                <c:pt idx="275">
                  <c:v>26</c:v>
                </c:pt>
                <c:pt idx="276">
                  <c:v>30</c:v>
                </c:pt>
                <c:pt idx="277">
                  <c:v>43</c:v>
                </c:pt>
                <c:pt idx="278">
                  <c:v>25</c:v>
                </c:pt>
                <c:pt idx="279">
                  <c:v>27</c:v>
                </c:pt>
                <c:pt idx="280">
                  <c:v>27</c:v>
                </c:pt>
                <c:pt idx="281">
                  <c:v>24</c:v>
                </c:pt>
                <c:pt idx="282">
                  <c:v>34</c:v>
                </c:pt>
                <c:pt idx="283">
                  <c:v>46</c:v>
                </c:pt>
                <c:pt idx="284">
                  <c:v>27</c:v>
                </c:pt>
                <c:pt idx="285">
                  <c:v>33</c:v>
                </c:pt>
                <c:pt idx="286">
                  <c:v>47</c:v>
                </c:pt>
                <c:pt idx="287">
                  <c:v>49</c:v>
                </c:pt>
                <c:pt idx="288">
                  <c:v>40</c:v>
                </c:pt>
                <c:pt idx="289">
                  <c:v>37</c:v>
                </c:pt>
                <c:pt idx="290">
                  <c:v>47</c:v>
                </c:pt>
                <c:pt idx="291">
                  <c:v>45</c:v>
                </c:pt>
                <c:pt idx="292">
                  <c:v>37</c:v>
                </c:pt>
                <c:pt idx="293">
                  <c:v>48</c:v>
                </c:pt>
                <c:pt idx="294">
                  <c:v>31</c:v>
                </c:pt>
                <c:pt idx="295">
                  <c:v>46</c:v>
                </c:pt>
                <c:pt idx="296">
                  <c:v>47</c:v>
                </c:pt>
                <c:pt idx="297">
                  <c:v>28</c:v>
                </c:pt>
                <c:pt idx="298">
                  <c:v>40</c:v>
                </c:pt>
                <c:pt idx="299">
                  <c:v>20</c:v>
                </c:pt>
                <c:pt idx="300">
                  <c:v>39</c:v>
                </c:pt>
                <c:pt idx="301">
                  <c:v>25</c:v>
                </c:pt>
                <c:pt idx="302">
                  <c:v>29</c:v>
                </c:pt>
                <c:pt idx="303">
                  <c:v>22</c:v>
                </c:pt>
                <c:pt idx="304">
                  <c:v>22</c:v>
                </c:pt>
                <c:pt idx="305">
                  <c:v>47</c:v>
                </c:pt>
                <c:pt idx="306">
                  <c:v>45</c:v>
                </c:pt>
                <c:pt idx="307">
                  <c:v>29</c:v>
                </c:pt>
                <c:pt idx="308">
                  <c:v>24</c:v>
                </c:pt>
                <c:pt idx="309">
                  <c:v>35</c:v>
                </c:pt>
                <c:pt idx="310">
                  <c:v>46</c:v>
                </c:pt>
                <c:pt idx="311">
                  <c:v>44</c:v>
                </c:pt>
                <c:pt idx="312">
                  <c:v>34</c:v>
                </c:pt>
                <c:pt idx="313">
                  <c:v>35</c:v>
                </c:pt>
                <c:pt idx="314">
                  <c:v>25</c:v>
                </c:pt>
                <c:pt idx="315">
                  <c:v>10</c:v>
                </c:pt>
                <c:pt idx="316">
                  <c:v>29</c:v>
                </c:pt>
                <c:pt idx="317">
                  <c:v>39</c:v>
                </c:pt>
                <c:pt idx="318">
                  <c:v>42</c:v>
                </c:pt>
                <c:pt idx="319">
                  <c:v>46</c:v>
                </c:pt>
                <c:pt idx="320">
                  <c:v>49</c:v>
                </c:pt>
                <c:pt idx="321">
                  <c:v>27</c:v>
                </c:pt>
                <c:pt idx="322">
                  <c:v>50</c:v>
                </c:pt>
                <c:pt idx="323">
                  <c:v>43</c:v>
                </c:pt>
                <c:pt idx="324">
                  <c:v>38</c:v>
                </c:pt>
                <c:pt idx="325">
                  <c:v>20</c:v>
                </c:pt>
                <c:pt idx="326">
                  <c:v>27</c:v>
                </c:pt>
                <c:pt idx="327">
                  <c:v>49</c:v>
                </c:pt>
                <c:pt idx="328">
                  <c:v>27</c:v>
                </c:pt>
                <c:pt idx="329">
                  <c:v>39</c:v>
                </c:pt>
                <c:pt idx="330">
                  <c:v>24</c:v>
                </c:pt>
                <c:pt idx="331">
                  <c:v>45</c:v>
                </c:pt>
                <c:pt idx="332">
                  <c:v>20</c:v>
                </c:pt>
                <c:pt idx="333">
                  <c:v>36</c:v>
                </c:pt>
                <c:pt idx="334">
                  <c:v>24</c:v>
                </c:pt>
                <c:pt idx="335">
                  <c:v>49</c:v>
                </c:pt>
                <c:pt idx="336">
                  <c:v>26</c:v>
                </c:pt>
                <c:pt idx="337">
                  <c:v>49</c:v>
                </c:pt>
                <c:pt idx="338">
                  <c:v>34</c:v>
                </c:pt>
                <c:pt idx="339">
                  <c:v>34</c:v>
                </c:pt>
                <c:pt idx="340">
                  <c:v>33</c:v>
                </c:pt>
                <c:pt idx="341">
                  <c:v>22</c:v>
                </c:pt>
                <c:pt idx="342">
                  <c:v>39</c:v>
                </c:pt>
                <c:pt idx="343">
                  <c:v>32</c:v>
                </c:pt>
                <c:pt idx="344">
                  <c:v>24</c:v>
                </c:pt>
                <c:pt idx="345">
                  <c:v>21</c:v>
                </c:pt>
                <c:pt idx="346">
                  <c:v>24</c:v>
                </c:pt>
                <c:pt idx="347">
                  <c:v>36</c:v>
                </c:pt>
                <c:pt idx="348">
                  <c:v>20</c:v>
                </c:pt>
                <c:pt idx="349">
                  <c:v>30</c:v>
                </c:pt>
                <c:pt idx="350">
                  <c:v>44</c:v>
                </c:pt>
                <c:pt idx="351">
                  <c:v>28</c:v>
                </c:pt>
                <c:pt idx="352">
                  <c:v>37</c:v>
                </c:pt>
                <c:pt idx="353">
                  <c:v>20</c:v>
                </c:pt>
                <c:pt idx="354">
                  <c:v>25</c:v>
                </c:pt>
                <c:pt idx="355">
                  <c:v>35</c:v>
                </c:pt>
                <c:pt idx="356">
                  <c:v>38</c:v>
                </c:pt>
                <c:pt idx="357">
                  <c:v>41</c:v>
                </c:pt>
                <c:pt idx="358">
                  <c:v>22</c:v>
                </c:pt>
                <c:pt idx="359">
                  <c:v>49</c:v>
                </c:pt>
                <c:pt idx="360">
                  <c:v>38</c:v>
                </c:pt>
                <c:pt idx="361">
                  <c:v>33</c:v>
                </c:pt>
                <c:pt idx="362">
                  <c:v>36</c:v>
                </c:pt>
                <c:pt idx="363">
                  <c:v>34</c:v>
                </c:pt>
                <c:pt idx="364">
                  <c:v>24</c:v>
                </c:pt>
                <c:pt idx="365">
                  <c:v>36</c:v>
                </c:pt>
                <c:pt idx="366">
                  <c:v>34</c:v>
                </c:pt>
                <c:pt idx="367">
                  <c:v>41</c:v>
                </c:pt>
                <c:pt idx="368">
                  <c:v>46</c:v>
                </c:pt>
                <c:pt idx="369">
                  <c:v>24</c:v>
                </c:pt>
                <c:pt idx="370">
                  <c:v>21</c:v>
                </c:pt>
                <c:pt idx="371">
                  <c:v>24</c:v>
                </c:pt>
                <c:pt idx="372">
                  <c:v>48</c:v>
                </c:pt>
                <c:pt idx="373">
                  <c:v>26</c:v>
                </c:pt>
                <c:pt idx="374">
                  <c:v>37</c:v>
                </c:pt>
                <c:pt idx="375">
                  <c:v>49</c:v>
                </c:pt>
                <c:pt idx="376">
                  <c:v>34</c:v>
                </c:pt>
                <c:pt idx="377">
                  <c:v>48</c:v>
                </c:pt>
                <c:pt idx="378">
                  <c:v>36</c:v>
                </c:pt>
                <c:pt idx="379">
                  <c:v>46</c:v>
                </c:pt>
                <c:pt idx="380">
                  <c:v>46</c:v>
                </c:pt>
                <c:pt idx="381">
                  <c:v>31</c:v>
                </c:pt>
                <c:pt idx="382">
                  <c:v>41</c:v>
                </c:pt>
                <c:pt idx="383">
                  <c:v>21</c:v>
                </c:pt>
                <c:pt idx="384">
                  <c:v>38</c:v>
                </c:pt>
                <c:pt idx="385">
                  <c:v>45</c:v>
                </c:pt>
                <c:pt idx="386">
                  <c:v>26</c:v>
                </c:pt>
                <c:pt idx="387">
                  <c:v>38</c:v>
                </c:pt>
                <c:pt idx="388">
                  <c:v>48</c:v>
                </c:pt>
                <c:pt idx="389">
                  <c:v>42</c:v>
                </c:pt>
                <c:pt idx="390">
                  <c:v>49</c:v>
                </c:pt>
                <c:pt idx="391">
                  <c:v>32</c:v>
                </c:pt>
                <c:pt idx="392">
                  <c:v>54</c:v>
                </c:pt>
                <c:pt idx="393">
                  <c:v>33</c:v>
                </c:pt>
                <c:pt idx="394">
                  <c:v>36</c:v>
                </c:pt>
                <c:pt idx="395">
                  <c:v>20</c:v>
                </c:pt>
                <c:pt idx="396">
                  <c:v>29</c:v>
                </c:pt>
                <c:pt idx="397">
                  <c:v>33</c:v>
                </c:pt>
                <c:pt idx="398">
                  <c:v>50</c:v>
                </c:pt>
                <c:pt idx="399">
                  <c:v>41</c:v>
                </c:pt>
                <c:pt idx="400">
                  <c:v>36</c:v>
                </c:pt>
                <c:pt idx="401">
                  <c:v>27</c:v>
                </c:pt>
                <c:pt idx="402">
                  <c:v>47</c:v>
                </c:pt>
                <c:pt idx="403">
                  <c:v>33</c:v>
                </c:pt>
                <c:pt idx="404">
                  <c:v>21</c:v>
                </c:pt>
                <c:pt idx="405">
                  <c:v>21</c:v>
                </c:pt>
                <c:pt idx="406">
                  <c:v>41</c:v>
                </c:pt>
                <c:pt idx="407">
                  <c:v>40</c:v>
                </c:pt>
                <c:pt idx="408">
                  <c:v>28</c:v>
                </c:pt>
                <c:pt idx="409">
                  <c:v>23</c:v>
                </c:pt>
                <c:pt idx="410">
                  <c:v>23</c:v>
                </c:pt>
                <c:pt idx="411">
                  <c:v>25</c:v>
                </c:pt>
                <c:pt idx="412">
                  <c:v>24</c:v>
                </c:pt>
                <c:pt idx="413">
                  <c:v>39</c:v>
                </c:pt>
                <c:pt idx="414">
                  <c:v>55</c:v>
                </c:pt>
                <c:pt idx="415">
                  <c:v>46</c:v>
                </c:pt>
                <c:pt idx="416">
                  <c:v>50</c:v>
                </c:pt>
                <c:pt idx="417">
                  <c:v>47</c:v>
                </c:pt>
                <c:pt idx="418">
                  <c:v>97</c:v>
                </c:pt>
                <c:pt idx="419">
                  <c:v>32</c:v>
                </c:pt>
                <c:pt idx="420">
                  <c:v>35</c:v>
                </c:pt>
                <c:pt idx="421">
                  <c:v>49</c:v>
                </c:pt>
                <c:pt idx="422">
                  <c:v>38</c:v>
                </c:pt>
                <c:pt idx="423">
                  <c:v>32</c:v>
                </c:pt>
                <c:pt idx="424">
                  <c:v>34</c:v>
                </c:pt>
                <c:pt idx="425">
                  <c:v>36</c:v>
                </c:pt>
                <c:pt idx="426">
                  <c:v>48</c:v>
                </c:pt>
                <c:pt idx="427">
                  <c:v>21</c:v>
                </c:pt>
                <c:pt idx="428">
                  <c:v>21</c:v>
                </c:pt>
                <c:pt idx="429">
                  <c:v>34</c:v>
                </c:pt>
                <c:pt idx="430">
                  <c:v>46</c:v>
                </c:pt>
                <c:pt idx="431">
                  <c:v>32</c:v>
                </c:pt>
                <c:pt idx="432">
                  <c:v>29</c:v>
                </c:pt>
                <c:pt idx="433">
                  <c:v>41</c:v>
                </c:pt>
                <c:pt idx="434">
                  <c:v>43</c:v>
                </c:pt>
                <c:pt idx="435">
                  <c:v>24</c:v>
                </c:pt>
                <c:pt idx="436">
                  <c:v>41</c:v>
                </c:pt>
                <c:pt idx="437">
                  <c:v>46</c:v>
                </c:pt>
                <c:pt idx="438">
                  <c:v>32</c:v>
                </c:pt>
                <c:pt idx="439">
                  <c:v>22</c:v>
                </c:pt>
                <c:pt idx="440">
                  <c:v>29</c:v>
                </c:pt>
                <c:pt idx="441">
                  <c:v>42</c:v>
                </c:pt>
                <c:pt idx="442">
                  <c:v>39</c:v>
                </c:pt>
                <c:pt idx="443">
                  <c:v>27</c:v>
                </c:pt>
                <c:pt idx="444">
                  <c:v>48</c:v>
                </c:pt>
                <c:pt idx="445">
                  <c:v>29</c:v>
                </c:pt>
                <c:pt idx="446">
                  <c:v>27</c:v>
                </c:pt>
                <c:pt idx="447">
                  <c:v>54</c:v>
                </c:pt>
                <c:pt idx="448">
                  <c:v>26</c:v>
                </c:pt>
                <c:pt idx="449">
                  <c:v>34</c:v>
                </c:pt>
                <c:pt idx="450">
                  <c:v>25</c:v>
                </c:pt>
                <c:pt idx="451">
                  <c:v>23</c:v>
                </c:pt>
                <c:pt idx="452">
                  <c:v>28</c:v>
                </c:pt>
                <c:pt idx="453">
                  <c:v>35</c:v>
                </c:pt>
                <c:pt idx="454">
                  <c:v>44</c:v>
                </c:pt>
                <c:pt idx="455">
                  <c:v>22</c:v>
                </c:pt>
                <c:pt idx="456">
                  <c:v>42</c:v>
                </c:pt>
                <c:pt idx="457">
                  <c:v>29</c:v>
                </c:pt>
                <c:pt idx="458">
                  <c:v>32</c:v>
                </c:pt>
                <c:pt idx="459">
                  <c:v>41</c:v>
                </c:pt>
                <c:pt idx="460">
                  <c:v>26</c:v>
                </c:pt>
                <c:pt idx="461">
                  <c:v>21</c:v>
                </c:pt>
                <c:pt idx="462">
                  <c:v>34</c:v>
                </c:pt>
                <c:pt idx="463">
                  <c:v>41</c:v>
                </c:pt>
                <c:pt idx="464">
                  <c:v>37</c:v>
                </c:pt>
                <c:pt idx="465">
                  <c:v>37</c:v>
                </c:pt>
                <c:pt idx="466">
                  <c:v>41</c:v>
                </c:pt>
                <c:pt idx="467">
                  <c:v>46</c:v>
                </c:pt>
                <c:pt idx="468">
                  <c:v>40</c:v>
                </c:pt>
                <c:pt idx="469">
                  <c:v>43</c:v>
                </c:pt>
                <c:pt idx="470">
                  <c:v>30</c:v>
                </c:pt>
                <c:pt idx="471">
                  <c:v>35</c:v>
                </c:pt>
                <c:pt idx="472">
                  <c:v>36</c:v>
                </c:pt>
                <c:pt idx="473">
                  <c:v>61</c:v>
                </c:pt>
                <c:pt idx="474">
                  <c:v>38</c:v>
                </c:pt>
                <c:pt idx="475">
                  <c:v>39</c:v>
                </c:pt>
                <c:pt idx="476">
                  <c:v>33</c:v>
                </c:pt>
                <c:pt idx="477">
                  <c:v>32</c:v>
                </c:pt>
                <c:pt idx="478">
                  <c:v>31</c:v>
                </c:pt>
                <c:pt idx="479">
                  <c:v>50</c:v>
                </c:pt>
                <c:pt idx="480">
                  <c:v>48</c:v>
                </c:pt>
                <c:pt idx="481">
                  <c:v>43</c:v>
                </c:pt>
                <c:pt idx="482">
                  <c:v>25</c:v>
                </c:pt>
                <c:pt idx="483">
                  <c:v>28</c:v>
                </c:pt>
                <c:pt idx="484">
                  <c:v>36</c:v>
                </c:pt>
                <c:pt idx="485">
                  <c:v>27</c:v>
                </c:pt>
                <c:pt idx="486">
                  <c:v>25</c:v>
                </c:pt>
                <c:pt idx="487">
                  <c:v>40</c:v>
                </c:pt>
                <c:pt idx="488">
                  <c:v>34</c:v>
                </c:pt>
                <c:pt idx="489">
                  <c:v>50</c:v>
                </c:pt>
                <c:pt idx="490">
                  <c:v>38</c:v>
                </c:pt>
                <c:pt idx="491">
                  <c:v>37</c:v>
                </c:pt>
                <c:pt idx="492">
                  <c:v>43</c:v>
                </c:pt>
                <c:pt idx="493">
                  <c:v>43</c:v>
                </c:pt>
                <c:pt idx="494">
                  <c:v>46</c:v>
                </c:pt>
                <c:pt idx="495">
                  <c:v>42</c:v>
                </c:pt>
                <c:pt idx="496">
                  <c:v>50</c:v>
                </c:pt>
                <c:pt idx="497">
                  <c:v>44</c:v>
                </c:pt>
                <c:pt idx="498">
                  <c:v>27</c:v>
                </c:pt>
                <c:pt idx="499">
                  <c:v>35</c:v>
                </c:pt>
                <c:pt idx="500">
                  <c:v>51</c:v>
                </c:pt>
                <c:pt idx="501">
                  <c:v>41</c:v>
                </c:pt>
                <c:pt idx="502">
                  <c:v>48</c:v>
                </c:pt>
                <c:pt idx="503">
                  <c:v>42</c:v>
                </c:pt>
                <c:pt idx="504">
                  <c:v>49</c:v>
                </c:pt>
                <c:pt idx="505">
                  <c:v>30</c:v>
                </c:pt>
                <c:pt idx="506">
                  <c:v>45</c:v>
                </c:pt>
                <c:pt idx="507">
                  <c:v>48</c:v>
                </c:pt>
                <c:pt idx="508">
                  <c:v>32</c:v>
                </c:pt>
                <c:pt idx="509">
                  <c:v>46</c:v>
                </c:pt>
                <c:pt idx="510">
                  <c:v>48</c:v>
                </c:pt>
                <c:pt idx="511">
                  <c:v>33</c:v>
                </c:pt>
                <c:pt idx="512">
                  <c:v>31</c:v>
                </c:pt>
                <c:pt idx="513">
                  <c:v>20</c:v>
                </c:pt>
                <c:pt idx="514">
                  <c:v>29</c:v>
                </c:pt>
                <c:pt idx="515">
                  <c:v>27</c:v>
                </c:pt>
                <c:pt idx="516">
                  <c:v>24</c:v>
                </c:pt>
                <c:pt idx="517">
                  <c:v>37</c:v>
                </c:pt>
                <c:pt idx="518">
                  <c:v>25</c:v>
                </c:pt>
                <c:pt idx="519">
                  <c:v>41</c:v>
                </c:pt>
                <c:pt idx="520">
                  <c:v>27</c:v>
                </c:pt>
                <c:pt idx="521">
                  <c:v>21</c:v>
                </c:pt>
                <c:pt idx="522">
                  <c:v>22</c:v>
                </c:pt>
                <c:pt idx="523">
                  <c:v>32</c:v>
                </c:pt>
                <c:pt idx="524">
                  <c:v>25</c:v>
                </c:pt>
                <c:pt idx="525">
                  <c:v>42</c:v>
                </c:pt>
                <c:pt idx="526">
                  <c:v>25</c:v>
                </c:pt>
                <c:pt idx="527">
                  <c:v>37</c:v>
                </c:pt>
                <c:pt idx="528">
                  <c:v>26</c:v>
                </c:pt>
                <c:pt idx="529">
                  <c:v>44</c:v>
                </c:pt>
                <c:pt idx="530">
                  <c:v>47</c:v>
                </c:pt>
                <c:pt idx="531">
                  <c:v>43</c:v>
                </c:pt>
                <c:pt idx="532">
                  <c:v>42</c:v>
                </c:pt>
                <c:pt idx="533">
                  <c:v>42</c:v>
                </c:pt>
                <c:pt idx="534">
                  <c:v>29</c:v>
                </c:pt>
                <c:pt idx="535">
                  <c:v>40</c:v>
                </c:pt>
                <c:pt idx="536">
                  <c:v>38</c:v>
                </c:pt>
                <c:pt idx="537">
                  <c:v>38</c:v>
                </c:pt>
                <c:pt idx="538">
                  <c:v>21</c:v>
                </c:pt>
                <c:pt idx="539">
                  <c:v>24</c:v>
                </c:pt>
                <c:pt idx="540">
                  <c:v>36</c:v>
                </c:pt>
                <c:pt idx="541">
                  <c:v>23</c:v>
                </c:pt>
                <c:pt idx="542">
                  <c:v>20</c:v>
                </c:pt>
                <c:pt idx="543">
                  <c:v>32</c:v>
                </c:pt>
                <c:pt idx="544">
                  <c:v>29</c:v>
                </c:pt>
                <c:pt idx="545">
                  <c:v>44</c:v>
                </c:pt>
                <c:pt idx="546">
                  <c:v>44</c:v>
                </c:pt>
                <c:pt idx="547">
                  <c:v>36</c:v>
                </c:pt>
                <c:pt idx="548">
                  <c:v>49</c:v>
                </c:pt>
                <c:pt idx="549">
                  <c:v>34</c:v>
                </c:pt>
                <c:pt idx="550">
                  <c:v>59</c:v>
                </c:pt>
                <c:pt idx="551">
                  <c:v>37</c:v>
                </c:pt>
                <c:pt idx="552">
                  <c:v>36</c:v>
                </c:pt>
                <c:pt idx="553">
                  <c:v>43</c:v>
                </c:pt>
                <c:pt idx="554">
                  <c:v>21</c:v>
                </c:pt>
                <c:pt idx="555">
                  <c:v>32</c:v>
                </c:pt>
                <c:pt idx="556">
                  <c:v>38</c:v>
                </c:pt>
                <c:pt idx="557">
                  <c:v>43</c:v>
                </c:pt>
                <c:pt idx="558">
                  <c:v>42</c:v>
                </c:pt>
                <c:pt idx="559">
                  <c:v>32</c:v>
                </c:pt>
                <c:pt idx="560">
                  <c:v>42</c:v>
                </c:pt>
                <c:pt idx="561">
                  <c:v>31</c:v>
                </c:pt>
                <c:pt idx="562">
                  <c:v>49</c:v>
                </c:pt>
                <c:pt idx="563">
                  <c:v>45</c:v>
                </c:pt>
                <c:pt idx="564">
                  <c:v>49</c:v>
                </c:pt>
                <c:pt idx="565">
                  <c:v>41</c:v>
                </c:pt>
                <c:pt idx="566">
                  <c:v>45</c:v>
                </c:pt>
                <c:pt idx="567">
                  <c:v>36</c:v>
                </c:pt>
                <c:pt idx="568">
                  <c:v>39</c:v>
                </c:pt>
                <c:pt idx="569">
                  <c:v>27</c:v>
                </c:pt>
                <c:pt idx="570">
                  <c:v>25</c:v>
                </c:pt>
                <c:pt idx="571">
                  <c:v>41</c:v>
                </c:pt>
                <c:pt idx="572">
                  <c:v>39</c:v>
                </c:pt>
                <c:pt idx="573">
                  <c:v>28</c:v>
                </c:pt>
                <c:pt idx="574">
                  <c:v>25</c:v>
                </c:pt>
                <c:pt idx="575">
                  <c:v>33</c:v>
                </c:pt>
                <c:pt idx="576">
                  <c:v>34</c:v>
                </c:pt>
                <c:pt idx="577">
                  <c:v>24</c:v>
                </c:pt>
                <c:pt idx="578">
                  <c:v>30</c:v>
                </c:pt>
                <c:pt idx="579">
                  <c:v>42</c:v>
                </c:pt>
                <c:pt idx="580">
                  <c:v>21</c:v>
                </c:pt>
                <c:pt idx="581">
                  <c:v>34</c:v>
                </c:pt>
                <c:pt idx="582">
                  <c:v>29</c:v>
                </c:pt>
                <c:pt idx="583">
                  <c:v>24</c:v>
                </c:pt>
                <c:pt idx="584">
                  <c:v>44</c:v>
                </c:pt>
                <c:pt idx="585">
                  <c:v>21</c:v>
                </c:pt>
                <c:pt idx="586">
                  <c:v>33</c:v>
                </c:pt>
                <c:pt idx="587">
                  <c:v>30</c:v>
                </c:pt>
                <c:pt idx="588">
                  <c:v>26</c:v>
                </c:pt>
                <c:pt idx="589">
                  <c:v>41</c:v>
                </c:pt>
                <c:pt idx="590">
                  <c:v>26</c:v>
                </c:pt>
                <c:pt idx="591">
                  <c:v>32</c:v>
                </c:pt>
                <c:pt idx="592">
                  <c:v>43</c:v>
                </c:pt>
                <c:pt idx="593">
                  <c:v>48</c:v>
                </c:pt>
                <c:pt idx="594">
                  <c:v>44</c:v>
                </c:pt>
                <c:pt idx="595">
                  <c:v>45</c:v>
                </c:pt>
                <c:pt idx="596">
                  <c:v>37</c:v>
                </c:pt>
                <c:pt idx="597">
                  <c:v>39</c:v>
                </c:pt>
                <c:pt idx="598">
                  <c:v>76</c:v>
                </c:pt>
                <c:pt idx="599">
                  <c:v>37</c:v>
                </c:pt>
                <c:pt idx="600">
                  <c:v>38</c:v>
                </c:pt>
                <c:pt idx="601">
                  <c:v>43</c:v>
                </c:pt>
                <c:pt idx="602">
                  <c:v>48</c:v>
                </c:pt>
                <c:pt idx="603">
                  <c:v>26</c:v>
                </c:pt>
                <c:pt idx="604">
                  <c:v>38</c:v>
                </c:pt>
                <c:pt idx="605">
                  <c:v>20</c:v>
                </c:pt>
                <c:pt idx="606">
                  <c:v>22</c:v>
                </c:pt>
                <c:pt idx="607">
                  <c:v>45</c:v>
                </c:pt>
                <c:pt idx="608">
                  <c:v>45</c:v>
                </c:pt>
                <c:pt idx="609">
                  <c:v>20</c:v>
                </c:pt>
                <c:pt idx="610">
                  <c:v>47</c:v>
                </c:pt>
                <c:pt idx="611">
                  <c:v>46</c:v>
                </c:pt>
                <c:pt idx="612">
                  <c:v>23</c:v>
                </c:pt>
                <c:pt idx="613">
                  <c:v>33</c:v>
                </c:pt>
                <c:pt idx="614">
                  <c:v>29</c:v>
                </c:pt>
                <c:pt idx="615">
                  <c:v>44</c:v>
                </c:pt>
                <c:pt idx="616">
                  <c:v>41</c:v>
                </c:pt>
                <c:pt idx="617">
                  <c:v>20</c:v>
                </c:pt>
                <c:pt idx="618">
                  <c:v>37</c:v>
                </c:pt>
                <c:pt idx="619">
                  <c:v>29</c:v>
                </c:pt>
                <c:pt idx="620">
                  <c:v>55</c:v>
                </c:pt>
                <c:pt idx="621">
                  <c:v>22</c:v>
                </c:pt>
                <c:pt idx="622">
                  <c:v>31</c:v>
                </c:pt>
                <c:pt idx="623">
                  <c:v>49</c:v>
                </c:pt>
                <c:pt idx="624">
                  <c:v>61</c:v>
                </c:pt>
                <c:pt idx="625">
                  <c:v>39</c:v>
                </c:pt>
                <c:pt idx="626">
                  <c:v>38</c:v>
                </c:pt>
                <c:pt idx="627">
                  <c:v>31</c:v>
                </c:pt>
                <c:pt idx="628">
                  <c:v>36</c:v>
                </c:pt>
                <c:pt idx="629">
                  <c:v>25</c:v>
                </c:pt>
                <c:pt idx="630">
                  <c:v>48</c:v>
                </c:pt>
                <c:pt idx="631">
                  <c:v>35</c:v>
                </c:pt>
                <c:pt idx="632">
                  <c:v>21</c:v>
                </c:pt>
                <c:pt idx="633">
                  <c:v>47</c:v>
                </c:pt>
                <c:pt idx="634">
                  <c:v>38</c:v>
                </c:pt>
                <c:pt idx="635">
                  <c:v>41</c:v>
                </c:pt>
                <c:pt idx="636">
                  <c:v>24</c:v>
                </c:pt>
                <c:pt idx="637">
                  <c:v>37</c:v>
                </c:pt>
                <c:pt idx="638">
                  <c:v>33</c:v>
                </c:pt>
                <c:pt idx="639">
                  <c:v>49</c:v>
                </c:pt>
                <c:pt idx="640">
                  <c:v>29</c:v>
                </c:pt>
                <c:pt idx="641">
                  <c:v>24</c:v>
                </c:pt>
                <c:pt idx="642">
                  <c:v>47</c:v>
                </c:pt>
                <c:pt idx="643">
                  <c:v>24</c:v>
                </c:pt>
                <c:pt idx="644">
                  <c:v>25</c:v>
                </c:pt>
                <c:pt idx="645">
                  <c:v>30</c:v>
                </c:pt>
                <c:pt idx="646">
                  <c:v>22</c:v>
                </c:pt>
                <c:pt idx="647">
                  <c:v>27</c:v>
                </c:pt>
                <c:pt idx="648">
                  <c:v>34</c:v>
                </c:pt>
                <c:pt idx="649">
                  <c:v>36</c:v>
                </c:pt>
                <c:pt idx="650">
                  <c:v>34</c:v>
                </c:pt>
                <c:pt idx="651">
                  <c:v>48</c:v>
                </c:pt>
                <c:pt idx="652">
                  <c:v>34</c:v>
                </c:pt>
                <c:pt idx="653">
                  <c:v>24</c:v>
                </c:pt>
                <c:pt idx="654">
                  <c:v>46</c:v>
                </c:pt>
                <c:pt idx="655">
                  <c:v>45</c:v>
                </c:pt>
                <c:pt idx="656">
                  <c:v>39</c:v>
                </c:pt>
                <c:pt idx="657">
                  <c:v>43</c:v>
                </c:pt>
                <c:pt idx="658">
                  <c:v>29</c:v>
                </c:pt>
                <c:pt idx="659">
                  <c:v>20</c:v>
                </c:pt>
                <c:pt idx="660">
                  <c:v>46</c:v>
                </c:pt>
                <c:pt idx="661">
                  <c:v>27</c:v>
                </c:pt>
                <c:pt idx="662">
                  <c:v>44</c:v>
                </c:pt>
                <c:pt idx="663">
                  <c:v>43</c:v>
                </c:pt>
                <c:pt idx="664">
                  <c:v>49</c:v>
                </c:pt>
                <c:pt idx="665">
                  <c:v>40</c:v>
                </c:pt>
                <c:pt idx="666">
                  <c:v>30</c:v>
                </c:pt>
                <c:pt idx="667">
                  <c:v>50</c:v>
                </c:pt>
                <c:pt idx="668">
                  <c:v>23</c:v>
                </c:pt>
                <c:pt idx="669">
                  <c:v>26</c:v>
                </c:pt>
                <c:pt idx="670">
                  <c:v>27</c:v>
                </c:pt>
                <c:pt idx="671">
                  <c:v>42</c:v>
                </c:pt>
                <c:pt idx="672">
                  <c:v>47</c:v>
                </c:pt>
                <c:pt idx="673">
                  <c:v>49</c:v>
                </c:pt>
                <c:pt idx="674">
                  <c:v>38</c:v>
                </c:pt>
                <c:pt idx="675">
                  <c:v>20</c:v>
                </c:pt>
                <c:pt idx="676">
                  <c:v>25</c:v>
                </c:pt>
                <c:pt idx="677">
                  <c:v>25</c:v>
                </c:pt>
                <c:pt idx="678">
                  <c:v>41</c:v>
                </c:pt>
                <c:pt idx="679">
                  <c:v>28</c:v>
                </c:pt>
                <c:pt idx="680">
                  <c:v>50</c:v>
                </c:pt>
                <c:pt idx="681">
                  <c:v>32</c:v>
                </c:pt>
                <c:pt idx="682">
                  <c:v>42</c:v>
                </c:pt>
                <c:pt idx="683">
                  <c:v>24</c:v>
                </c:pt>
                <c:pt idx="684">
                  <c:v>27</c:v>
                </c:pt>
                <c:pt idx="685">
                  <c:v>26</c:v>
                </c:pt>
                <c:pt idx="686">
                  <c:v>38</c:v>
                </c:pt>
                <c:pt idx="687">
                  <c:v>42</c:v>
                </c:pt>
                <c:pt idx="688">
                  <c:v>23</c:v>
                </c:pt>
                <c:pt idx="689">
                  <c:v>21</c:v>
                </c:pt>
                <c:pt idx="690">
                  <c:v>28</c:v>
                </c:pt>
                <c:pt idx="691">
                  <c:v>33</c:v>
                </c:pt>
                <c:pt idx="692">
                  <c:v>25</c:v>
                </c:pt>
                <c:pt idx="693">
                  <c:v>28</c:v>
                </c:pt>
                <c:pt idx="694">
                  <c:v>46</c:v>
                </c:pt>
                <c:pt idx="695">
                  <c:v>30</c:v>
                </c:pt>
                <c:pt idx="696">
                  <c:v>38</c:v>
                </c:pt>
                <c:pt idx="697">
                  <c:v>40</c:v>
                </c:pt>
                <c:pt idx="698">
                  <c:v>45</c:v>
                </c:pt>
                <c:pt idx="699">
                  <c:v>27</c:v>
                </c:pt>
                <c:pt idx="700">
                  <c:v>42</c:v>
                </c:pt>
                <c:pt idx="701">
                  <c:v>36</c:v>
                </c:pt>
                <c:pt idx="702">
                  <c:v>29</c:v>
                </c:pt>
                <c:pt idx="703">
                  <c:v>39</c:v>
                </c:pt>
                <c:pt idx="704">
                  <c:v>45</c:v>
                </c:pt>
                <c:pt idx="705">
                  <c:v>47</c:v>
                </c:pt>
                <c:pt idx="706">
                  <c:v>49</c:v>
                </c:pt>
                <c:pt idx="707">
                  <c:v>46</c:v>
                </c:pt>
                <c:pt idx="708">
                  <c:v>48</c:v>
                </c:pt>
                <c:pt idx="709">
                  <c:v>46</c:v>
                </c:pt>
                <c:pt idx="710">
                  <c:v>35</c:v>
                </c:pt>
                <c:pt idx="711">
                  <c:v>43</c:v>
                </c:pt>
                <c:pt idx="712">
                  <c:v>26</c:v>
                </c:pt>
                <c:pt idx="713">
                  <c:v>22</c:v>
                </c:pt>
                <c:pt idx="714">
                  <c:v>34</c:v>
                </c:pt>
                <c:pt idx="715">
                  <c:v>50</c:v>
                </c:pt>
                <c:pt idx="716">
                  <c:v>48</c:v>
                </c:pt>
                <c:pt idx="717">
                  <c:v>41</c:v>
                </c:pt>
                <c:pt idx="718">
                  <c:v>36</c:v>
                </c:pt>
                <c:pt idx="719">
                  <c:v>29</c:v>
                </c:pt>
                <c:pt idx="720">
                  <c:v>33</c:v>
                </c:pt>
                <c:pt idx="721">
                  <c:v>46</c:v>
                </c:pt>
                <c:pt idx="722">
                  <c:v>38</c:v>
                </c:pt>
                <c:pt idx="723">
                  <c:v>20</c:v>
                </c:pt>
                <c:pt idx="724">
                  <c:v>22</c:v>
                </c:pt>
                <c:pt idx="725">
                  <c:v>27</c:v>
                </c:pt>
                <c:pt idx="726">
                  <c:v>56</c:v>
                </c:pt>
                <c:pt idx="727">
                  <c:v>38</c:v>
                </c:pt>
                <c:pt idx="728">
                  <c:v>25</c:v>
                </c:pt>
                <c:pt idx="729">
                  <c:v>33</c:v>
                </c:pt>
                <c:pt idx="730">
                  <c:v>42</c:v>
                </c:pt>
                <c:pt idx="731">
                  <c:v>33</c:v>
                </c:pt>
                <c:pt idx="732">
                  <c:v>38</c:v>
                </c:pt>
                <c:pt idx="733">
                  <c:v>31</c:v>
                </c:pt>
                <c:pt idx="734">
                  <c:v>20</c:v>
                </c:pt>
                <c:pt idx="735">
                  <c:v>44</c:v>
                </c:pt>
                <c:pt idx="736">
                  <c:v>26</c:v>
                </c:pt>
                <c:pt idx="737">
                  <c:v>27</c:v>
                </c:pt>
                <c:pt idx="738">
                  <c:v>46</c:v>
                </c:pt>
                <c:pt idx="739">
                  <c:v>47</c:v>
                </c:pt>
                <c:pt idx="740">
                  <c:v>37</c:v>
                </c:pt>
                <c:pt idx="741">
                  <c:v>31</c:v>
                </c:pt>
                <c:pt idx="742">
                  <c:v>24</c:v>
                </c:pt>
                <c:pt idx="743">
                  <c:v>31</c:v>
                </c:pt>
                <c:pt idx="744">
                  <c:v>50</c:v>
                </c:pt>
                <c:pt idx="745">
                  <c:v>35</c:v>
                </c:pt>
                <c:pt idx="746">
                  <c:v>30</c:v>
                </c:pt>
                <c:pt idx="747">
                  <c:v>29</c:v>
                </c:pt>
                <c:pt idx="748">
                  <c:v>27</c:v>
                </c:pt>
                <c:pt idx="749">
                  <c:v>40</c:v>
                </c:pt>
                <c:pt idx="750">
                  <c:v>31</c:v>
                </c:pt>
                <c:pt idx="751">
                  <c:v>6</c:v>
                </c:pt>
                <c:pt idx="752">
                  <c:v>45</c:v>
                </c:pt>
                <c:pt idx="753">
                  <c:v>22</c:v>
                </c:pt>
                <c:pt idx="754">
                  <c:v>45</c:v>
                </c:pt>
                <c:pt idx="755">
                  <c:v>43</c:v>
                </c:pt>
                <c:pt idx="756">
                  <c:v>46</c:v>
                </c:pt>
                <c:pt idx="757">
                  <c:v>39</c:v>
                </c:pt>
                <c:pt idx="758">
                  <c:v>31</c:v>
                </c:pt>
                <c:pt idx="759">
                  <c:v>41</c:v>
                </c:pt>
                <c:pt idx="760">
                  <c:v>44</c:v>
                </c:pt>
                <c:pt idx="761">
                  <c:v>45</c:v>
                </c:pt>
                <c:pt idx="762">
                  <c:v>37</c:v>
                </c:pt>
                <c:pt idx="763">
                  <c:v>35</c:v>
                </c:pt>
                <c:pt idx="764">
                  <c:v>28</c:v>
                </c:pt>
                <c:pt idx="765">
                  <c:v>30</c:v>
                </c:pt>
                <c:pt idx="766">
                  <c:v>30</c:v>
                </c:pt>
                <c:pt idx="767">
                  <c:v>25</c:v>
                </c:pt>
                <c:pt idx="768">
                  <c:v>29</c:v>
                </c:pt>
                <c:pt idx="769">
                  <c:v>26</c:v>
                </c:pt>
                <c:pt idx="770">
                  <c:v>41</c:v>
                </c:pt>
                <c:pt idx="771">
                  <c:v>34</c:v>
                </c:pt>
                <c:pt idx="772">
                  <c:v>35</c:v>
                </c:pt>
                <c:pt idx="773">
                  <c:v>34</c:v>
                </c:pt>
                <c:pt idx="774">
                  <c:v>50</c:v>
                </c:pt>
                <c:pt idx="775">
                  <c:v>41</c:v>
                </c:pt>
                <c:pt idx="776">
                  <c:v>22</c:v>
                </c:pt>
                <c:pt idx="777">
                  <c:v>35</c:v>
                </c:pt>
                <c:pt idx="778">
                  <c:v>44</c:v>
                </c:pt>
                <c:pt idx="779">
                  <c:v>47</c:v>
                </c:pt>
                <c:pt idx="780">
                  <c:v>19</c:v>
                </c:pt>
                <c:pt idx="781">
                  <c:v>34</c:v>
                </c:pt>
                <c:pt idx="782">
                  <c:v>29</c:v>
                </c:pt>
                <c:pt idx="783">
                  <c:v>49</c:v>
                </c:pt>
                <c:pt idx="784">
                  <c:v>30</c:v>
                </c:pt>
                <c:pt idx="785">
                  <c:v>21</c:v>
                </c:pt>
                <c:pt idx="786">
                  <c:v>50</c:v>
                </c:pt>
                <c:pt idx="787">
                  <c:v>47</c:v>
                </c:pt>
                <c:pt idx="788">
                  <c:v>24</c:v>
                </c:pt>
                <c:pt idx="789">
                  <c:v>27</c:v>
                </c:pt>
                <c:pt idx="790">
                  <c:v>33</c:v>
                </c:pt>
                <c:pt idx="791">
                  <c:v>35</c:v>
                </c:pt>
                <c:pt idx="792">
                  <c:v>31</c:v>
                </c:pt>
                <c:pt idx="793">
                  <c:v>25</c:v>
                </c:pt>
                <c:pt idx="794">
                  <c:v>27</c:v>
                </c:pt>
                <c:pt idx="795">
                  <c:v>31</c:v>
                </c:pt>
                <c:pt idx="796">
                  <c:v>45</c:v>
                </c:pt>
                <c:pt idx="797">
                  <c:v>27</c:v>
                </c:pt>
                <c:pt idx="798">
                  <c:v>27</c:v>
                </c:pt>
                <c:pt idx="799">
                  <c:v>42</c:v>
                </c:pt>
                <c:pt idx="800">
                  <c:v>21</c:v>
                </c:pt>
                <c:pt idx="801">
                  <c:v>34</c:v>
                </c:pt>
                <c:pt idx="802">
                  <c:v>42</c:v>
                </c:pt>
                <c:pt idx="803">
                  <c:v>15</c:v>
                </c:pt>
                <c:pt idx="804">
                  <c:v>29</c:v>
                </c:pt>
                <c:pt idx="805">
                  <c:v>46</c:v>
                </c:pt>
                <c:pt idx="806">
                  <c:v>30</c:v>
                </c:pt>
                <c:pt idx="807">
                  <c:v>30</c:v>
                </c:pt>
                <c:pt idx="808">
                  <c:v>42</c:v>
                </c:pt>
                <c:pt idx="809">
                  <c:v>46</c:v>
                </c:pt>
                <c:pt idx="810">
                  <c:v>25</c:v>
                </c:pt>
                <c:pt idx="811">
                  <c:v>32</c:v>
                </c:pt>
                <c:pt idx="812">
                  <c:v>30</c:v>
                </c:pt>
                <c:pt idx="813">
                  <c:v>40</c:v>
                </c:pt>
                <c:pt idx="814">
                  <c:v>28</c:v>
                </c:pt>
                <c:pt idx="815">
                  <c:v>23</c:v>
                </c:pt>
                <c:pt idx="816">
                  <c:v>29</c:v>
                </c:pt>
                <c:pt idx="817">
                  <c:v>34</c:v>
                </c:pt>
                <c:pt idx="818">
                  <c:v>37</c:v>
                </c:pt>
                <c:pt idx="819">
                  <c:v>20</c:v>
                </c:pt>
                <c:pt idx="820">
                  <c:v>32</c:v>
                </c:pt>
                <c:pt idx="821">
                  <c:v>34</c:v>
                </c:pt>
                <c:pt idx="822">
                  <c:v>42</c:v>
                </c:pt>
                <c:pt idx="823">
                  <c:v>38</c:v>
                </c:pt>
                <c:pt idx="824">
                  <c:v>30</c:v>
                </c:pt>
                <c:pt idx="825">
                  <c:v>23</c:v>
                </c:pt>
                <c:pt idx="826">
                  <c:v>22</c:v>
                </c:pt>
                <c:pt idx="827">
                  <c:v>39</c:v>
                </c:pt>
                <c:pt idx="828">
                  <c:v>55</c:v>
                </c:pt>
                <c:pt idx="829">
                  <c:v>36</c:v>
                </c:pt>
                <c:pt idx="830">
                  <c:v>26</c:v>
                </c:pt>
                <c:pt idx="831">
                  <c:v>31</c:v>
                </c:pt>
                <c:pt idx="832">
                  <c:v>34</c:v>
                </c:pt>
                <c:pt idx="833">
                  <c:v>41</c:v>
                </c:pt>
                <c:pt idx="834">
                  <c:v>23</c:v>
                </c:pt>
                <c:pt idx="835">
                  <c:v>48</c:v>
                </c:pt>
                <c:pt idx="836">
                  <c:v>22</c:v>
                </c:pt>
                <c:pt idx="837">
                  <c:v>21</c:v>
                </c:pt>
                <c:pt idx="838">
                  <c:v>22</c:v>
                </c:pt>
                <c:pt idx="839">
                  <c:v>40</c:v>
                </c:pt>
                <c:pt idx="840">
                  <c:v>50</c:v>
                </c:pt>
                <c:pt idx="841">
                  <c:v>29</c:v>
                </c:pt>
                <c:pt idx="842">
                  <c:v>43</c:v>
                </c:pt>
                <c:pt idx="843">
                  <c:v>24</c:v>
                </c:pt>
                <c:pt idx="844">
                  <c:v>22</c:v>
                </c:pt>
                <c:pt idx="845">
                  <c:v>43</c:v>
                </c:pt>
                <c:pt idx="846">
                  <c:v>20</c:v>
                </c:pt>
                <c:pt idx="847">
                  <c:v>25</c:v>
                </c:pt>
                <c:pt idx="848">
                  <c:v>36</c:v>
                </c:pt>
                <c:pt idx="849">
                  <c:v>24</c:v>
                </c:pt>
                <c:pt idx="850">
                  <c:v>21</c:v>
                </c:pt>
                <c:pt idx="851">
                  <c:v>30</c:v>
                </c:pt>
                <c:pt idx="852">
                  <c:v>32</c:v>
                </c:pt>
                <c:pt idx="853">
                  <c:v>21</c:v>
                </c:pt>
                <c:pt idx="854">
                  <c:v>26</c:v>
                </c:pt>
                <c:pt idx="855">
                  <c:v>35</c:v>
                </c:pt>
                <c:pt idx="856">
                  <c:v>26</c:v>
                </c:pt>
                <c:pt idx="857">
                  <c:v>46</c:v>
                </c:pt>
                <c:pt idx="858">
                  <c:v>37</c:v>
                </c:pt>
                <c:pt idx="859">
                  <c:v>27</c:v>
                </c:pt>
                <c:pt idx="860">
                  <c:v>23</c:v>
                </c:pt>
                <c:pt idx="861">
                  <c:v>39</c:v>
                </c:pt>
                <c:pt idx="862">
                  <c:v>27</c:v>
                </c:pt>
                <c:pt idx="863">
                  <c:v>38</c:v>
                </c:pt>
                <c:pt idx="864">
                  <c:v>27</c:v>
                </c:pt>
                <c:pt idx="865">
                  <c:v>40</c:v>
                </c:pt>
                <c:pt idx="866">
                  <c:v>24</c:v>
                </c:pt>
                <c:pt idx="867">
                  <c:v>44</c:v>
                </c:pt>
                <c:pt idx="868">
                  <c:v>37</c:v>
                </c:pt>
                <c:pt idx="869">
                  <c:v>20</c:v>
                </c:pt>
                <c:pt idx="870">
                  <c:v>39</c:v>
                </c:pt>
                <c:pt idx="871">
                  <c:v>44</c:v>
                </c:pt>
                <c:pt idx="872">
                  <c:v>22</c:v>
                </c:pt>
                <c:pt idx="873">
                  <c:v>43</c:v>
                </c:pt>
                <c:pt idx="874">
                  <c:v>27</c:v>
                </c:pt>
                <c:pt idx="875">
                  <c:v>26</c:v>
                </c:pt>
                <c:pt idx="876">
                  <c:v>25</c:v>
                </c:pt>
                <c:pt idx="877">
                  <c:v>49</c:v>
                </c:pt>
                <c:pt idx="878">
                  <c:v>29</c:v>
                </c:pt>
                <c:pt idx="879">
                  <c:v>41</c:v>
                </c:pt>
                <c:pt idx="880">
                  <c:v>55</c:v>
                </c:pt>
                <c:pt idx="881">
                  <c:v>27</c:v>
                </c:pt>
                <c:pt idx="882">
                  <c:v>23</c:v>
                </c:pt>
                <c:pt idx="883">
                  <c:v>31</c:v>
                </c:pt>
                <c:pt idx="884">
                  <c:v>46</c:v>
                </c:pt>
                <c:pt idx="885">
                  <c:v>47</c:v>
                </c:pt>
                <c:pt idx="886">
                  <c:v>31</c:v>
                </c:pt>
                <c:pt idx="887">
                  <c:v>46</c:v>
                </c:pt>
                <c:pt idx="888">
                  <c:v>37</c:v>
                </c:pt>
                <c:pt idx="889">
                  <c:v>28</c:v>
                </c:pt>
                <c:pt idx="890">
                  <c:v>37</c:v>
                </c:pt>
                <c:pt idx="891">
                  <c:v>49</c:v>
                </c:pt>
                <c:pt idx="892">
                  <c:v>24</c:v>
                </c:pt>
                <c:pt idx="893">
                  <c:v>30</c:v>
                </c:pt>
                <c:pt idx="894">
                  <c:v>50</c:v>
                </c:pt>
                <c:pt idx="895">
                  <c:v>31</c:v>
                </c:pt>
                <c:pt idx="896">
                  <c:v>46</c:v>
                </c:pt>
                <c:pt idx="897">
                  <c:v>47</c:v>
                </c:pt>
                <c:pt idx="898">
                  <c:v>46</c:v>
                </c:pt>
                <c:pt idx="899">
                  <c:v>37</c:v>
                </c:pt>
                <c:pt idx="900">
                  <c:v>33</c:v>
                </c:pt>
                <c:pt idx="901">
                  <c:v>31</c:v>
                </c:pt>
                <c:pt idx="902">
                  <c:v>48</c:v>
                </c:pt>
                <c:pt idx="903">
                  <c:v>41</c:v>
                </c:pt>
                <c:pt idx="904">
                  <c:v>42</c:v>
                </c:pt>
                <c:pt idx="905">
                  <c:v>41</c:v>
                </c:pt>
                <c:pt idx="906">
                  <c:v>32</c:v>
                </c:pt>
                <c:pt idx="907">
                  <c:v>10</c:v>
                </c:pt>
                <c:pt idx="908">
                  <c:v>35</c:v>
                </c:pt>
                <c:pt idx="909">
                  <c:v>28</c:v>
                </c:pt>
                <c:pt idx="910">
                  <c:v>46</c:v>
                </c:pt>
                <c:pt idx="911">
                  <c:v>20</c:v>
                </c:pt>
                <c:pt idx="912">
                  <c:v>30</c:v>
                </c:pt>
                <c:pt idx="913">
                  <c:v>48</c:v>
                </c:pt>
                <c:pt idx="914">
                  <c:v>28</c:v>
                </c:pt>
                <c:pt idx="915">
                  <c:v>39</c:v>
                </c:pt>
                <c:pt idx="916">
                  <c:v>24</c:v>
                </c:pt>
                <c:pt idx="917">
                  <c:v>28</c:v>
                </c:pt>
                <c:pt idx="918">
                  <c:v>31</c:v>
                </c:pt>
                <c:pt idx="919">
                  <c:v>45</c:v>
                </c:pt>
                <c:pt idx="920">
                  <c:v>24</c:v>
                </c:pt>
                <c:pt idx="921">
                  <c:v>49</c:v>
                </c:pt>
                <c:pt idx="922">
                  <c:v>32</c:v>
                </c:pt>
                <c:pt idx="923">
                  <c:v>43</c:v>
                </c:pt>
                <c:pt idx="924">
                  <c:v>37</c:v>
                </c:pt>
                <c:pt idx="925">
                  <c:v>24</c:v>
                </c:pt>
                <c:pt idx="926">
                  <c:v>35</c:v>
                </c:pt>
                <c:pt idx="927">
                  <c:v>41</c:v>
                </c:pt>
                <c:pt idx="928">
                  <c:v>26</c:v>
                </c:pt>
                <c:pt idx="929">
                  <c:v>34</c:v>
                </c:pt>
                <c:pt idx="930">
                  <c:v>49</c:v>
                </c:pt>
                <c:pt idx="931">
                  <c:v>28</c:v>
                </c:pt>
                <c:pt idx="932">
                  <c:v>40</c:v>
                </c:pt>
                <c:pt idx="933">
                  <c:v>37</c:v>
                </c:pt>
                <c:pt idx="934">
                  <c:v>31</c:v>
                </c:pt>
                <c:pt idx="935">
                  <c:v>41</c:v>
                </c:pt>
                <c:pt idx="936">
                  <c:v>21</c:v>
                </c:pt>
                <c:pt idx="937">
                  <c:v>40</c:v>
                </c:pt>
                <c:pt idx="938">
                  <c:v>46</c:v>
                </c:pt>
                <c:pt idx="939">
                  <c:v>44</c:v>
                </c:pt>
                <c:pt idx="940">
                  <c:v>46</c:v>
                </c:pt>
                <c:pt idx="941">
                  <c:v>41</c:v>
                </c:pt>
                <c:pt idx="942">
                  <c:v>32</c:v>
                </c:pt>
                <c:pt idx="943">
                  <c:v>46</c:v>
                </c:pt>
                <c:pt idx="944">
                  <c:v>28</c:v>
                </c:pt>
                <c:pt idx="945">
                  <c:v>49</c:v>
                </c:pt>
                <c:pt idx="946">
                  <c:v>21</c:v>
                </c:pt>
                <c:pt idx="947">
                  <c:v>32</c:v>
                </c:pt>
                <c:pt idx="948">
                  <c:v>34</c:v>
                </c:pt>
                <c:pt idx="949">
                  <c:v>21</c:v>
                </c:pt>
                <c:pt idx="950">
                  <c:v>21</c:v>
                </c:pt>
                <c:pt idx="951">
                  <c:v>31</c:v>
                </c:pt>
                <c:pt idx="952">
                  <c:v>21</c:v>
                </c:pt>
                <c:pt idx="953">
                  <c:v>25</c:v>
                </c:pt>
                <c:pt idx="954">
                  <c:v>28</c:v>
                </c:pt>
                <c:pt idx="955">
                  <c:v>43</c:v>
                </c:pt>
                <c:pt idx="956">
                  <c:v>22</c:v>
                </c:pt>
                <c:pt idx="957">
                  <c:v>37</c:v>
                </c:pt>
                <c:pt idx="958">
                  <c:v>28</c:v>
                </c:pt>
                <c:pt idx="959">
                  <c:v>30</c:v>
                </c:pt>
                <c:pt idx="960">
                  <c:v>44</c:v>
                </c:pt>
                <c:pt idx="961">
                  <c:v>25</c:v>
                </c:pt>
                <c:pt idx="962">
                  <c:v>43</c:v>
                </c:pt>
                <c:pt idx="963">
                  <c:v>30</c:v>
                </c:pt>
                <c:pt idx="964">
                  <c:v>20</c:v>
                </c:pt>
                <c:pt idx="965">
                  <c:v>26</c:v>
                </c:pt>
                <c:pt idx="966">
                  <c:v>40</c:v>
                </c:pt>
                <c:pt idx="967">
                  <c:v>31</c:v>
                </c:pt>
                <c:pt idx="968">
                  <c:v>22</c:v>
                </c:pt>
                <c:pt idx="969">
                  <c:v>23</c:v>
                </c:pt>
                <c:pt idx="970">
                  <c:v>30</c:v>
                </c:pt>
                <c:pt idx="971">
                  <c:v>49</c:v>
                </c:pt>
                <c:pt idx="972">
                  <c:v>31</c:v>
                </c:pt>
                <c:pt idx="973">
                  <c:v>29</c:v>
                </c:pt>
                <c:pt idx="974">
                  <c:v>37</c:v>
                </c:pt>
                <c:pt idx="975">
                  <c:v>38</c:v>
                </c:pt>
                <c:pt idx="976">
                  <c:v>29</c:v>
                </c:pt>
                <c:pt idx="977">
                  <c:v>23</c:v>
                </c:pt>
                <c:pt idx="978">
                  <c:v>26</c:v>
                </c:pt>
                <c:pt idx="979">
                  <c:v>38</c:v>
                </c:pt>
                <c:pt idx="980">
                  <c:v>48</c:v>
                </c:pt>
                <c:pt idx="981">
                  <c:v>40</c:v>
                </c:pt>
                <c:pt idx="982">
                  <c:v>45</c:v>
                </c:pt>
                <c:pt idx="983">
                  <c:v>44</c:v>
                </c:pt>
                <c:pt idx="984">
                  <c:v>21</c:v>
                </c:pt>
                <c:pt idx="985">
                  <c:v>35</c:v>
                </c:pt>
                <c:pt idx="986">
                  <c:v>29</c:v>
                </c:pt>
                <c:pt idx="987">
                  <c:v>21</c:v>
                </c:pt>
                <c:pt idx="988">
                  <c:v>22</c:v>
                </c:pt>
                <c:pt idx="989">
                  <c:v>26</c:v>
                </c:pt>
                <c:pt idx="990">
                  <c:v>41</c:v>
                </c:pt>
                <c:pt idx="991">
                  <c:v>47</c:v>
                </c:pt>
                <c:pt idx="992">
                  <c:v>31</c:v>
                </c:pt>
                <c:pt idx="993">
                  <c:v>43</c:v>
                </c:pt>
                <c:pt idx="994">
                  <c:v>23</c:v>
                </c:pt>
                <c:pt idx="995">
                  <c:v>28</c:v>
                </c:pt>
                <c:pt idx="996">
                  <c:v>49</c:v>
                </c:pt>
                <c:pt idx="997">
                  <c:v>24</c:v>
                </c:pt>
                <c:pt idx="998">
                  <c:v>33</c:v>
                </c:pt>
                <c:pt idx="999">
                  <c:v>22</c:v>
                </c:pt>
                <c:pt idx="1000">
                  <c:v>32</c:v>
                </c:pt>
                <c:pt idx="1001">
                  <c:v>40</c:v>
                </c:pt>
                <c:pt idx="1002">
                  <c:v>43</c:v>
                </c:pt>
                <c:pt idx="1003">
                  <c:v>24</c:v>
                </c:pt>
                <c:pt idx="1004">
                  <c:v>32</c:v>
                </c:pt>
                <c:pt idx="1005">
                  <c:v>20</c:v>
                </c:pt>
                <c:pt idx="1006">
                  <c:v>24</c:v>
                </c:pt>
                <c:pt idx="1007">
                  <c:v>48</c:v>
                </c:pt>
                <c:pt idx="1008">
                  <c:v>44</c:v>
                </c:pt>
                <c:pt idx="1009">
                  <c:v>28</c:v>
                </c:pt>
                <c:pt idx="1010">
                  <c:v>24</c:v>
                </c:pt>
                <c:pt idx="1011">
                  <c:v>33</c:v>
                </c:pt>
                <c:pt idx="1012">
                  <c:v>41</c:v>
                </c:pt>
                <c:pt idx="1013">
                  <c:v>23</c:v>
                </c:pt>
                <c:pt idx="1014">
                  <c:v>46</c:v>
                </c:pt>
                <c:pt idx="1015">
                  <c:v>48</c:v>
                </c:pt>
                <c:pt idx="1016">
                  <c:v>25</c:v>
                </c:pt>
                <c:pt idx="1017">
                  <c:v>22</c:v>
                </c:pt>
                <c:pt idx="1018">
                  <c:v>41</c:v>
                </c:pt>
                <c:pt idx="1019">
                  <c:v>34</c:v>
                </c:pt>
                <c:pt idx="1020">
                  <c:v>32</c:v>
                </c:pt>
                <c:pt idx="1021">
                  <c:v>21</c:v>
                </c:pt>
                <c:pt idx="1022">
                  <c:v>20</c:v>
                </c:pt>
                <c:pt idx="1023">
                  <c:v>47</c:v>
                </c:pt>
                <c:pt idx="1024">
                  <c:v>39</c:v>
                </c:pt>
                <c:pt idx="1025">
                  <c:v>29</c:v>
                </c:pt>
                <c:pt idx="1026">
                  <c:v>45</c:v>
                </c:pt>
                <c:pt idx="1027">
                  <c:v>28</c:v>
                </c:pt>
                <c:pt idx="1028">
                  <c:v>26</c:v>
                </c:pt>
                <c:pt idx="1029">
                  <c:v>50</c:v>
                </c:pt>
                <c:pt idx="1030">
                  <c:v>48</c:v>
                </c:pt>
                <c:pt idx="1031">
                  <c:v>25</c:v>
                </c:pt>
                <c:pt idx="1032">
                  <c:v>40</c:v>
                </c:pt>
                <c:pt idx="1033">
                  <c:v>43</c:v>
                </c:pt>
                <c:pt idx="1034">
                  <c:v>22</c:v>
                </c:pt>
                <c:pt idx="1035">
                  <c:v>47</c:v>
                </c:pt>
                <c:pt idx="1036">
                  <c:v>36</c:v>
                </c:pt>
                <c:pt idx="1037">
                  <c:v>40</c:v>
                </c:pt>
                <c:pt idx="1038">
                  <c:v>27</c:v>
                </c:pt>
                <c:pt idx="1039">
                  <c:v>29</c:v>
                </c:pt>
                <c:pt idx="1040">
                  <c:v>20</c:v>
                </c:pt>
                <c:pt idx="1041">
                  <c:v>42</c:v>
                </c:pt>
                <c:pt idx="1042">
                  <c:v>25</c:v>
                </c:pt>
                <c:pt idx="1043">
                  <c:v>36</c:v>
                </c:pt>
                <c:pt idx="1044">
                  <c:v>21</c:v>
                </c:pt>
                <c:pt idx="1045">
                  <c:v>23</c:v>
                </c:pt>
                <c:pt idx="1046">
                  <c:v>37</c:v>
                </c:pt>
                <c:pt idx="1047">
                  <c:v>48</c:v>
                </c:pt>
                <c:pt idx="1048">
                  <c:v>25</c:v>
                </c:pt>
                <c:pt idx="1049">
                  <c:v>33</c:v>
                </c:pt>
                <c:pt idx="1050">
                  <c:v>27</c:v>
                </c:pt>
                <c:pt idx="1051">
                  <c:v>27</c:v>
                </c:pt>
                <c:pt idx="1052">
                  <c:v>20</c:v>
                </c:pt>
                <c:pt idx="1053">
                  <c:v>30</c:v>
                </c:pt>
                <c:pt idx="1054">
                  <c:v>48</c:v>
                </c:pt>
                <c:pt idx="1055">
                  <c:v>32</c:v>
                </c:pt>
                <c:pt idx="1056">
                  <c:v>34</c:v>
                </c:pt>
                <c:pt idx="1057">
                  <c:v>27</c:v>
                </c:pt>
                <c:pt idx="1058">
                  <c:v>39</c:v>
                </c:pt>
                <c:pt idx="1059">
                  <c:v>47</c:v>
                </c:pt>
                <c:pt idx="1060">
                  <c:v>22</c:v>
                </c:pt>
                <c:pt idx="1061">
                  <c:v>55</c:v>
                </c:pt>
                <c:pt idx="1062">
                  <c:v>60</c:v>
                </c:pt>
                <c:pt idx="1063">
                  <c:v>35</c:v>
                </c:pt>
                <c:pt idx="1064">
                  <c:v>28</c:v>
                </c:pt>
                <c:pt idx="1065">
                  <c:v>38</c:v>
                </c:pt>
                <c:pt idx="1066">
                  <c:v>21</c:v>
                </c:pt>
                <c:pt idx="1067">
                  <c:v>41</c:v>
                </c:pt>
                <c:pt idx="1068">
                  <c:v>22</c:v>
                </c:pt>
                <c:pt idx="1069">
                  <c:v>29</c:v>
                </c:pt>
                <c:pt idx="1070">
                  <c:v>50</c:v>
                </c:pt>
                <c:pt idx="1071">
                  <c:v>29</c:v>
                </c:pt>
                <c:pt idx="1072">
                  <c:v>49</c:v>
                </c:pt>
                <c:pt idx="1073">
                  <c:v>35</c:v>
                </c:pt>
                <c:pt idx="1074">
                  <c:v>48</c:v>
                </c:pt>
                <c:pt idx="1075">
                  <c:v>23</c:v>
                </c:pt>
                <c:pt idx="1076">
                  <c:v>48</c:v>
                </c:pt>
                <c:pt idx="1077">
                  <c:v>42</c:v>
                </c:pt>
                <c:pt idx="1078">
                  <c:v>47</c:v>
                </c:pt>
                <c:pt idx="1079">
                  <c:v>36</c:v>
                </c:pt>
                <c:pt idx="1080">
                  <c:v>22</c:v>
                </c:pt>
                <c:pt idx="1081">
                  <c:v>40</c:v>
                </c:pt>
                <c:pt idx="1082">
                  <c:v>23</c:v>
                </c:pt>
                <c:pt idx="1083">
                  <c:v>32</c:v>
                </c:pt>
                <c:pt idx="1084">
                  <c:v>21</c:v>
                </c:pt>
                <c:pt idx="1085">
                  <c:v>41</c:v>
                </c:pt>
                <c:pt idx="1086">
                  <c:v>25</c:v>
                </c:pt>
                <c:pt idx="1087">
                  <c:v>26</c:v>
                </c:pt>
                <c:pt idx="1088">
                  <c:v>24</c:v>
                </c:pt>
                <c:pt idx="1089">
                  <c:v>48</c:v>
                </c:pt>
                <c:pt idx="1090">
                  <c:v>26</c:v>
                </c:pt>
                <c:pt idx="1091">
                  <c:v>21</c:v>
                </c:pt>
                <c:pt idx="1092">
                  <c:v>45</c:v>
                </c:pt>
                <c:pt idx="1093">
                  <c:v>36</c:v>
                </c:pt>
                <c:pt idx="1094">
                  <c:v>21</c:v>
                </c:pt>
                <c:pt idx="1095">
                  <c:v>32</c:v>
                </c:pt>
                <c:pt idx="1096">
                  <c:v>30</c:v>
                </c:pt>
                <c:pt idx="1097">
                  <c:v>36</c:v>
                </c:pt>
                <c:pt idx="1098">
                  <c:v>33</c:v>
                </c:pt>
                <c:pt idx="1099">
                  <c:v>35</c:v>
                </c:pt>
                <c:pt idx="1100">
                  <c:v>37</c:v>
                </c:pt>
                <c:pt idx="1101">
                  <c:v>41</c:v>
                </c:pt>
                <c:pt idx="1102">
                  <c:v>20</c:v>
                </c:pt>
                <c:pt idx="1103">
                  <c:v>45</c:v>
                </c:pt>
                <c:pt idx="1104">
                  <c:v>38</c:v>
                </c:pt>
                <c:pt idx="1105">
                  <c:v>43</c:v>
                </c:pt>
                <c:pt idx="1106">
                  <c:v>49</c:v>
                </c:pt>
                <c:pt idx="1107">
                  <c:v>27</c:v>
                </c:pt>
                <c:pt idx="1108">
                  <c:v>46</c:v>
                </c:pt>
                <c:pt idx="1109">
                  <c:v>38</c:v>
                </c:pt>
                <c:pt idx="1110">
                  <c:v>25</c:v>
                </c:pt>
                <c:pt idx="1111">
                  <c:v>46</c:v>
                </c:pt>
                <c:pt idx="1112">
                  <c:v>22</c:v>
                </c:pt>
                <c:pt idx="1113">
                  <c:v>40</c:v>
                </c:pt>
                <c:pt idx="1114">
                  <c:v>46</c:v>
                </c:pt>
                <c:pt idx="1115">
                  <c:v>39</c:v>
                </c:pt>
                <c:pt idx="1116">
                  <c:v>38</c:v>
                </c:pt>
                <c:pt idx="1117">
                  <c:v>30</c:v>
                </c:pt>
                <c:pt idx="1118">
                  <c:v>42</c:v>
                </c:pt>
                <c:pt idx="1119">
                  <c:v>43</c:v>
                </c:pt>
                <c:pt idx="1120">
                  <c:v>29</c:v>
                </c:pt>
                <c:pt idx="1121">
                  <c:v>33</c:v>
                </c:pt>
                <c:pt idx="1122">
                  <c:v>32</c:v>
                </c:pt>
                <c:pt idx="1123">
                  <c:v>28</c:v>
                </c:pt>
                <c:pt idx="1124">
                  <c:v>41</c:v>
                </c:pt>
                <c:pt idx="1125">
                  <c:v>33</c:v>
                </c:pt>
                <c:pt idx="1126">
                  <c:v>36</c:v>
                </c:pt>
                <c:pt idx="1127">
                  <c:v>26</c:v>
                </c:pt>
                <c:pt idx="1128">
                  <c:v>34</c:v>
                </c:pt>
                <c:pt idx="1129">
                  <c:v>26</c:v>
                </c:pt>
                <c:pt idx="1130">
                  <c:v>38</c:v>
                </c:pt>
                <c:pt idx="1131">
                  <c:v>33</c:v>
                </c:pt>
                <c:pt idx="1132">
                  <c:v>33</c:v>
                </c:pt>
                <c:pt idx="1133">
                  <c:v>46</c:v>
                </c:pt>
                <c:pt idx="1134">
                  <c:v>26</c:v>
                </c:pt>
                <c:pt idx="1135">
                  <c:v>25</c:v>
                </c:pt>
                <c:pt idx="1136">
                  <c:v>45</c:v>
                </c:pt>
                <c:pt idx="1137">
                  <c:v>50</c:v>
                </c:pt>
                <c:pt idx="1138">
                  <c:v>36</c:v>
                </c:pt>
                <c:pt idx="1139">
                  <c:v>21</c:v>
                </c:pt>
                <c:pt idx="1140">
                  <c:v>29</c:v>
                </c:pt>
                <c:pt idx="1141">
                  <c:v>21</c:v>
                </c:pt>
                <c:pt idx="1142">
                  <c:v>42</c:v>
                </c:pt>
                <c:pt idx="1143">
                  <c:v>37</c:v>
                </c:pt>
                <c:pt idx="1144">
                  <c:v>25</c:v>
                </c:pt>
                <c:pt idx="1145">
                  <c:v>36</c:v>
                </c:pt>
                <c:pt idx="1146">
                  <c:v>22</c:v>
                </c:pt>
                <c:pt idx="1147">
                  <c:v>23</c:v>
                </c:pt>
                <c:pt idx="1148">
                  <c:v>32</c:v>
                </c:pt>
                <c:pt idx="1149">
                  <c:v>28</c:v>
                </c:pt>
                <c:pt idx="1150">
                  <c:v>27</c:v>
                </c:pt>
                <c:pt idx="1151">
                  <c:v>49</c:v>
                </c:pt>
                <c:pt idx="1152">
                  <c:v>41</c:v>
                </c:pt>
                <c:pt idx="1153">
                  <c:v>49</c:v>
                </c:pt>
                <c:pt idx="1154">
                  <c:v>30</c:v>
                </c:pt>
                <c:pt idx="1155">
                  <c:v>40</c:v>
                </c:pt>
                <c:pt idx="1156">
                  <c:v>23</c:v>
                </c:pt>
                <c:pt idx="1157">
                  <c:v>49</c:v>
                </c:pt>
                <c:pt idx="1158">
                  <c:v>25</c:v>
                </c:pt>
                <c:pt idx="1159">
                  <c:v>37</c:v>
                </c:pt>
                <c:pt idx="1160">
                  <c:v>55</c:v>
                </c:pt>
                <c:pt idx="1161">
                  <c:v>23</c:v>
                </c:pt>
                <c:pt idx="1162">
                  <c:v>24</c:v>
                </c:pt>
                <c:pt idx="1163">
                  <c:v>43</c:v>
                </c:pt>
                <c:pt idx="1164">
                  <c:v>50</c:v>
                </c:pt>
                <c:pt idx="1165">
                  <c:v>47</c:v>
                </c:pt>
                <c:pt idx="1166">
                  <c:v>34</c:v>
                </c:pt>
                <c:pt idx="1167">
                  <c:v>31</c:v>
                </c:pt>
                <c:pt idx="1168">
                  <c:v>28</c:v>
                </c:pt>
                <c:pt idx="1169">
                  <c:v>36</c:v>
                </c:pt>
                <c:pt idx="1170">
                  <c:v>48</c:v>
                </c:pt>
                <c:pt idx="1171">
                  <c:v>39</c:v>
                </c:pt>
                <c:pt idx="1172">
                  <c:v>45</c:v>
                </c:pt>
                <c:pt idx="1173">
                  <c:v>35</c:v>
                </c:pt>
                <c:pt idx="1174">
                  <c:v>45</c:v>
                </c:pt>
                <c:pt idx="1175">
                  <c:v>46</c:v>
                </c:pt>
                <c:pt idx="1176">
                  <c:v>37</c:v>
                </c:pt>
                <c:pt idx="1177">
                  <c:v>31</c:v>
                </c:pt>
                <c:pt idx="1178">
                  <c:v>33</c:v>
                </c:pt>
                <c:pt idx="1179">
                  <c:v>31</c:v>
                </c:pt>
                <c:pt idx="1180">
                  <c:v>27</c:v>
                </c:pt>
                <c:pt idx="1181">
                  <c:v>39</c:v>
                </c:pt>
                <c:pt idx="1182">
                  <c:v>32</c:v>
                </c:pt>
                <c:pt idx="1183">
                  <c:v>28</c:v>
                </c:pt>
                <c:pt idx="1184">
                  <c:v>26</c:v>
                </c:pt>
                <c:pt idx="1185">
                  <c:v>44</c:v>
                </c:pt>
                <c:pt idx="1186">
                  <c:v>46</c:v>
                </c:pt>
                <c:pt idx="1187">
                  <c:v>32</c:v>
                </c:pt>
                <c:pt idx="1188">
                  <c:v>65</c:v>
                </c:pt>
                <c:pt idx="1189">
                  <c:v>43</c:v>
                </c:pt>
                <c:pt idx="1190">
                  <c:v>43</c:v>
                </c:pt>
                <c:pt idx="1191">
                  <c:v>35</c:v>
                </c:pt>
                <c:pt idx="1192">
                  <c:v>45</c:v>
                </c:pt>
                <c:pt idx="1193">
                  <c:v>47</c:v>
                </c:pt>
                <c:pt idx="1194">
                  <c:v>21</c:v>
                </c:pt>
                <c:pt idx="1195">
                  <c:v>38</c:v>
                </c:pt>
                <c:pt idx="1196">
                  <c:v>21</c:v>
                </c:pt>
                <c:pt idx="1197">
                  <c:v>43</c:v>
                </c:pt>
                <c:pt idx="1198">
                  <c:v>46</c:v>
                </c:pt>
                <c:pt idx="1199">
                  <c:v>38</c:v>
                </c:pt>
                <c:pt idx="1200">
                  <c:v>26</c:v>
                </c:pt>
                <c:pt idx="1201">
                  <c:v>31</c:v>
                </c:pt>
                <c:pt idx="1202">
                  <c:v>48</c:v>
                </c:pt>
                <c:pt idx="1203">
                  <c:v>33</c:v>
                </c:pt>
                <c:pt idx="1204">
                  <c:v>38</c:v>
                </c:pt>
                <c:pt idx="1205">
                  <c:v>39</c:v>
                </c:pt>
                <c:pt idx="1206">
                  <c:v>42</c:v>
                </c:pt>
                <c:pt idx="1207">
                  <c:v>44</c:v>
                </c:pt>
                <c:pt idx="1208">
                  <c:v>29</c:v>
                </c:pt>
                <c:pt idx="1209">
                  <c:v>26</c:v>
                </c:pt>
                <c:pt idx="1210">
                  <c:v>31</c:v>
                </c:pt>
                <c:pt idx="1211">
                  <c:v>32</c:v>
                </c:pt>
                <c:pt idx="1212">
                  <c:v>28</c:v>
                </c:pt>
                <c:pt idx="1213">
                  <c:v>36</c:v>
                </c:pt>
                <c:pt idx="1214">
                  <c:v>36</c:v>
                </c:pt>
                <c:pt idx="1215">
                  <c:v>41</c:v>
                </c:pt>
                <c:pt idx="1216">
                  <c:v>27</c:v>
                </c:pt>
                <c:pt idx="1217">
                  <c:v>33</c:v>
                </c:pt>
                <c:pt idx="1218">
                  <c:v>34</c:v>
                </c:pt>
                <c:pt idx="1219">
                  <c:v>29</c:v>
                </c:pt>
                <c:pt idx="1220">
                  <c:v>34</c:v>
                </c:pt>
                <c:pt idx="1221">
                  <c:v>48</c:v>
                </c:pt>
                <c:pt idx="1222">
                  <c:v>46</c:v>
                </c:pt>
                <c:pt idx="1223">
                  <c:v>22</c:v>
                </c:pt>
                <c:pt idx="1224">
                  <c:v>20</c:v>
                </c:pt>
                <c:pt idx="1225">
                  <c:v>45</c:v>
                </c:pt>
                <c:pt idx="1226">
                  <c:v>46</c:v>
                </c:pt>
                <c:pt idx="1227">
                  <c:v>34</c:v>
                </c:pt>
                <c:pt idx="1228">
                  <c:v>50</c:v>
                </c:pt>
                <c:pt idx="1229">
                  <c:v>46</c:v>
                </c:pt>
                <c:pt idx="1230">
                  <c:v>22</c:v>
                </c:pt>
                <c:pt idx="1231">
                  <c:v>48</c:v>
                </c:pt>
                <c:pt idx="1232">
                  <c:v>47</c:v>
                </c:pt>
                <c:pt idx="1233">
                  <c:v>34</c:v>
                </c:pt>
                <c:pt idx="1234">
                  <c:v>45</c:v>
                </c:pt>
                <c:pt idx="1235">
                  <c:v>20</c:v>
                </c:pt>
                <c:pt idx="1236">
                  <c:v>50</c:v>
                </c:pt>
                <c:pt idx="1237">
                  <c:v>22</c:v>
                </c:pt>
                <c:pt idx="1238">
                  <c:v>45</c:v>
                </c:pt>
                <c:pt idx="1239">
                  <c:v>58</c:v>
                </c:pt>
                <c:pt idx="1240">
                  <c:v>51</c:v>
                </c:pt>
                <c:pt idx="1241">
                  <c:v>38</c:v>
                </c:pt>
                <c:pt idx="1242">
                  <c:v>22</c:v>
                </c:pt>
                <c:pt idx="1243">
                  <c:v>25</c:v>
                </c:pt>
                <c:pt idx="1244">
                  <c:v>24</c:v>
                </c:pt>
                <c:pt idx="1245">
                  <c:v>35</c:v>
                </c:pt>
                <c:pt idx="1246">
                  <c:v>28</c:v>
                </c:pt>
                <c:pt idx="1247">
                  <c:v>36</c:v>
                </c:pt>
                <c:pt idx="1248">
                  <c:v>39</c:v>
                </c:pt>
                <c:pt idx="1249">
                  <c:v>27</c:v>
                </c:pt>
                <c:pt idx="1250">
                  <c:v>40</c:v>
                </c:pt>
                <c:pt idx="1251">
                  <c:v>50</c:v>
                </c:pt>
                <c:pt idx="1252">
                  <c:v>42</c:v>
                </c:pt>
                <c:pt idx="1253">
                  <c:v>48</c:v>
                </c:pt>
                <c:pt idx="1254">
                  <c:v>25</c:v>
                </c:pt>
                <c:pt idx="1255">
                  <c:v>31</c:v>
                </c:pt>
                <c:pt idx="1256">
                  <c:v>44</c:v>
                </c:pt>
                <c:pt idx="1257">
                  <c:v>23</c:v>
                </c:pt>
                <c:pt idx="1258">
                  <c:v>29</c:v>
                </c:pt>
                <c:pt idx="1259">
                  <c:v>49</c:v>
                </c:pt>
                <c:pt idx="1260">
                  <c:v>36</c:v>
                </c:pt>
                <c:pt idx="1261">
                  <c:v>34</c:v>
                </c:pt>
                <c:pt idx="1262">
                  <c:v>25</c:v>
                </c:pt>
                <c:pt idx="1263">
                  <c:v>48</c:v>
                </c:pt>
                <c:pt idx="1264">
                  <c:v>38</c:v>
                </c:pt>
                <c:pt idx="1265">
                  <c:v>37</c:v>
                </c:pt>
                <c:pt idx="1266">
                  <c:v>49</c:v>
                </c:pt>
                <c:pt idx="1267">
                  <c:v>22</c:v>
                </c:pt>
                <c:pt idx="1268">
                  <c:v>28</c:v>
                </c:pt>
                <c:pt idx="1269">
                  <c:v>36</c:v>
                </c:pt>
                <c:pt idx="1270">
                  <c:v>34</c:v>
                </c:pt>
                <c:pt idx="1271">
                  <c:v>39</c:v>
                </c:pt>
                <c:pt idx="1272">
                  <c:v>21</c:v>
                </c:pt>
                <c:pt idx="1273">
                  <c:v>36</c:v>
                </c:pt>
                <c:pt idx="1274">
                  <c:v>24</c:v>
                </c:pt>
                <c:pt idx="1275">
                  <c:v>29</c:v>
                </c:pt>
                <c:pt idx="1276">
                  <c:v>38</c:v>
                </c:pt>
                <c:pt idx="1277">
                  <c:v>34</c:v>
                </c:pt>
                <c:pt idx="1278">
                  <c:v>42</c:v>
                </c:pt>
                <c:pt idx="1279">
                  <c:v>35</c:v>
                </c:pt>
                <c:pt idx="1280">
                  <c:v>35</c:v>
                </c:pt>
                <c:pt idx="1281">
                  <c:v>38</c:v>
                </c:pt>
                <c:pt idx="1282">
                  <c:v>41</c:v>
                </c:pt>
                <c:pt idx="1283">
                  <c:v>50</c:v>
                </c:pt>
                <c:pt idx="1284">
                  <c:v>21</c:v>
                </c:pt>
                <c:pt idx="1285">
                  <c:v>43</c:v>
                </c:pt>
                <c:pt idx="1286">
                  <c:v>32</c:v>
                </c:pt>
                <c:pt idx="1287">
                  <c:v>6</c:v>
                </c:pt>
                <c:pt idx="1288">
                  <c:v>66</c:v>
                </c:pt>
                <c:pt idx="1289">
                  <c:v>41</c:v>
                </c:pt>
                <c:pt idx="1290">
                  <c:v>23</c:v>
                </c:pt>
                <c:pt idx="1291">
                  <c:v>43</c:v>
                </c:pt>
                <c:pt idx="1292">
                  <c:v>24</c:v>
                </c:pt>
                <c:pt idx="1293">
                  <c:v>22</c:v>
                </c:pt>
                <c:pt idx="1294">
                  <c:v>26</c:v>
                </c:pt>
                <c:pt idx="1295">
                  <c:v>35</c:v>
                </c:pt>
                <c:pt idx="1296">
                  <c:v>47</c:v>
                </c:pt>
                <c:pt idx="1297">
                  <c:v>50</c:v>
                </c:pt>
                <c:pt idx="1298">
                  <c:v>45</c:v>
                </c:pt>
                <c:pt idx="1299">
                  <c:v>39</c:v>
                </c:pt>
                <c:pt idx="1300">
                  <c:v>23</c:v>
                </c:pt>
                <c:pt idx="1301">
                  <c:v>42</c:v>
                </c:pt>
                <c:pt idx="1302">
                  <c:v>20</c:v>
                </c:pt>
                <c:pt idx="1303">
                  <c:v>33</c:v>
                </c:pt>
                <c:pt idx="1304">
                  <c:v>34</c:v>
                </c:pt>
                <c:pt idx="1305">
                  <c:v>49</c:v>
                </c:pt>
                <c:pt idx="1306">
                  <c:v>39</c:v>
                </c:pt>
                <c:pt idx="1307">
                  <c:v>36</c:v>
                </c:pt>
                <c:pt idx="1308">
                  <c:v>50</c:v>
                </c:pt>
                <c:pt idx="1309">
                  <c:v>29</c:v>
                </c:pt>
                <c:pt idx="1310">
                  <c:v>30</c:v>
                </c:pt>
                <c:pt idx="1311">
                  <c:v>41</c:v>
                </c:pt>
                <c:pt idx="1312">
                  <c:v>28</c:v>
                </c:pt>
                <c:pt idx="1313">
                  <c:v>45</c:v>
                </c:pt>
                <c:pt idx="1314">
                  <c:v>16</c:v>
                </c:pt>
                <c:pt idx="1315">
                  <c:v>36</c:v>
                </c:pt>
                <c:pt idx="1316">
                  <c:v>41</c:v>
                </c:pt>
                <c:pt idx="1317">
                  <c:v>50</c:v>
                </c:pt>
                <c:pt idx="1318">
                  <c:v>40</c:v>
                </c:pt>
                <c:pt idx="1319">
                  <c:v>49</c:v>
                </c:pt>
                <c:pt idx="1320">
                  <c:v>45</c:v>
                </c:pt>
                <c:pt idx="1321">
                  <c:v>47</c:v>
                </c:pt>
                <c:pt idx="1322">
                  <c:v>21</c:v>
                </c:pt>
                <c:pt idx="1323">
                  <c:v>32</c:v>
                </c:pt>
                <c:pt idx="1324">
                  <c:v>47</c:v>
                </c:pt>
                <c:pt idx="1325">
                  <c:v>38</c:v>
                </c:pt>
                <c:pt idx="1326">
                  <c:v>41</c:v>
                </c:pt>
                <c:pt idx="1327">
                  <c:v>21</c:v>
                </c:pt>
                <c:pt idx="1328">
                  <c:v>41</c:v>
                </c:pt>
                <c:pt idx="1329">
                  <c:v>38</c:v>
                </c:pt>
                <c:pt idx="1330">
                  <c:v>25</c:v>
                </c:pt>
                <c:pt idx="1331">
                  <c:v>48</c:v>
                </c:pt>
                <c:pt idx="1332">
                  <c:v>22</c:v>
                </c:pt>
                <c:pt idx="1333">
                  <c:v>28</c:v>
                </c:pt>
                <c:pt idx="1334">
                  <c:v>47</c:v>
                </c:pt>
                <c:pt idx="1335">
                  <c:v>49</c:v>
                </c:pt>
                <c:pt idx="1336">
                  <c:v>45</c:v>
                </c:pt>
                <c:pt idx="1337">
                  <c:v>28</c:v>
                </c:pt>
                <c:pt idx="1338">
                  <c:v>29</c:v>
                </c:pt>
                <c:pt idx="1339">
                  <c:v>39</c:v>
                </c:pt>
                <c:pt idx="1340">
                  <c:v>46</c:v>
                </c:pt>
                <c:pt idx="1341">
                  <c:v>38</c:v>
                </c:pt>
                <c:pt idx="1342">
                  <c:v>41</c:v>
                </c:pt>
                <c:pt idx="1343">
                  <c:v>50</c:v>
                </c:pt>
                <c:pt idx="1344">
                  <c:v>43</c:v>
                </c:pt>
                <c:pt idx="1345">
                  <c:v>29</c:v>
                </c:pt>
                <c:pt idx="1346">
                  <c:v>30</c:v>
                </c:pt>
                <c:pt idx="1347">
                  <c:v>25</c:v>
                </c:pt>
                <c:pt idx="1348">
                  <c:v>49</c:v>
                </c:pt>
                <c:pt idx="1349">
                  <c:v>40</c:v>
                </c:pt>
                <c:pt idx="1350">
                  <c:v>41</c:v>
                </c:pt>
                <c:pt idx="1351">
                  <c:v>21</c:v>
                </c:pt>
                <c:pt idx="1352">
                  <c:v>46</c:v>
                </c:pt>
                <c:pt idx="1353">
                  <c:v>39</c:v>
                </c:pt>
                <c:pt idx="1354">
                  <c:v>45</c:v>
                </c:pt>
                <c:pt idx="1355">
                  <c:v>21</c:v>
                </c:pt>
                <c:pt idx="1356">
                  <c:v>44</c:v>
                </c:pt>
                <c:pt idx="1357">
                  <c:v>44</c:v>
                </c:pt>
                <c:pt idx="1358">
                  <c:v>29</c:v>
                </c:pt>
                <c:pt idx="1359">
                  <c:v>34</c:v>
                </c:pt>
                <c:pt idx="1360">
                  <c:v>39</c:v>
                </c:pt>
                <c:pt idx="1361">
                  <c:v>38</c:v>
                </c:pt>
                <c:pt idx="1362">
                  <c:v>24</c:v>
                </c:pt>
                <c:pt idx="1363">
                  <c:v>29</c:v>
                </c:pt>
                <c:pt idx="1364">
                  <c:v>30</c:v>
                </c:pt>
                <c:pt idx="1365">
                  <c:v>20</c:v>
                </c:pt>
                <c:pt idx="1366">
                  <c:v>39</c:v>
                </c:pt>
                <c:pt idx="1367">
                  <c:v>35</c:v>
                </c:pt>
                <c:pt idx="1368">
                  <c:v>26</c:v>
                </c:pt>
                <c:pt idx="1369">
                  <c:v>44</c:v>
                </c:pt>
                <c:pt idx="1370">
                  <c:v>28</c:v>
                </c:pt>
                <c:pt idx="1371">
                  <c:v>31</c:v>
                </c:pt>
                <c:pt idx="1372">
                  <c:v>29</c:v>
                </c:pt>
                <c:pt idx="1373">
                  <c:v>32</c:v>
                </c:pt>
                <c:pt idx="1374">
                  <c:v>33</c:v>
                </c:pt>
                <c:pt idx="1375">
                  <c:v>44</c:v>
                </c:pt>
                <c:pt idx="1376">
                  <c:v>32</c:v>
                </c:pt>
                <c:pt idx="1377">
                  <c:v>41</c:v>
                </c:pt>
                <c:pt idx="1378">
                  <c:v>35</c:v>
                </c:pt>
                <c:pt idx="1379">
                  <c:v>44</c:v>
                </c:pt>
                <c:pt idx="1380">
                  <c:v>26</c:v>
                </c:pt>
                <c:pt idx="1381">
                  <c:v>20</c:v>
                </c:pt>
                <c:pt idx="1382">
                  <c:v>48</c:v>
                </c:pt>
                <c:pt idx="1383">
                  <c:v>34</c:v>
                </c:pt>
                <c:pt idx="1384">
                  <c:v>49</c:v>
                </c:pt>
                <c:pt idx="1385">
                  <c:v>40</c:v>
                </c:pt>
                <c:pt idx="1386">
                  <c:v>45</c:v>
                </c:pt>
                <c:pt idx="1387">
                  <c:v>50</c:v>
                </c:pt>
                <c:pt idx="1388">
                  <c:v>38</c:v>
                </c:pt>
                <c:pt idx="1389">
                  <c:v>25</c:v>
                </c:pt>
                <c:pt idx="1390">
                  <c:v>28</c:v>
                </c:pt>
                <c:pt idx="1391">
                  <c:v>49</c:v>
                </c:pt>
                <c:pt idx="1392">
                  <c:v>49</c:v>
                </c:pt>
                <c:pt idx="1393">
                  <c:v>42</c:v>
                </c:pt>
                <c:pt idx="1394">
                  <c:v>23</c:v>
                </c:pt>
                <c:pt idx="1395">
                  <c:v>29</c:v>
                </c:pt>
                <c:pt idx="1396">
                  <c:v>25</c:v>
                </c:pt>
                <c:pt idx="1397">
                  <c:v>39</c:v>
                </c:pt>
                <c:pt idx="1398">
                  <c:v>44</c:v>
                </c:pt>
                <c:pt idx="1399">
                  <c:v>25</c:v>
                </c:pt>
                <c:pt idx="1400">
                  <c:v>45</c:v>
                </c:pt>
                <c:pt idx="1401">
                  <c:v>25</c:v>
                </c:pt>
                <c:pt idx="1402">
                  <c:v>37</c:v>
                </c:pt>
                <c:pt idx="1403">
                  <c:v>30</c:v>
                </c:pt>
                <c:pt idx="1404">
                  <c:v>36</c:v>
                </c:pt>
                <c:pt idx="1405">
                  <c:v>26</c:v>
                </c:pt>
                <c:pt idx="1406">
                  <c:v>23</c:v>
                </c:pt>
                <c:pt idx="1407">
                  <c:v>23</c:v>
                </c:pt>
                <c:pt idx="1408">
                  <c:v>25</c:v>
                </c:pt>
                <c:pt idx="1409">
                  <c:v>21</c:v>
                </c:pt>
                <c:pt idx="1410">
                  <c:v>26</c:v>
                </c:pt>
                <c:pt idx="1411">
                  <c:v>44</c:v>
                </c:pt>
                <c:pt idx="1412">
                  <c:v>24</c:v>
                </c:pt>
                <c:pt idx="1413">
                  <c:v>66</c:v>
                </c:pt>
                <c:pt idx="1414">
                  <c:v>36</c:v>
                </c:pt>
                <c:pt idx="1415">
                  <c:v>36</c:v>
                </c:pt>
                <c:pt idx="1416">
                  <c:v>22</c:v>
                </c:pt>
                <c:pt idx="1417">
                  <c:v>25</c:v>
                </c:pt>
                <c:pt idx="1418">
                  <c:v>37</c:v>
                </c:pt>
                <c:pt idx="1419">
                  <c:v>32</c:v>
                </c:pt>
                <c:pt idx="1420">
                  <c:v>47</c:v>
                </c:pt>
                <c:pt idx="1421">
                  <c:v>37</c:v>
                </c:pt>
                <c:pt idx="1422">
                  <c:v>20</c:v>
                </c:pt>
                <c:pt idx="1423">
                  <c:v>41</c:v>
                </c:pt>
                <c:pt idx="1424">
                  <c:v>21</c:v>
                </c:pt>
                <c:pt idx="1425">
                  <c:v>22</c:v>
                </c:pt>
                <c:pt idx="1426">
                  <c:v>40</c:v>
                </c:pt>
                <c:pt idx="1427">
                  <c:v>32</c:v>
                </c:pt>
                <c:pt idx="1428">
                  <c:v>36</c:v>
                </c:pt>
                <c:pt idx="1429">
                  <c:v>27</c:v>
                </c:pt>
                <c:pt idx="1430">
                  <c:v>26</c:v>
                </c:pt>
                <c:pt idx="1431">
                  <c:v>30</c:v>
                </c:pt>
                <c:pt idx="1432">
                  <c:v>23</c:v>
                </c:pt>
                <c:pt idx="1433">
                  <c:v>29</c:v>
                </c:pt>
                <c:pt idx="1434">
                  <c:v>21</c:v>
                </c:pt>
                <c:pt idx="1435">
                  <c:v>34</c:v>
                </c:pt>
                <c:pt idx="1436">
                  <c:v>26</c:v>
                </c:pt>
                <c:pt idx="1437">
                  <c:v>60</c:v>
                </c:pt>
                <c:pt idx="1438">
                  <c:v>35</c:v>
                </c:pt>
                <c:pt idx="1439">
                  <c:v>47</c:v>
                </c:pt>
                <c:pt idx="1440">
                  <c:v>20</c:v>
                </c:pt>
                <c:pt idx="1441">
                  <c:v>20</c:v>
                </c:pt>
                <c:pt idx="1442">
                  <c:v>25</c:v>
                </c:pt>
                <c:pt idx="1443">
                  <c:v>25</c:v>
                </c:pt>
                <c:pt idx="1444">
                  <c:v>27</c:v>
                </c:pt>
                <c:pt idx="1445">
                  <c:v>31</c:v>
                </c:pt>
                <c:pt idx="1446">
                  <c:v>44</c:v>
                </c:pt>
                <c:pt idx="1447">
                  <c:v>49</c:v>
                </c:pt>
                <c:pt idx="1448">
                  <c:v>26</c:v>
                </c:pt>
                <c:pt idx="1449">
                  <c:v>36</c:v>
                </c:pt>
                <c:pt idx="1450">
                  <c:v>44</c:v>
                </c:pt>
                <c:pt idx="1451">
                  <c:v>28</c:v>
                </c:pt>
                <c:pt idx="1452">
                  <c:v>45</c:v>
                </c:pt>
                <c:pt idx="1453">
                  <c:v>29</c:v>
                </c:pt>
                <c:pt idx="1454">
                  <c:v>40</c:v>
                </c:pt>
                <c:pt idx="1455">
                  <c:v>45</c:v>
                </c:pt>
                <c:pt idx="1456">
                  <c:v>44</c:v>
                </c:pt>
                <c:pt idx="1457">
                  <c:v>25</c:v>
                </c:pt>
                <c:pt idx="1458">
                  <c:v>45</c:v>
                </c:pt>
                <c:pt idx="1459">
                  <c:v>48</c:v>
                </c:pt>
                <c:pt idx="1460">
                  <c:v>44</c:v>
                </c:pt>
                <c:pt idx="1461">
                  <c:v>25</c:v>
                </c:pt>
                <c:pt idx="1462">
                  <c:v>22</c:v>
                </c:pt>
                <c:pt idx="1463">
                  <c:v>31</c:v>
                </c:pt>
                <c:pt idx="1464">
                  <c:v>21</c:v>
                </c:pt>
                <c:pt idx="1465">
                  <c:v>55</c:v>
                </c:pt>
                <c:pt idx="1466">
                  <c:v>25</c:v>
                </c:pt>
                <c:pt idx="1467">
                  <c:v>35</c:v>
                </c:pt>
                <c:pt idx="1468">
                  <c:v>35</c:v>
                </c:pt>
                <c:pt idx="1469">
                  <c:v>43</c:v>
                </c:pt>
                <c:pt idx="1470">
                  <c:v>44</c:v>
                </c:pt>
                <c:pt idx="1471">
                  <c:v>50</c:v>
                </c:pt>
                <c:pt idx="1472">
                  <c:v>48</c:v>
                </c:pt>
                <c:pt idx="1473">
                  <c:v>25</c:v>
                </c:pt>
                <c:pt idx="1474">
                  <c:v>39</c:v>
                </c:pt>
                <c:pt idx="1475">
                  <c:v>25</c:v>
                </c:pt>
                <c:pt idx="1476">
                  <c:v>32</c:v>
                </c:pt>
                <c:pt idx="1477">
                  <c:v>20</c:v>
                </c:pt>
                <c:pt idx="1478">
                  <c:v>26</c:v>
                </c:pt>
                <c:pt idx="1479">
                  <c:v>42</c:v>
                </c:pt>
                <c:pt idx="1480">
                  <c:v>21</c:v>
                </c:pt>
                <c:pt idx="1481">
                  <c:v>34</c:v>
                </c:pt>
                <c:pt idx="1482">
                  <c:v>47</c:v>
                </c:pt>
                <c:pt idx="1483">
                  <c:v>21</c:v>
                </c:pt>
                <c:pt idx="1484">
                  <c:v>48</c:v>
                </c:pt>
                <c:pt idx="1485">
                  <c:v>30</c:v>
                </c:pt>
                <c:pt idx="1486">
                  <c:v>27</c:v>
                </c:pt>
                <c:pt idx="1487">
                  <c:v>50</c:v>
                </c:pt>
                <c:pt idx="1488">
                  <c:v>38</c:v>
                </c:pt>
                <c:pt idx="1489">
                  <c:v>45</c:v>
                </c:pt>
                <c:pt idx="1490">
                  <c:v>46</c:v>
                </c:pt>
                <c:pt idx="1491">
                  <c:v>35</c:v>
                </c:pt>
                <c:pt idx="1492">
                  <c:v>29</c:v>
                </c:pt>
                <c:pt idx="1493">
                  <c:v>50</c:v>
                </c:pt>
                <c:pt idx="1494">
                  <c:v>26</c:v>
                </c:pt>
                <c:pt idx="1495">
                  <c:v>47</c:v>
                </c:pt>
                <c:pt idx="1496">
                  <c:v>23</c:v>
                </c:pt>
                <c:pt idx="1497">
                  <c:v>34</c:v>
                </c:pt>
                <c:pt idx="1498">
                  <c:v>34</c:v>
                </c:pt>
                <c:pt idx="1499">
                  <c:v>47</c:v>
                </c:pt>
                <c:pt idx="1500">
                  <c:v>45</c:v>
                </c:pt>
                <c:pt idx="1501">
                  <c:v>45</c:v>
                </c:pt>
                <c:pt idx="1502">
                  <c:v>36</c:v>
                </c:pt>
                <c:pt idx="1503">
                  <c:v>21</c:v>
                </c:pt>
                <c:pt idx="1504">
                  <c:v>28</c:v>
                </c:pt>
                <c:pt idx="1505">
                  <c:v>35</c:v>
                </c:pt>
                <c:pt idx="1506">
                  <c:v>50</c:v>
                </c:pt>
                <c:pt idx="1507">
                  <c:v>22</c:v>
                </c:pt>
                <c:pt idx="1508">
                  <c:v>45</c:v>
                </c:pt>
                <c:pt idx="1509">
                  <c:v>48</c:v>
                </c:pt>
                <c:pt idx="1510">
                  <c:v>20</c:v>
                </c:pt>
                <c:pt idx="1511">
                  <c:v>27</c:v>
                </c:pt>
                <c:pt idx="1512">
                  <c:v>38</c:v>
                </c:pt>
                <c:pt idx="1513">
                  <c:v>32</c:v>
                </c:pt>
                <c:pt idx="1514">
                  <c:v>64</c:v>
                </c:pt>
                <c:pt idx="1515">
                  <c:v>37</c:v>
                </c:pt>
                <c:pt idx="1516">
                  <c:v>28</c:v>
                </c:pt>
                <c:pt idx="1517">
                  <c:v>39</c:v>
                </c:pt>
                <c:pt idx="1518">
                  <c:v>41</c:v>
                </c:pt>
                <c:pt idx="1519">
                  <c:v>40</c:v>
                </c:pt>
                <c:pt idx="1520">
                  <c:v>49</c:v>
                </c:pt>
                <c:pt idx="1521">
                  <c:v>27</c:v>
                </c:pt>
                <c:pt idx="1522">
                  <c:v>34</c:v>
                </c:pt>
                <c:pt idx="1523">
                  <c:v>23</c:v>
                </c:pt>
                <c:pt idx="1524">
                  <c:v>31</c:v>
                </c:pt>
                <c:pt idx="1525">
                  <c:v>34</c:v>
                </c:pt>
                <c:pt idx="1526">
                  <c:v>25</c:v>
                </c:pt>
                <c:pt idx="1527">
                  <c:v>22</c:v>
                </c:pt>
                <c:pt idx="1528">
                  <c:v>32</c:v>
                </c:pt>
                <c:pt idx="1529">
                  <c:v>31</c:v>
                </c:pt>
                <c:pt idx="1530">
                  <c:v>25</c:v>
                </c:pt>
                <c:pt idx="1531">
                  <c:v>47</c:v>
                </c:pt>
                <c:pt idx="1532">
                  <c:v>21</c:v>
                </c:pt>
                <c:pt idx="1533">
                  <c:v>28</c:v>
                </c:pt>
                <c:pt idx="1534">
                  <c:v>46</c:v>
                </c:pt>
                <c:pt idx="1535">
                  <c:v>33</c:v>
                </c:pt>
                <c:pt idx="1536">
                  <c:v>43</c:v>
                </c:pt>
                <c:pt idx="1537">
                  <c:v>38</c:v>
                </c:pt>
                <c:pt idx="1538">
                  <c:v>47</c:v>
                </c:pt>
                <c:pt idx="1539">
                  <c:v>45</c:v>
                </c:pt>
                <c:pt idx="1540">
                  <c:v>20</c:v>
                </c:pt>
                <c:pt idx="1541">
                  <c:v>45</c:v>
                </c:pt>
                <c:pt idx="1542">
                  <c:v>36</c:v>
                </c:pt>
                <c:pt idx="1543">
                  <c:v>37</c:v>
                </c:pt>
                <c:pt idx="1544">
                  <c:v>31</c:v>
                </c:pt>
                <c:pt idx="1545">
                  <c:v>39</c:v>
                </c:pt>
                <c:pt idx="1546">
                  <c:v>26</c:v>
                </c:pt>
                <c:pt idx="1547">
                  <c:v>32</c:v>
                </c:pt>
                <c:pt idx="1548">
                  <c:v>20</c:v>
                </c:pt>
                <c:pt idx="1549">
                  <c:v>42</c:v>
                </c:pt>
                <c:pt idx="1550">
                  <c:v>33</c:v>
                </c:pt>
                <c:pt idx="1551">
                  <c:v>20</c:v>
                </c:pt>
                <c:pt idx="1552">
                  <c:v>29</c:v>
                </c:pt>
                <c:pt idx="1553">
                  <c:v>23</c:v>
                </c:pt>
                <c:pt idx="1554">
                  <c:v>39</c:v>
                </c:pt>
                <c:pt idx="1555">
                  <c:v>20</c:v>
                </c:pt>
                <c:pt idx="1556">
                  <c:v>45</c:v>
                </c:pt>
                <c:pt idx="1557">
                  <c:v>20</c:v>
                </c:pt>
                <c:pt idx="1558">
                  <c:v>48</c:v>
                </c:pt>
                <c:pt idx="1559">
                  <c:v>23</c:v>
                </c:pt>
                <c:pt idx="1560">
                  <c:v>32</c:v>
                </c:pt>
                <c:pt idx="1561">
                  <c:v>33</c:v>
                </c:pt>
                <c:pt idx="1562">
                  <c:v>61</c:v>
                </c:pt>
                <c:pt idx="1563">
                  <c:v>45</c:v>
                </c:pt>
                <c:pt idx="1564">
                  <c:v>38</c:v>
                </c:pt>
                <c:pt idx="1565">
                  <c:v>34</c:v>
                </c:pt>
                <c:pt idx="1566">
                  <c:v>43</c:v>
                </c:pt>
                <c:pt idx="1567">
                  <c:v>47</c:v>
                </c:pt>
                <c:pt idx="1568">
                  <c:v>22</c:v>
                </c:pt>
                <c:pt idx="1569">
                  <c:v>29</c:v>
                </c:pt>
                <c:pt idx="1570">
                  <c:v>28</c:v>
                </c:pt>
                <c:pt idx="1571">
                  <c:v>40</c:v>
                </c:pt>
                <c:pt idx="1572">
                  <c:v>25</c:v>
                </c:pt>
                <c:pt idx="1573">
                  <c:v>30</c:v>
                </c:pt>
                <c:pt idx="1574">
                  <c:v>38</c:v>
                </c:pt>
                <c:pt idx="1575">
                  <c:v>36</c:v>
                </c:pt>
                <c:pt idx="1576">
                  <c:v>32</c:v>
                </c:pt>
                <c:pt idx="1577">
                  <c:v>37</c:v>
                </c:pt>
                <c:pt idx="1578">
                  <c:v>30</c:v>
                </c:pt>
                <c:pt idx="1579">
                  <c:v>39</c:v>
                </c:pt>
                <c:pt idx="1580">
                  <c:v>32</c:v>
                </c:pt>
                <c:pt idx="1581">
                  <c:v>47</c:v>
                </c:pt>
                <c:pt idx="1582">
                  <c:v>26</c:v>
                </c:pt>
                <c:pt idx="1583">
                  <c:v>37</c:v>
                </c:pt>
                <c:pt idx="1584">
                  <c:v>55</c:v>
                </c:pt>
                <c:pt idx="1585">
                  <c:v>21</c:v>
                </c:pt>
                <c:pt idx="1586">
                  <c:v>23</c:v>
                </c:pt>
                <c:pt idx="1587">
                  <c:v>49</c:v>
                </c:pt>
                <c:pt idx="1588">
                  <c:v>59</c:v>
                </c:pt>
                <c:pt idx="1589">
                  <c:v>32</c:v>
                </c:pt>
                <c:pt idx="1590">
                  <c:v>43</c:v>
                </c:pt>
                <c:pt idx="1591">
                  <c:v>41</c:v>
                </c:pt>
                <c:pt idx="1592">
                  <c:v>45</c:v>
                </c:pt>
                <c:pt idx="1593">
                  <c:v>33</c:v>
                </c:pt>
                <c:pt idx="1594">
                  <c:v>40</c:v>
                </c:pt>
                <c:pt idx="1595">
                  <c:v>33</c:v>
                </c:pt>
                <c:pt idx="1596">
                  <c:v>50</c:v>
                </c:pt>
                <c:pt idx="1597">
                  <c:v>30</c:v>
                </c:pt>
                <c:pt idx="1598">
                  <c:v>41</c:v>
                </c:pt>
                <c:pt idx="1599">
                  <c:v>35</c:v>
                </c:pt>
                <c:pt idx="1600">
                  <c:v>49</c:v>
                </c:pt>
                <c:pt idx="1601">
                  <c:v>46</c:v>
                </c:pt>
                <c:pt idx="1602">
                  <c:v>48</c:v>
                </c:pt>
                <c:pt idx="1603">
                  <c:v>36</c:v>
                </c:pt>
                <c:pt idx="1604">
                  <c:v>22</c:v>
                </c:pt>
                <c:pt idx="1605">
                  <c:v>42</c:v>
                </c:pt>
                <c:pt idx="1606">
                  <c:v>21</c:v>
                </c:pt>
                <c:pt idx="1607">
                  <c:v>29</c:v>
                </c:pt>
                <c:pt idx="1608">
                  <c:v>35</c:v>
                </c:pt>
                <c:pt idx="1609">
                  <c:v>41</c:v>
                </c:pt>
                <c:pt idx="1610">
                  <c:v>29</c:v>
                </c:pt>
                <c:pt idx="1611">
                  <c:v>34</c:v>
                </c:pt>
                <c:pt idx="1612">
                  <c:v>37</c:v>
                </c:pt>
                <c:pt idx="1613">
                  <c:v>28</c:v>
                </c:pt>
                <c:pt idx="1614">
                  <c:v>49</c:v>
                </c:pt>
                <c:pt idx="1615">
                  <c:v>23</c:v>
                </c:pt>
                <c:pt idx="1616">
                  <c:v>46</c:v>
                </c:pt>
                <c:pt idx="1617">
                  <c:v>39</c:v>
                </c:pt>
                <c:pt idx="1618">
                  <c:v>22</c:v>
                </c:pt>
                <c:pt idx="1619">
                  <c:v>49</c:v>
                </c:pt>
                <c:pt idx="1620">
                  <c:v>43</c:v>
                </c:pt>
                <c:pt idx="1621">
                  <c:v>27</c:v>
                </c:pt>
                <c:pt idx="1622">
                  <c:v>31</c:v>
                </c:pt>
                <c:pt idx="1623">
                  <c:v>20</c:v>
                </c:pt>
                <c:pt idx="1624">
                  <c:v>24</c:v>
                </c:pt>
                <c:pt idx="1625">
                  <c:v>49</c:v>
                </c:pt>
                <c:pt idx="1626">
                  <c:v>24</c:v>
                </c:pt>
                <c:pt idx="1627">
                  <c:v>39</c:v>
                </c:pt>
                <c:pt idx="1628">
                  <c:v>37</c:v>
                </c:pt>
                <c:pt idx="1629">
                  <c:v>45</c:v>
                </c:pt>
                <c:pt idx="1630">
                  <c:v>45</c:v>
                </c:pt>
                <c:pt idx="1631">
                  <c:v>44</c:v>
                </c:pt>
                <c:pt idx="1632">
                  <c:v>23</c:v>
                </c:pt>
                <c:pt idx="1633">
                  <c:v>30</c:v>
                </c:pt>
                <c:pt idx="1634">
                  <c:v>26</c:v>
                </c:pt>
                <c:pt idx="1635">
                  <c:v>43</c:v>
                </c:pt>
                <c:pt idx="1636">
                  <c:v>26</c:v>
                </c:pt>
                <c:pt idx="1637">
                  <c:v>28</c:v>
                </c:pt>
                <c:pt idx="1638">
                  <c:v>27</c:v>
                </c:pt>
                <c:pt idx="1639">
                  <c:v>24</c:v>
                </c:pt>
                <c:pt idx="1640">
                  <c:v>40</c:v>
                </c:pt>
                <c:pt idx="1641">
                  <c:v>36</c:v>
                </c:pt>
                <c:pt idx="1642">
                  <c:v>21</c:v>
                </c:pt>
                <c:pt idx="1643">
                  <c:v>27</c:v>
                </c:pt>
                <c:pt idx="1644">
                  <c:v>47</c:v>
                </c:pt>
                <c:pt idx="1645">
                  <c:v>42</c:v>
                </c:pt>
                <c:pt idx="1646">
                  <c:v>32</c:v>
                </c:pt>
                <c:pt idx="1647">
                  <c:v>28</c:v>
                </c:pt>
                <c:pt idx="1648">
                  <c:v>24</c:v>
                </c:pt>
                <c:pt idx="1649">
                  <c:v>49</c:v>
                </c:pt>
                <c:pt idx="1650">
                  <c:v>46</c:v>
                </c:pt>
                <c:pt idx="1651">
                  <c:v>28</c:v>
                </c:pt>
                <c:pt idx="1652">
                  <c:v>48</c:v>
                </c:pt>
                <c:pt idx="1653">
                  <c:v>29</c:v>
                </c:pt>
                <c:pt idx="1654">
                  <c:v>47</c:v>
                </c:pt>
                <c:pt idx="1655">
                  <c:v>43</c:v>
                </c:pt>
                <c:pt idx="1656">
                  <c:v>25</c:v>
                </c:pt>
                <c:pt idx="1657">
                  <c:v>48</c:v>
                </c:pt>
                <c:pt idx="1658">
                  <c:v>24</c:v>
                </c:pt>
                <c:pt idx="1659">
                  <c:v>42</c:v>
                </c:pt>
                <c:pt idx="1660">
                  <c:v>31</c:v>
                </c:pt>
                <c:pt idx="1661">
                  <c:v>42</c:v>
                </c:pt>
                <c:pt idx="1662">
                  <c:v>37</c:v>
                </c:pt>
                <c:pt idx="1663">
                  <c:v>41</c:v>
                </c:pt>
                <c:pt idx="1664">
                  <c:v>20</c:v>
                </c:pt>
                <c:pt idx="1665">
                  <c:v>20</c:v>
                </c:pt>
                <c:pt idx="1666">
                  <c:v>70</c:v>
                </c:pt>
                <c:pt idx="1667">
                  <c:v>49</c:v>
                </c:pt>
                <c:pt idx="1668">
                  <c:v>35</c:v>
                </c:pt>
                <c:pt idx="1669">
                  <c:v>32</c:v>
                </c:pt>
                <c:pt idx="1670">
                  <c:v>29</c:v>
                </c:pt>
                <c:pt idx="1671">
                  <c:v>27</c:v>
                </c:pt>
                <c:pt idx="1672">
                  <c:v>27</c:v>
                </c:pt>
                <c:pt idx="1673">
                  <c:v>38</c:v>
                </c:pt>
                <c:pt idx="1674">
                  <c:v>35</c:v>
                </c:pt>
                <c:pt idx="1675">
                  <c:v>42</c:v>
                </c:pt>
                <c:pt idx="1676">
                  <c:v>21</c:v>
                </c:pt>
                <c:pt idx="1677">
                  <c:v>37</c:v>
                </c:pt>
                <c:pt idx="1678">
                  <c:v>26</c:v>
                </c:pt>
                <c:pt idx="1679">
                  <c:v>47</c:v>
                </c:pt>
                <c:pt idx="1680">
                  <c:v>37</c:v>
                </c:pt>
                <c:pt idx="1681">
                  <c:v>46</c:v>
                </c:pt>
                <c:pt idx="1682">
                  <c:v>38</c:v>
                </c:pt>
                <c:pt idx="1683">
                  <c:v>33</c:v>
                </c:pt>
                <c:pt idx="1684">
                  <c:v>24</c:v>
                </c:pt>
                <c:pt idx="1685">
                  <c:v>31</c:v>
                </c:pt>
                <c:pt idx="1686">
                  <c:v>42</c:v>
                </c:pt>
                <c:pt idx="1687">
                  <c:v>32</c:v>
                </c:pt>
                <c:pt idx="1688">
                  <c:v>41</c:v>
                </c:pt>
                <c:pt idx="1689">
                  <c:v>43</c:v>
                </c:pt>
                <c:pt idx="1690">
                  <c:v>20</c:v>
                </c:pt>
                <c:pt idx="1691">
                  <c:v>35</c:v>
                </c:pt>
                <c:pt idx="1692">
                  <c:v>27</c:v>
                </c:pt>
                <c:pt idx="1693">
                  <c:v>43</c:v>
                </c:pt>
                <c:pt idx="1694">
                  <c:v>32</c:v>
                </c:pt>
                <c:pt idx="1695">
                  <c:v>21</c:v>
                </c:pt>
                <c:pt idx="1696">
                  <c:v>20</c:v>
                </c:pt>
                <c:pt idx="1697">
                  <c:v>22</c:v>
                </c:pt>
                <c:pt idx="1698">
                  <c:v>36</c:v>
                </c:pt>
                <c:pt idx="1699">
                  <c:v>46</c:v>
                </c:pt>
                <c:pt idx="1700">
                  <c:v>47</c:v>
                </c:pt>
                <c:pt idx="1701">
                  <c:v>45</c:v>
                </c:pt>
                <c:pt idx="1702">
                  <c:v>47</c:v>
                </c:pt>
                <c:pt idx="1703">
                  <c:v>47</c:v>
                </c:pt>
                <c:pt idx="1704">
                  <c:v>38</c:v>
                </c:pt>
                <c:pt idx="1705">
                  <c:v>49</c:v>
                </c:pt>
                <c:pt idx="1706">
                  <c:v>35</c:v>
                </c:pt>
                <c:pt idx="1707">
                  <c:v>49</c:v>
                </c:pt>
                <c:pt idx="1708">
                  <c:v>28</c:v>
                </c:pt>
                <c:pt idx="1709">
                  <c:v>30</c:v>
                </c:pt>
                <c:pt idx="1710">
                  <c:v>39</c:v>
                </c:pt>
                <c:pt idx="1711">
                  <c:v>25</c:v>
                </c:pt>
                <c:pt idx="1712">
                  <c:v>40</c:v>
                </c:pt>
                <c:pt idx="1713">
                  <c:v>36</c:v>
                </c:pt>
                <c:pt idx="1714">
                  <c:v>76</c:v>
                </c:pt>
                <c:pt idx="1715">
                  <c:v>39</c:v>
                </c:pt>
                <c:pt idx="1716">
                  <c:v>44</c:v>
                </c:pt>
                <c:pt idx="1717">
                  <c:v>24</c:v>
                </c:pt>
                <c:pt idx="1718">
                  <c:v>39</c:v>
                </c:pt>
                <c:pt idx="1719">
                  <c:v>21</c:v>
                </c:pt>
                <c:pt idx="1720">
                  <c:v>30</c:v>
                </c:pt>
                <c:pt idx="1721">
                  <c:v>27</c:v>
                </c:pt>
                <c:pt idx="1722">
                  <c:v>37</c:v>
                </c:pt>
                <c:pt idx="1723">
                  <c:v>42</c:v>
                </c:pt>
                <c:pt idx="1724">
                  <c:v>32</c:v>
                </c:pt>
                <c:pt idx="1725">
                  <c:v>42</c:v>
                </c:pt>
                <c:pt idx="1726">
                  <c:v>21</c:v>
                </c:pt>
                <c:pt idx="1727">
                  <c:v>33</c:v>
                </c:pt>
                <c:pt idx="1728">
                  <c:v>49</c:v>
                </c:pt>
                <c:pt idx="1729">
                  <c:v>31</c:v>
                </c:pt>
                <c:pt idx="1730">
                  <c:v>38</c:v>
                </c:pt>
                <c:pt idx="1731">
                  <c:v>20</c:v>
                </c:pt>
                <c:pt idx="1732">
                  <c:v>39</c:v>
                </c:pt>
                <c:pt idx="1733">
                  <c:v>48</c:v>
                </c:pt>
                <c:pt idx="1734">
                  <c:v>39</c:v>
                </c:pt>
                <c:pt idx="1735">
                  <c:v>30</c:v>
                </c:pt>
                <c:pt idx="1736">
                  <c:v>33</c:v>
                </c:pt>
                <c:pt idx="1737">
                  <c:v>36</c:v>
                </c:pt>
                <c:pt idx="1738">
                  <c:v>36</c:v>
                </c:pt>
                <c:pt idx="1739">
                  <c:v>45</c:v>
                </c:pt>
                <c:pt idx="1740">
                  <c:v>40</c:v>
                </c:pt>
                <c:pt idx="1741">
                  <c:v>46</c:v>
                </c:pt>
                <c:pt idx="1742">
                  <c:v>30</c:v>
                </c:pt>
                <c:pt idx="1743">
                  <c:v>31</c:v>
                </c:pt>
                <c:pt idx="1744">
                  <c:v>49</c:v>
                </c:pt>
                <c:pt idx="1745">
                  <c:v>41</c:v>
                </c:pt>
                <c:pt idx="1746">
                  <c:v>35</c:v>
                </c:pt>
                <c:pt idx="1747">
                  <c:v>27</c:v>
                </c:pt>
                <c:pt idx="1748">
                  <c:v>23</c:v>
                </c:pt>
                <c:pt idx="1749">
                  <c:v>21</c:v>
                </c:pt>
                <c:pt idx="1750">
                  <c:v>34</c:v>
                </c:pt>
                <c:pt idx="1751">
                  <c:v>22</c:v>
                </c:pt>
                <c:pt idx="1752">
                  <c:v>48</c:v>
                </c:pt>
                <c:pt idx="1753">
                  <c:v>43</c:v>
                </c:pt>
                <c:pt idx="1754">
                  <c:v>32</c:v>
                </c:pt>
                <c:pt idx="1755">
                  <c:v>20</c:v>
                </c:pt>
                <c:pt idx="1756">
                  <c:v>24</c:v>
                </c:pt>
                <c:pt idx="1757">
                  <c:v>40</c:v>
                </c:pt>
                <c:pt idx="1758">
                  <c:v>30</c:v>
                </c:pt>
                <c:pt idx="1759">
                  <c:v>21</c:v>
                </c:pt>
                <c:pt idx="1760">
                  <c:v>25</c:v>
                </c:pt>
                <c:pt idx="1761">
                  <c:v>34</c:v>
                </c:pt>
                <c:pt idx="1762">
                  <c:v>48</c:v>
                </c:pt>
                <c:pt idx="1763">
                  <c:v>55</c:v>
                </c:pt>
                <c:pt idx="1764">
                  <c:v>25</c:v>
                </c:pt>
                <c:pt idx="1765">
                  <c:v>38</c:v>
                </c:pt>
                <c:pt idx="1766">
                  <c:v>39</c:v>
                </c:pt>
                <c:pt idx="1767">
                  <c:v>28</c:v>
                </c:pt>
                <c:pt idx="1768">
                  <c:v>24</c:v>
                </c:pt>
                <c:pt idx="1769">
                  <c:v>21</c:v>
                </c:pt>
                <c:pt idx="1770">
                  <c:v>46</c:v>
                </c:pt>
                <c:pt idx="1771">
                  <c:v>25</c:v>
                </c:pt>
                <c:pt idx="1772">
                  <c:v>34</c:v>
                </c:pt>
                <c:pt idx="1773">
                  <c:v>25</c:v>
                </c:pt>
                <c:pt idx="1774">
                  <c:v>23</c:v>
                </c:pt>
                <c:pt idx="1775">
                  <c:v>20</c:v>
                </c:pt>
                <c:pt idx="1776">
                  <c:v>23</c:v>
                </c:pt>
                <c:pt idx="1777">
                  <c:v>42</c:v>
                </c:pt>
                <c:pt idx="1778">
                  <c:v>27</c:v>
                </c:pt>
                <c:pt idx="1779">
                  <c:v>33</c:v>
                </c:pt>
                <c:pt idx="1780">
                  <c:v>28</c:v>
                </c:pt>
                <c:pt idx="1781">
                  <c:v>43</c:v>
                </c:pt>
                <c:pt idx="1782">
                  <c:v>48</c:v>
                </c:pt>
                <c:pt idx="1783">
                  <c:v>48</c:v>
                </c:pt>
                <c:pt idx="1784">
                  <c:v>45</c:v>
                </c:pt>
                <c:pt idx="1785">
                  <c:v>43</c:v>
                </c:pt>
                <c:pt idx="1786">
                  <c:v>44</c:v>
                </c:pt>
                <c:pt idx="1787">
                  <c:v>24</c:v>
                </c:pt>
                <c:pt idx="1788">
                  <c:v>31</c:v>
                </c:pt>
                <c:pt idx="1789">
                  <c:v>44</c:v>
                </c:pt>
                <c:pt idx="1790">
                  <c:v>59</c:v>
                </c:pt>
                <c:pt idx="1791">
                  <c:v>55</c:v>
                </c:pt>
                <c:pt idx="1792">
                  <c:v>29</c:v>
                </c:pt>
                <c:pt idx="1793">
                  <c:v>39</c:v>
                </c:pt>
                <c:pt idx="1794">
                  <c:v>20</c:v>
                </c:pt>
                <c:pt idx="1795">
                  <c:v>25</c:v>
                </c:pt>
                <c:pt idx="1796">
                  <c:v>42</c:v>
                </c:pt>
                <c:pt idx="1797">
                  <c:v>36</c:v>
                </c:pt>
                <c:pt idx="1798">
                  <c:v>37</c:v>
                </c:pt>
                <c:pt idx="1799">
                  <c:v>30</c:v>
                </c:pt>
                <c:pt idx="1800">
                  <c:v>21</c:v>
                </c:pt>
                <c:pt idx="1801">
                  <c:v>34</c:v>
                </c:pt>
                <c:pt idx="1802">
                  <c:v>42</c:v>
                </c:pt>
                <c:pt idx="1803">
                  <c:v>20</c:v>
                </c:pt>
                <c:pt idx="1804">
                  <c:v>40</c:v>
                </c:pt>
                <c:pt idx="1805">
                  <c:v>34</c:v>
                </c:pt>
                <c:pt idx="1806">
                  <c:v>31</c:v>
                </c:pt>
                <c:pt idx="1807">
                  <c:v>36</c:v>
                </c:pt>
                <c:pt idx="1808">
                  <c:v>48</c:v>
                </c:pt>
                <c:pt idx="1809">
                  <c:v>33</c:v>
                </c:pt>
                <c:pt idx="1810">
                  <c:v>37</c:v>
                </c:pt>
                <c:pt idx="1811">
                  <c:v>27</c:v>
                </c:pt>
                <c:pt idx="1812">
                  <c:v>39</c:v>
                </c:pt>
                <c:pt idx="1813">
                  <c:v>36</c:v>
                </c:pt>
                <c:pt idx="1814">
                  <c:v>36</c:v>
                </c:pt>
                <c:pt idx="1815">
                  <c:v>41</c:v>
                </c:pt>
                <c:pt idx="1816">
                  <c:v>37</c:v>
                </c:pt>
                <c:pt idx="1817">
                  <c:v>47</c:v>
                </c:pt>
                <c:pt idx="1818">
                  <c:v>15</c:v>
                </c:pt>
                <c:pt idx="1819">
                  <c:v>44</c:v>
                </c:pt>
                <c:pt idx="1820">
                  <c:v>35</c:v>
                </c:pt>
                <c:pt idx="1821">
                  <c:v>41</c:v>
                </c:pt>
                <c:pt idx="1822">
                  <c:v>49</c:v>
                </c:pt>
                <c:pt idx="1823">
                  <c:v>31</c:v>
                </c:pt>
                <c:pt idx="1824">
                  <c:v>20</c:v>
                </c:pt>
                <c:pt idx="1825">
                  <c:v>45</c:v>
                </c:pt>
                <c:pt idx="1826">
                  <c:v>33</c:v>
                </c:pt>
                <c:pt idx="1827">
                  <c:v>47</c:v>
                </c:pt>
                <c:pt idx="1828">
                  <c:v>20</c:v>
                </c:pt>
                <c:pt idx="1829">
                  <c:v>47</c:v>
                </c:pt>
                <c:pt idx="1830">
                  <c:v>40</c:v>
                </c:pt>
                <c:pt idx="1831">
                  <c:v>30</c:v>
                </c:pt>
                <c:pt idx="1832">
                  <c:v>22</c:v>
                </c:pt>
                <c:pt idx="1833">
                  <c:v>27</c:v>
                </c:pt>
                <c:pt idx="1834">
                  <c:v>34</c:v>
                </c:pt>
                <c:pt idx="1835">
                  <c:v>46</c:v>
                </c:pt>
                <c:pt idx="1836">
                  <c:v>31</c:v>
                </c:pt>
                <c:pt idx="1837">
                  <c:v>24</c:v>
                </c:pt>
                <c:pt idx="1838">
                  <c:v>41</c:v>
                </c:pt>
                <c:pt idx="1839">
                  <c:v>55</c:v>
                </c:pt>
                <c:pt idx="1840">
                  <c:v>30</c:v>
                </c:pt>
                <c:pt idx="1841">
                  <c:v>33</c:v>
                </c:pt>
                <c:pt idx="1842">
                  <c:v>43</c:v>
                </c:pt>
                <c:pt idx="1843">
                  <c:v>27</c:v>
                </c:pt>
                <c:pt idx="1844">
                  <c:v>60</c:v>
                </c:pt>
                <c:pt idx="1845">
                  <c:v>27</c:v>
                </c:pt>
                <c:pt idx="1846">
                  <c:v>49</c:v>
                </c:pt>
                <c:pt idx="1847">
                  <c:v>31</c:v>
                </c:pt>
                <c:pt idx="1848">
                  <c:v>20</c:v>
                </c:pt>
                <c:pt idx="1849">
                  <c:v>24</c:v>
                </c:pt>
                <c:pt idx="1850">
                  <c:v>33</c:v>
                </c:pt>
                <c:pt idx="1851">
                  <c:v>32</c:v>
                </c:pt>
                <c:pt idx="1852">
                  <c:v>40</c:v>
                </c:pt>
                <c:pt idx="1853">
                  <c:v>27</c:v>
                </c:pt>
                <c:pt idx="1854">
                  <c:v>40</c:v>
                </c:pt>
                <c:pt idx="1855">
                  <c:v>26</c:v>
                </c:pt>
                <c:pt idx="1856">
                  <c:v>44</c:v>
                </c:pt>
                <c:pt idx="1857">
                  <c:v>33</c:v>
                </c:pt>
                <c:pt idx="1858">
                  <c:v>34</c:v>
                </c:pt>
                <c:pt idx="1859">
                  <c:v>48</c:v>
                </c:pt>
                <c:pt idx="1860">
                  <c:v>25</c:v>
                </c:pt>
                <c:pt idx="1861">
                  <c:v>39</c:v>
                </c:pt>
                <c:pt idx="1862">
                  <c:v>45</c:v>
                </c:pt>
                <c:pt idx="1863">
                  <c:v>24</c:v>
                </c:pt>
                <c:pt idx="1864">
                  <c:v>46</c:v>
                </c:pt>
                <c:pt idx="1865">
                  <c:v>44</c:v>
                </c:pt>
                <c:pt idx="1866">
                  <c:v>13</c:v>
                </c:pt>
                <c:pt idx="1867">
                  <c:v>35</c:v>
                </c:pt>
                <c:pt idx="1868">
                  <c:v>30</c:v>
                </c:pt>
                <c:pt idx="1869">
                  <c:v>34</c:v>
                </c:pt>
                <c:pt idx="1870">
                  <c:v>27</c:v>
                </c:pt>
                <c:pt idx="1871">
                  <c:v>30</c:v>
                </c:pt>
                <c:pt idx="1872">
                  <c:v>50</c:v>
                </c:pt>
                <c:pt idx="1873">
                  <c:v>34</c:v>
                </c:pt>
                <c:pt idx="1874">
                  <c:v>23</c:v>
                </c:pt>
                <c:pt idx="1875">
                  <c:v>48</c:v>
                </c:pt>
                <c:pt idx="1876">
                  <c:v>34</c:v>
                </c:pt>
                <c:pt idx="1877">
                  <c:v>48</c:v>
                </c:pt>
                <c:pt idx="1878">
                  <c:v>24</c:v>
                </c:pt>
                <c:pt idx="1879">
                  <c:v>47</c:v>
                </c:pt>
                <c:pt idx="1880">
                  <c:v>24</c:v>
                </c:pt>
                <c:pt idx="1881">
                  <c:v>47</c:v>
                </c:pt>
                <c:pt idx="1882">
                  <c:v>20</c:v>
                </c:pt>
                <c:pt idx="1883">
                  <c:v>20</c:v>
                </c:pt>
                <c:pt idx="1884">
                  <c:v>31</c:v>
                </c:pt>
                <c:pt idx="1885">
                  <c:v>38</c:v>
                </c:pt>
                <c:pt idx="1886">
                  <c:v>26</c:v>
                </c:pt>
                <c:pt idx="1887">
                  <c:v>25</c:v>
                </c:pt>
                <c:pt idx="1888">
                  <c:v>48</c:v>
                </c:pt>
                <c:pt idx="1889">
                  <c:v>44</c:v>
                </c:pt>
                <c:pt idx="1890">
                  <c:v>21</c:v>
                </c:pt>
                <c:pt idx="1891">
                  <c:v>46</c:v>
                </c:pt>
                <c:pt idx="1892">
                  <c:v>46</c:v>
                </c:pt>
                <c:pt idx="1893">
                  <c:v>55</c:v>
                </c:pt>
                <c:pt idx="1894">
                  <c:v>31</c:v>
                </c:pt>
                <c:pt idx="1895">
                  <c:v>20</c:v>
                </c:pt>
                <c:pt idx="1896">
                  <c:v>29</c:v>
                </c:pt>
                <c:pt idx="1897">
                  <c:v>33</c:v>
                </c:pt>
                <c:pt idx="1898">
                  <c:v>34</c:v>
                </c:pt>
                <c:pt idx="1899">
                  <c:v>32</c:v>
                </c:pt>
                <c:pt idx="1900">
                  <c:v>27</c:v>
                </c:pt>
                <c:pt idx="1901">
                  <c:v>21</c:v>
                </c:pt>
                <c:pt idx="1902">
                  <c:v>27</c:v>
                </c:pt>
                <c:pt idx="1903">
                  <c:v>36</c:v>
                </c:pt>
                <c:pt idx="1904">
                  <c:v>43</c:v>
                </c:pt>
                <c:pt idx="1905">
                  <c:v>25</c:v>
                </c:pt>
                <c:pt idx="1906">
                  <c:v>46</c:v>
                </c:pt>
                <c:pt idx="1907">
                  <c:v>24</c:v>
                </c:pt>
                <c:pt idx="1908">
                  <c:v>39</c:v>
                </c:pt>
                <c:pt idx="1909">
                  <c:v>31</c:v>
                </c:pt>
                <c:pt idx="1910">
                  <c:v>22</c:v>
                </c:pt>
                <c:pt idx="1911">
                  <c:v>47</c:v>
                </c:pt>
                <c:pt idx="1912">
                  <c:v>20</c:v>
                </c:pt>
                <c:pt idx="1913">
                  <c:v>29</c:v>
                </c:pt>
                <c:pt idx="1914">
                  <c:v>38</c:v>
                </c:pt>
                <c:pt idx="1915">
                  <c:v>34</c:v>
                </c:pt>
                <c:pt idx="1916">
                  <c:v>46</c:v>
                </c:pt>
                <c:pt idx="1917">
                  <c:v>35</c:v>
                </c:pt>
                <c:pt idx="1918">
                  <c:v>34</c:v>
                </c:pt>
                <c:pt idx="1919">
                  <c:v>38</c:v>
                </c:pt>
                <c:pt idx="1920">
                  <c:v>18</c:v>
                </c:pt>
                <c:pt idx="1921">
                  <c:v>37</c:v>
                </c:pt>
                <c:pt idx="1922">
                  <c:v>43</c:v>
                </c:pt>
                <c:pt idx="1923">
                  <c:v>27</c:v>
                </c:pt>
                <c:pt idx="1924">
                  <c:v>30</c:v>
                </c:pt>
                <c:pt idx="1925">
                  <c:v>22</c:v>
                </c:pt>
                <c:pt idx="1926">
                  <c:v>49</c:v>
                </c:pt>
                <c:pt idx="1927">
                  <c:v>46</c:v>
                </c:pt>
                <c:pt idx="1928">
                  <c:v>48</c:v>
                </c:pt>
                <c:pt idx="1929">
                  <c:v>46</c:v>
                </c:pt>
                <c:pt idx="1930">
                  <c:v>48</c:v>
                </c:pt>
                <c:pt idx="1931">
                  <c:v>27</c:v>
                </c:pt>
                <c:pt idx="1932">
                  <c:v>43</c:v>
                </c:pt>
                <c:pt idx="1933">
                  <c:v>48</c:v>
                </c:pt>
                <c:pt idx="1934">
                  <c:v>41</c:v>
                </c:pt>
                <c:pt idx="1935">
                  <c:v>22</c:v>
                </c:pt>
                <c:pt idx="1936">
                  <c:v>46</c:v>
                </c:pt>
                <c:pt idx="1937">
                  <c:v>21</c:v>
                </c:pt>
                <c:pt idx="1938">
                  <c:v>31</c:v>
                </c:pt>
                <c:pt idx="1939">
                  <c:v>26</c:v>
                </c:pt>
                <c:pt idx="1940">
                  <c:v>20</c:v>
                </c:pt>
                <c:pt idx="1941">
                  <c:v>34</c:v>
                </c:pt>
                <c:pt idx="1942">
                  <c:v>43</c:v>
                </c:pt>
                <c:pt idx="1943">
                  <c:v>26</c:v>
                </c:pt>
                <c:pt idx="1944">
                  <c:v>50</c:v>
                </c:pt>
                <c:pt idx="1945">
                  <c:v>35</c:v>
                </c:pt>
                <c:pt idx="1946">
                  <c:v>50</c:v>
                </c:pt>
                <c:pt idx="1947">
                  <c:v>23</c:v>
                </c:pt>
                <c:pt idx="1948">
                  <c:v>37</c:v>
                </c:pt>
                <c:pt idx="1949">
                  <c:v>29</c:v>
                </c:pt>
                <c:pt idx="1950">
                  <c:v>21</c:v>
                </c:pt>
                <c:pt idx="1951">
                  <c:v>36</c:v>
                </c:pt>
                <c:pt idx="1952">
                  <c:v>22</c:v>
                </c:pt>
                <c:pt idx="1953">
                  <c:v>22</c:v>
                </c:pt>
                <c:pt idx="1954">
                  <c:v>46</c:v>
                </c:pt>
                <c:pt idx="1955">
                  <c:v>23</c:v>
                </c:pt>
                <c:pt idx="1956">
                  <c:v>49</c:v>
                </c:pt>
                <c:pt idx="1957">
                  <c:v>48</c:v>
                </c:pt>
                <c:pt idx="1958">
                  <c:v>33</c:v>
                </c:pt>
                <c:pt idx="1959">
                  <c:v>22</c:v>
                </c:pt>
                <c:pt idx="1960">
                  <c:v>22</c:v>
                </c:pt>
                <c:pt idx="1961">
                  <c:v>25</c:v>
                </c:pt>
                <c:pt idx="1962">
                  <c:v>20</c:v>
                </c:pt>
                <c:pt idx="1963">
                  <c:v>42</c:v>
                </c:pt>
                <c:pt idx="1964">
                  <c:v>25</c:v>
                </c:pt>
                <c:pt idx="1965">
                  <c:v>23</c:v>
                </c:pt>
                <c:pt idx="1966">
                  <c:v>37</c:v>
                </c:pt>
                <c:pt idx="1967">
                  <c:v>37</c:v>
                </c:pt>
                <c:pt idx="1968">
                  <c:v>42</c:v>
                </c:pt>
                <c:pt idx="1969">
                  <c:v>51</c:v>
                </c:pt>
                <c:pt idx="1970">
                  <c:v>40</c:v>
                </c:pt>
                <c:pt idx="1971">
                  <c:v>43</c:v>
                </c:pt>
                <c:pt idx="1972">
                  <c:v>47</c:v>
                </c:pt>
                <c:pt idx="1973">
                  <c:v>23</c:v>
                </c:pt>
                <c:pt idx="1974">
                  <c:v>35</c:v>
                </c:pt>
                <c:pt idx="1975">
                  <c:v>34</c:v>
                </c:pt>
                <c:pt idx="1976">
                  <c:v>25</c:v>
                </c:pt>
                <c:pt idx="1977">
                  <c:v>45</c:v>
                </c:pt>
                <c:pt idx="1978">
                  <c:v>47</c:v>
                </c:pt>
                <c:pt idx="1979">
                  <c:v>49</c:v>
                </c:pt>
                <c:pt idx="1980">
                  <c:v>40</c:v>
                </c:pt>
                <c:pt idx="1981">
                  <c:v>29</c:v>
                </c:pt>
                <c:pt idx="1982">
                  <c:v>39</c:v>
                </c:pt>
                <c:pt idx="1983">
                  <c:v>24</c:v>
                </c:pt>
                <c:pt idx="1984">
                  <c:v>25</c:v>
                </c:pt>
                <c:pt idx="1985">
                  <c:v>36</c:v>
                </c:pt>
                <c:pt idx="1986">
                  <c:v>50</c:v>
                </c:pt>
                <c:pt idx="1987">
                  <c:v>45</c:v>
                </c:pt>
                <c:pt idx="1988">
                  <c:v>26</c:v>
                </c:pt>
                <c:pt idx="1989">
                  <c:v>21</c:v>
                </c:pt>
                <c:pt idx="1990">
                  <c:v>42</c:v>
                </c:pt>
                <c:pt idx="1991">
                  <c:v>32</c:v>
                </c:pt>
                <c:pt idx="1992">
                  <c:v>31</c:v>
                </c:pt>
                <c:pt idx="1993">
                  <c:v>33</c:v>
                </c:pt>
                <c:pt idx="1994">
                  <c:v>45</c:v>
                </c:pt>
                <c:pt idx="1995">
                  <c:v>76</c:v>
                </c:pt>
                <c:pt idx="1996">
                  <c:v>70</c:v>
                </c:pt>
                <c:pt idx="1997">
                  <c:v>50</c:v>
                </c:pt>
                <c:pt idx="1998">
                  <c:v>28</c:v>
                </c:pt>
                <c:pt idx="1999">
                  <c:v>50</c:v>
                </c:pt>
                <c:pt idx="2000">
                  <c:v>28</c:v>
                </c:pt>
                <c:pt idx="2001">
                  <c:v>44</c:v>
                </c:pt>
                <c:pt idx="2002">
                  <c:v>27</c:v>
                </c:pt>
                <c:pt idx="2003">
                  <c:v>30</c:v>
                </c:pt>
                <c:pt idx="2004">
                  <c:v>43</c:v>
                </c:pt>
                <c:pt idx="2005">
                  <c:v>29</c:v>
                </c:pt>
                <c:pt idx="2006">
                  <c:v>48</c:v>
                </c:pt>
                <c:pt idx="2007">
                  <c:v>33</c:v>
                </c:pt>
                <c:pt idx="2008">
                  <c:v>40</c:v>
                </c:pt>
                <c:pt idx="2009">
                  <c:v>48</c:v>
                </c:pt>
                <c:pt idx="2010">
                  <c:v>41</c:v>
                </c:pt>
                <c:pt idx="2011">
                  <c:v>21</c:v>
                </c:pt>
                <c:pt idx="2012">
                  <c:v>32</c:v>
                </c:pt>
                <c:pt idx="2013">
                  <c:v>43</c:v>
                </c:pt>
                <c:pt idx="2014">
                  <c:v>30</c:v>
                </c:pt>
                <c:pt idx="2015">
                  <c:v>35</c:v>
                </c:pt>
                <c:pt idx="2016">
                  <c:v>45</c:v>
                </c:pt>
                <c:pt idx="2017">
                  <c:v>34</c:v>
                </c:pt>
                <c:pt idx="2018">
                  <c:v>26</c:v>
                </c:pt>
                <c:pt idx="2019">
                  <c:v>39</c:v>
                </c:pt>
                <c:pt idx="2020">
                  <c:v>41</c:v>
                </c:pt>
                <c:pt idx="2021">
                  <c:v>41</c:v>
                </c:pt>
                <c:pt idx="2022">
                  <c:v>64</c:v>
                </c:pt>
                <c:pt idx="2023">
                  <c:v>18</c:v>
                </c:pt>
                <c:pt idx="2024">
                  <c:v>49</c:v>
                </c:pt>
                <c:pt idx="2025">
                  <c:v>48</c:v>
                </c:pt>
                <c:pt idx="2026">
                  <c:v>46</c:v>
                </c:pt>
                <c:pt idx="2027">
                  <c:v>26</c:v>
                </c:pt>
                <c:pt idx="2028">
                  <c:v>37</c:v>
                </c:pt>
                <c:pt idx="2029">
                  <c:v>35</c:v>
                </c:pt>
                <c:pt idx="2030">
                  <c:v>23</c:v>
                </c:pt>
                <c:pt idx="2031">
                  <c:v>22</c:v>
                </c:pt>
                <c:pt idx="2032">
                  <c:v>39</c:v>
                </c:pt>
                <c:pt idx="2033">
                  <c:v>44</c:v>
                </c:pt>
                <c:pt idx="2034">
                  <c:v>27</c:v>
                </c:pt>
                <c:pt idx="2035">
                  <c:v>46</c:v>
                </c:pt>
                <c:pt idx="2036">
                  <c:v>33</c:v>
                </c:pt>
                <c:pt idx="2037">
                  <c:v>33</c:v>
                </c:pt>
                <c:pt idx="2038">
                  <c:v>24</c:v>
                </c:pt>
                <c:pt idx="2039">
                  <c:v>31</c:v>
                </c:pt>
                <c:pt idx="2040">
                  <c:v>41</c:v>
                </c:pt>
                <c:pt idx="2041">
                  <c:v>22</c:v>
                </c:pt>
                <c:pt idx="2042">
                  <c:v>46</c:v>
                </c:pt>
                <c:pt idx="2043">
                  <c:v>43</c:v>
                </c:pt>
                <c:pt idx="2044">
                  <c:v>15</c:v>
                </c:pt>
                <c:pt idx="2045">
                  <c:v>15</c:v>
                </c:pt>
                <c:pt idx="2046">
                  <c:v>26</c:v>
                </c:pt>
                <c:pt idx="2047">
                  <c:v>44</c:v>
                </c:pt>
                <c:pt idx="2048">
                  <c:v>20</c:v>
                </c:pt>
                <c:pt idx="2049">
                  <c:v>40</c:v>
                </c:pt>
                <c:pt idx="2050">
                  <c:v>23</c:v>
                </c:pt>
                <c:pt idx="2051">
                  <c:v>24</c:v>
                </c:pt>
                <c:pt idx="2052">
                  <c:v>29</c:v>
                </c:pt>
                <c:pt idx="2053">
                  <c:v>49</c:v>
                </c:pt>
                <c:pt idx="2054">
                  <c:v>34</c:v>
                </c:pt>
                <c:pt idx="2055">
                  <c:v>28</c:v>
                </c:pt>
                <c:pt idx="2056">
                  <c:v>37</c:v>
                </c:pt>
                <c:pt idx="2057">
                  <c:v>45</c:v>
                </c:pt>
                <c:pt idx="2058">
                  <c:v>46</c:v>
                </c:pt>
                <c:pt idx="2059">
                  <c:v>22</c:v>
                </c:pt>
                <c:pt idx="2060">
                  <c:v>39</c:v>
                </c:pt>
                <c:pt idx="2061">
                  <c:v>27</c:v>
                </c:pt>
                <c:pt idx="2062">
                  <c:v>36</c:v>
                </c:pt>
                <c:pt idx="2063">
                  <c:v>38</c:v>
                </c:pt>
                <c:pt idx="2064">
                  <c:v>44</c:v>
                </c:pt>
                <c:pt idx="2065">
                  <c:v>31</c:v>
                </c:pt>
                <c:pt idx="2066">
                  <c:v>23</c:v>
                </c:pt>
                <c:pt idx="2067">
                  <c:v>22</c:v>
                </c:pt>
                <c:pt idx="2068">
                  <c:v>28</c:v>
                </c:pt>
                <c:pt idx="2069">
                  <c:v>21</c:v>
                </c:pt>
                <c:pt idx="2070">
                  <c:v>37</c:v>
                </c:pt>
                <c:pt idx="2071">
                  <c:v>31</c:v>
                </c:pt>
                <c:pt idx="2072">
                  <c:v>25</c:v>
                </c:pt>
                <c:pt idx="2073">
                  <c:v>26</c:v>
                </c:pt>
                <c:pt idx="2074">
                  <c:v>34</c:v>
                </c:pt>
                <c:pt idx="2075">
                  <c:v>29</c:v>
                </c:pt>
                <c:pt idx="2076">
                  <c:v>20</c:v>
                </c:pt>
                <c:pt idx="2077">
                  <c:v>42</c:v>
                </c:pt>
                <c:pt idx="2078">
                  <c:v>22</c:v>
                </c:pt>
                <c:pt idx="2079">
                  <c:v>47</c:v>
                </c:pt>
                <c:pt idx="2080">
                  <c:v>20</c:v>
                </c:pt>
                <c:pt idx="2081">
                  <c:v>33</c:v>
                </c:pt>
                <c:pt idx="2082">
                  <c:v>39</c:v>
                </c:pt>
                <c:pt idx="2083">
                  <c:v>33</c:v>
                </c:pt>
                <c:pt idx="2084">
                  <c:v>40</c:v>
                </c:pt>
                <c:pt idx="2085">
                  <c:v>46</c:v>
                </c:pt>
                <c:pt idx="2086">
                  <c:v>48</c:v>
                </c:pt>
                <c:pt idx="2087">
                  <c:v>21</c:v>
                </c:pt>
                <c:pt idx="2088">
                  <c:v>45</c:v>
                </c:pt>
                <c:pt idx="2089">
                  <c:v>33</c:v>
                </c:pt>
                <c:pt idx="2090">
                  <c:v>44</c:v>
                </c:pt>
                <c:pt idx="2091">
                  <c:v>33</c:v>
                </c:pt>
                <c:pt idx="2092">
                  <c:v>39</c:v>
                </c:pt>
                <c:pt idx="2093">
                  <c:v>39</c:v>
                </c:pt>
                <c:pt idx="2094">
                  <c:v>41</c:v>
                </c:pt>
                <c:pt idx="2095">
                  <c:v>40</c:v>
                </c:pt>
                <c:pt idx="2096">
                  <c:v>33</c:v>
                </c:pt>
                <c:pt idx="2097">
                  <c:v>28</c:v>
                </c:pt>
                <c:pt idx="2098">
                  <c:v>26</c:v>
                </c:pt>
                <c:pt idx="2099">
                  <c:v>29</c:v>
                </c:pt>
                <c:pt idx="2100">
                  <c:v>46</c:v>
                </c:pt>
                <c:pt idx="2101">
                  <c:v>33</c:v>
                </c:pt>
                <c:pt idx="2102">
                  <c:v>48</c:v>
                </c:pt>
                <c:pt idx="2103">
                  <c:v>40</c:v>
                </c:pt>
                <c:pt idx="2104">
                  <c:v>23</c:v>
                </c:pt>
                <c:pt idx="2105">
                  <c:v>40</c:v>
                </c:pt>
                <c:pt idx="2106">
                  <c:v>37</c:v>
                </c:pt>
                <c:pt idx="2107">
                  <c:v>24</c:v>
                </c:pt>
                <c:pt idx="2108">
                  <c:v>27</c:v>
                </c:pt>
                <c:pt idx="2109">
                  <c:v>21</c:v>
                </c:pt>
                <c:pt idx="2110">
                  <c:v>23</c:v>
                </c:pt>
                <c:pt idx="2111">
                  <c:v>44</c:v>
                </c:pt>
                <c:pt idx="2112">
                  <c:v>35</c:v>
                </c:pt>
                <c:pt idx="2113">
                  <c:v>43</c:v>
                </c:pt>
                <c:pt idx="2114">
                  <c:v>40</c:v>
                </c:pt>
                <c:pt idx="2115">
                  <c:v>35</c:v>
                </c:pt>
                <c:pt idx="2116">
                  <c:v>25</c:v>
                </c:pt>
                <c:pt idx="2117">
                  <c:v>43</c:v>
                </c:pt>
                <c:pt idx="2118">
                  <c:v>50</c:v>
                </c:pt>
                <c:pt idx="2119">
                  <c:v>45</c:v>
                </c:pt>
                <c:pt idx="2120">
                  <c:v>52</c:v>
                </c:pt>
                <c:pt idx="2121">
                  <c:v>48</c:v>
                </c:pt>
                <c:pt idx="2122">
                  <c:v>31</c:v>
                </c:pt>
                <c:pt idx="2123">
                  <c:v>29</c:v>
                </c:pt>
                <c:pt idx="2124">
                  <c:v>23</c:v>
                </c:pt>
                <c:pt idx="2125">
                  <c:v>31</c:v>
                </c:pt>
                <c:pt idx="2126">
                  <c:v>23</c:v>
                </c:pt>
                <c:pt idx="2127">
                  <c:v>24</c:v>
                </c:pt>
                <c:pt idx="2128">
                  <c:v>28</c:v>
                </c:pt>
                <c:pt idx="2129">
                  <c:v>44</c:v>
                </c:pt>
                <c:pt idx="2130">
                  <c:v>22</c:v>
                </c:pt>
                <c:pt idx="2131">
                  <c:v>46</c:v>
                </c:pt>
                <c:pt idx="2132">
                  <c:v>22</c:v>
                </c:pt>
                <c:pt idx="2133">
                  <c:v>38</c:v>
                </c:pt>
                <c:pt idx="2134">
                  <c:v>47</c:v>
                </c:pt>
                <c:pt idx="2135">
                  <c:v>48</c:v>
                </c:pt>
                <c:pt idx="2136">
                  <c:v>40</c:v>
                </c:pt>
                <c:pt idx="2137">
                  <c:v>32</c:v>
                </c:pt>
                <c:pt idx="2138">
                  <c:v>49</c:v>
                </c:pt>
                <c:pt idx="2139">
                  <c:v>43</c:v>
                </c:pt>
                <c:pt idx="2140">
                  <c:v>41</c:v>
                </c:pt>
                <c:pt idx="2141">
                  <c:v>30</c:v>
                </c:pt>
                <c:pt idx="2142">
                  <c:v>28</c:v>
                </c:pt>
                <c:pt idx="2143">
                  <c:v>43</c:v>
                </c:pt>
                <c:pt idx="2144">
                  <c:v>41</c:v>
                </c:pt>
                <c:pt idx="2145">
                  <c:v>30</c:v>
                </c:pt>
                <c:pt idx="2146">
                  <c:v>31</c:v>
                </c:pt>
                <c:pt idx="2147">
                  <c:v>32</c:v>
                </c:pt>
                <c:pt idx="2148">
                  <c:v>43</c:v>
                </c:pt>
                <c:pt idx="2149">
                  <c:v>26</c:v>
                </c:pt>
                <c:pt idx="2150">
                  <c:v>27</c:v>
                </c:pt>
                <c:pt idx="2151">
                  <c:v>24</c:v>
                </c:pt>
                <c:pt idx="2152">
                  <c:v>22</c:v>
                </c:pt>
                <c:pt idx="2153">
                  <c:v>46</c:v>
                </c:pt>
                <c:pt idx="2154">
                  <c:v>37</c:v>
                </c:pt>
                <c:pt idx="2155">
                  <c:v>49</c:v>
                </c:pt>
                <c:pt idx="2156">
                  <c:v>21</c:v>
                </c:pt>
                <c:pt idx="2157">
                  <c:v>25</c:v>
                </c:pt>
                <c:pt idx="2158">
                  <c:v>37</c:v>
                </c:pt>
                <c:pt idx="2159">
                  <c:v>45</c:v>
                </c:pt>
                <c:pt idx="2160">
                  <c:v>32</c:v>
                </c:pt>
                <c:pt idx="2161">
                  <c:v>29</c:v>
                </c:pt>
                <c:pt idx="2162">
                  <c:v>26</c:v>
                </c:pt>
                <c:pt idx="2163">
                  <c:v>28</c:v>
                </c:pt>
                <c:pt idx="2164">
                  <c:v>27</c:v>
                </c:pt>
                <c:pt idx="2165">
                  <c:v>20</c:v>
                </c:pt>
                <c:pt idx="2166">
                  <c:v>44</c:v>
                </c:pt>
                <c:pt idx="2167">
                  <c:v>42</c:v>
                </c:pt>
                <c:pt idx="2168">
                  <c:v>41</c:v>
                </c:pt>
                <c:pt idx="2169">
                  <c:v>26</c:v>
                </c:pt>
                <c:pt idx="2170">
                  <c:v>26</c:v>
                </c:pt>
                <c:pt idx="2171">
                  <c:v>26</c:v>
                </c:pt>
                <c:pt idx="2172">
                  <c:v>41</c:v>
                </c:pt>
                <c:pt idx="2173">
                  <c:v>20</c:v>
                </c:pt>
                <c:pt idx="2174">
                  <c:v>22</c:v>
                </c:pt>
                <c:pt idx="2175">
                  <c:v>23</c:v>
                </c:pt>
                <c:pt idx="2176">
                  <c:v>33</c:v>
                </c:pt>
                <c:pt idx="2177">
                  <c:v>28</c:v>
                </c:pt>
                <c:pt idx="2178">
                  <c:v>44</c:v>
                </c:pt>
                <c:pt idx="2179">
                  <c:v>46</c:v>
                </c:pt>
                <c:pt idx="2180">
                  <c:v>21</c:v>
                </c:pt>
                <c:pt idx="2181">
                  <c:v>41</c:v>
                </c:pt>
                <c:pt idx="2182">
                  <c:v>31</c:v>
                </c:pt>
                <c:pt idx="2183">
                  <c:v>31</c:v>
                </c:pt>
                <c:pt idx="2184">
                  <c:v>23</c:v>
                </c:pt>
                <c:pt idx="2185">
                  <c:v>37</c:v>
                </c:pt>
                <c:pt idx="2186">
                  <c:v>26</c:v>
                </c:pt>
                <c:pt idx="2187">
                  <c:v>24</c:v>
                </c:pt>
                <c:pt idx="2188">
                  <c:v>47</c:v>
                </c:pt>
                <c:pt idx="2189">
                  <c:v>45</c:v>
                </c:pt>
                <c:pt idx="2190">
                  <c:v>55</c:v>
                </c:pt>
                <c:pt idx="2191">
                  <c:v>46</c:v>
                </c:pt>
                <c:pt idx="2192">
                  <c:v>50</c:v>
                </c:pt>
                <c:pt idx="2193">
                  <c:v>37</c:v>
                </c:pt>
                <c:pt idx="2194">
                  <c:v>44</c:v>
                </c:pt>
                <c:pt idx="2195">
                  <c:v>49</c:v>
                </c:pt>
                <c:pt idx="2196">
                  <c:v>45</c:v>
                </c:pt>
                <c:pt idx="2197">
                  <c:v>27</c:v>
                </c:pt>
                <c:pt idx="2198">
                  <c:v>31</c:v>
                </c:pt>
                <c:pt idx="2199">
                  <c:v>33</c:v>
                </c:pt>
                <c:pt idx="2200">
                  <c:v>31</c:v>
                </c:pt>
                <c:pt idx="2201">
                  <c:v>35</c:v>
                </c:pt>
                <c:pt idx="2202">
                  <c:v>26</c:v>
                </c:pt>
                <c:pt idx="2203">
                  <c:v>34</c:v>
                </c:pt>
                <c:pt idx="2204">
                  <c:v>46</c:v>
                </c:pt>
                <c:pt idx="2205">
                  <c:v>41</c:v>
                </c:pt>
                <c:pt idx="2206">
                  <c:v>43</c:v>
                </c:pt>
                <c:pt idx="2207">
                  <c:v>26</c:v>
                </c:pt>
                <c:pt idx="2208">
                  <c:v>36</c:v>
                </c:pt>
                <c:pt idx="2209">
                  <c:v>20</c:v>
                </c:pt>
                <c:pt idx="2210">
                  <c:v>27</c:v>
                </c:pt>
                <c:pt idx="2211">
                  <c:v>37</c:v>
                </c:pt>
                <c:pt idx="2212">
                  <c:v>24</c:v>
                </c:pt>
                <c:pt idx="2213">
                  <c:v>36</c:v>
                </c:pt>
                <c:pt idx="2214">
                  <c:v>29</c:v>
                </c:pt>
                <c:pt idx="2215">
                  <c:v>28</c:v>
                </c:pt>
                <c:pt idx="2216">
                  <c:v>29</c:v>
                </c:pt>
                <c:pt idx="2217">
                  <c:v>38</c:v>
                </c:pt>
                <c:pt idx="2218">
                  <c:v>48</c:v>
                </c:pt>
                <c:pt idx="2219">
                  <c:v>40</c:v>
                </c:pt>
                <c:pt idx="2220">
                  <c:v>41</c:v>
                </c:pt>
                <c:pt idx="2221">
                  <c:v>30</c:v>
                </c:pt>
                <c:pt idx="2222">
                  <c:v>35</c:v>
                </c:pt>
                <c:pt idx="2223">
                  <c:v>28</c:v>
                </c:pt>
                <c:pt idx="2224">
                  <c:v>45</c:v>
                </c:pt>
                <c:pt idx="2225">
                  <c:v>24</c:v>
                </c:pt>
                <c:pt idx="2226">
                  <c:v>41</c:v>
                </c:pt>
                <c:pt idx="2227">
                  <c:v>48</c:v>
                </c:pt>
                <c:pt idx="2228">
                  <c:v>50</c:v>
                </c:pt>
                <c:pt idx="2229">
                  <c:v>33</c:v>
                </c:pt>
                <c:pt idx="2230">
                  <c:v>32</c:v>
                </c:pt>
                <c:pt idx="2231">
                  <c:v>27</c:v>
                </c:pt>
                <c:pt idx="2232">
                  <c:v>35</c:v>
                </c:pt>
                <c:pt idx="2233">
                  <c:v>23</c:v>
                </c:pt>
                <c:pt idx="2234">
                  <c:v>35</c:v>
                </c:pt>
                <c:pt idx="2235">
                  <c:v>40</c:v>
                </c:pt>
                <c:pt idx="2236">
                  <c:v>35</c:v>
                </c:pt>
                <c:pt idx="2237">
                  <c:v>31</c:v>
                </c:pt>
                <c:pt idx="2238">
                  <c:v>50</c:v>
                </c:pt>
                <c:pt idx="2239">
                  <c:v>40</c:v>
                </c:pt>
                <c:pt idx="2240">
                  <c:v>38</c:v>
                </c:pt>
                <c:pt idx="2241">
                  <c:v>38</c:v>
                </c:pt>
                <c:pt idx="2242">
                  <c:v>40</c:v>
                </c:pt>
                <c:pt idx="2243">
                  <c:v>33</c:v>
                </c:pt>
                <c:pt idx="2244">
                  <c:v>36</c:v>
                </c:pt>
                <c:pt idx="2245">
                  <c:v>20</c:v>
                </c:pt>
                <c:pt idx="2246">
                  <c:v>32</c:v>
                </c:pt>
                <c:pt idx="2247">
                  <c:v>36</c:v>
                </c:pt>
                <c:pt idx="2248">
                  <c:v>19</c:v>
                </c:pt>
                <c:pt idx="2249">
                  <c:v>11</c:v>
                </c:pt>
                <c:pt idx="2250">
                  <c:v>49</c:v>
                </c:pt>
                <c:pt idx="2251">
                  <c:v>27</c:v>
                </c:pt>
                <c:pt idx="2252">
                  <c:v>29</c:v>
                </c:pt>
                <c:pt idx="2253">
                  <c:v>42</c:v>
                </c:pt>
                <c:pt idx="2254">
                  <c:v>33</c:v>
                </c:pt>
                <c:pt idx="2255">
                  <c:v>44</c:v>
                </c:pt>
                <c:pt idx="2256">
                  <c:v>22</c:v>
                </c:pt>
                <c:pt idx="2257">
                  <c:v>48</c:v>
                </c:pt>
                <c:pt idx="2258">
                  <c:v>33</c:v>
                </c:pt>
                <c:pt idx="2259">
                  <c:v>45</c:v>
                </c:pt>
                <c:pt idx="2260">
                  <c:v>20</c:v>
                </c:pt>
                <c:pt idx="2261">
                  <c:v>46</c:v>
                </c:pt>
                <c:pt idx="2262">
                  <c:v>40</c:v>
                </c:pt>
                <c:pt idx="2263">
                  <c:v>45</c:v>
                </c:pt>
                <c:pt idx="2264">
                  <c:v>36</c:v>
                </c:pt>
                <c:pt idx="2265">
                  <c:v>31</c:v>
                </c:pt>
                <c:pt idx="2266">
                  <c:v>46</c:v>
                </c:pt>
                <c:pt idx="2267">
                  <c:v>35</c:v>
                </c:pt>
                <c:pt idx="2268">
                  <c:v>28</c:v>
                </c:pt>
                <c:pt idx="2269">
                  <c:v>31</c:v>
                </c:pt>
                <c:pt idx="2270">
                  <c:v>27</c:v>
                </c:pt>
                <c:pt idx="2271">
                  <c:v>22</c:v>
                </c:pt>
                <c:pt idx="2272">
                  <c:v>30</c:v>
                </c:pt>
                <c:pt idx="2273">
                  <c:v>44</c:v>
                </c:pt>
                <c:pt idx="2274">
                  <c:v>30</c:v>
                </c:pt>
                <c:pt idx="2275">
                  <c:v>24</c:v>
                </c:pt>
                <c:pt idx="2276">
                  <c:v>45</c:v>
                </c:pt>
                <c:pt idx="2277">
                  <c:v>23</c:v>
                </c:pt>
                <c:pt idx="2278">
                  <c:v>26</c:v>
                </c:pt>
                <c:pt idx="2279">
                  <c:v>28</c:v>
                </c:pt>
                <c:pt idx="2280">
                  <c:v>49</c:v>
                </c:pt>
                <c:pt idx="2281">
                  <c:v>49</c:v>
                </c:pt>
                <c:pt idx="2282">
                  <c:v>29</c:v>
                </c:pt>
                <c:pt idx="2283">
                  <c:v>49</c:v>
                </c:pt>
                <c:pt idx="2284">
                  <c:v>39</c:v>
                </c:pt>
                <c:pt idx="2285">
                  <c:v>36</c:v>
                </c:pt>
                <c:pt idx="2286">
                  <c:v>39</c:v>
                </c:pt>
                <c:pt idx="2287">
                  <c:v>30</c:v>
                </c:pt>
                <c:pt idx="2288">
                  <c:v>44</c:v>
                </c:pt>
                <c:pt idx="2289">
                  <c:v>20</c:v>
                </c:pt>
                <c:pt idx="2290">
                  <c:v>21</c:v>
                </c:pt>
                <c:pt idx="2291">
                  <c:v>36</c:v>
                </c:pt>
                <c:pt idx="2292">
                  <c:v>32</c:v>
                </c:pt>
                <c:pt idx="2293">
                  <c:v>36</c:v>
                </c:pt>
                <c:pt idx="2294">
                  <c:v>34</c:v>
                </c:pt>
                <c:pt idx="2295">
                  <c:v>48</c:v>
                </c:pt>
                <c:pt idx="2296">
                  <c:v>33</c:v>
                </c:pt>
                <c:pt idx="2297">
                  <c:v>31</c:v>
                </c:pt>
                <c:pt idx="2298">
                  <c:v>36</c:v>
                </c:pt>
                <c:pt idx="2299">
                  <c:v>25</c:v>
                </c:pt>
                <c:pt idx="2300">
                  <c:v>48</c:v>
                </c:pt>
                <c:pt idx="2301">
                  <c:v>27</c:v>
                </c:pt>
                <c:pt idx="2302">
                  <c:v>44</c:v>
                </c:pt>
                <c:pt idx="2303">
                  <c:v>33</c:v>
                </c:pt>
                <c:pt idx="2304">
                  <c:v>29</c:v>
                </c:pt>
                <c:pt idx="2305">
                  <c:v>49</c:v>
                </c:pt>
                <c:pt idx="2306">
                  <c:v>20</c:v>
                </c:pt>
                <c:pt idx="2307">
                  <c:v>31</c:v>
                </c:pt>
                <c:pt idx="2308">
                  <c:v>39</c:v>
                </c:pt>
                <c:pt idx="2309">
                  <c:v>20</c:v>
                </c:pt>
                <c:pt idx="2310">
                  <c:v>34</c:v>
                </c:pt>
                <c:pt idx="2311">
                  <c:v>50</c:v>
                </c:pt>
                <c:pt idx="2312">
                  <c:v>40</c:v>
                </c:pt>
                <c:pt idx="2313">
                  <c:v>28</c:v>
                </c:pt>
                <c:pt idx="2314">
                  <c:v>50</c:v>
                </c:pt>
                <c:pt idx="2315">
                  <c:v>28</c:v>
                </c:pt>
                <c:pt idx="2316">
                  <c:v>46</c:v>
                </c:pt>
                <c:pt idx="2317">
                  <c:v>24</c:v>
                </c:pt>
                <c:pt idx="2318">
                  <c:v>24</c:v>
                </c:pt>
                <c:pt idx="2319">
                  <c:v>39</c:v>
                </c:pt>
                <c:pt idx="2320">
                  <c:v>40</c:v>
                </c:pt>
                <c:pt idx="2321">
                  <c:v>49</c:v>
                </c:pt>
                <c:pt idx="2322">
                  <c:v>44</c:v>
                </c:pt>
                <c:pt idx="2323">
                  <c:v>35</c:v>
                </c:pt>
                <c:pt idx="2324">
                  <c:v>22</c:v>
                </c:pt>
                <c:pt idx="2325">
                  <c:v>62</c:v>
                </c:pt>
                <c:pt idx="2326">
                  <c:v>26</c:v>
                </c:pt>
                <c:pt idx="2327">
                  <c:v>31</c:v>
                </c:pt>
                <c:pt idx="2328">
                  <c:v>25</c:v>
                </c:pt>
                <c:pt idx="2329">
                  <c:v>30</c:v>
                </c:pt>
                <c:pt idx="2330">
                  <c:v>27</c:v>
                </c:pt>
                <c:pt idx="2331">
                  <c:v>23</c:v>
                </c:pt>
                <c:pt idx="2332">
                  <c:v>34</c:v>
                </c:pt>
                <c:pt idx="2333">
                  <c:v>22</c:v>
                </c:pt>
                <c:pt idx="2334">
                  <c:v>42</c:v>
                </c:pt>
                <c:pt idx="2335">
                  <c:v>37</c:v>
                </c:pt>
                <c:pt idx="2336">
                  <c:v>30</c:v>
                </c:pt>
                <c:pt idx="2337">
                  <c:v>27</c:v>
                </c:pt>
                <c:pt idx="2338">
                  <c:v>25</c:v>
                </c:pt>
                <c:pt idx="2339">
                  <c:v>34</c:v>
                </c:pt>
                <c:pt idx="2340">
                  <c:v>38</c:v>
                </c:pt>
                <c:pt idx="2341">
                  <c:v>26</c:v>
                </c:pt>
                <c:pt idx="2342">
                  <c:v>38</c:v>
                </c:pt>
                <c:pt idx="2343">
                  <c:v>50</c:v>
                </c:pt>
                <c:pt idx="2344">
                  <c:v>22</c:v>
                </c:pt>
                <c:pt idx="2345">
                  <c:v>32</c:v>
                </c:pt>
                <c:pt idx="2346">
                  <c:v>31</c:v>
                </c:pt>
                <c:pt idx="2347">
                  <c:v>40</c:v>
                </c:pt>
                <c:pt idx="2348">
                  <c:v>22</c:v>
                </c:pt>
                <c:pt idx="2349">
                  <c:v>41</c:v>
                </c:pt>
                <c:pt idx="2350">
                  <c:v>45</c:v>
                </c:pt>
                <c:pt idx="2351">
                  <c:v>45</c:v>
                </c:pt>
                <c:pt idx="2352">
                  <c:v>39</c:v>
                </c:pt>
                <c:pt idx="2353">
                  <c:v>49</c:v>
                </c:pt>
                <c:pt idx="2354">
                  <c:v>27</c:v>
                </c:pt>
                <c:pt idx="2355">
                  <c:v>34</c:v>
                </c:pt>
                <c:pt idx="2356">
                  <c:v>20</c:v>
                </c:pt>
                <c:pt idx="2357">
                  <c:v>48</c:v>
                </c:pt>
                <c:pt idx="2358">
                  <c:v>29</c:v>
                </c:pt>
                <c:pt idx="2359">
                  <c:v>43</c:v>
                </c:pt>
                <c:pt idx="2360">
                  <c:v>41</c:v>
                </c:pt>
                <c:pt idx="2361">
                  <c:v>41</c:v>
                </c:pt>
                <c:pt idx="2362">
                  <c:v>36</c:v>
                </c:pt>
                <c:pt idx="2363">
                  <c:v>49</c:v>
                </c:pt>
                <c:pt idx="2364">
                  <c:v>38</c:v>
                </c:pt>
                <c:pt idx="2365">
                  <c:v>33</c:v>
                </c:pt>
                <c:pt idx="2366">
                  <c:v>26</c:v>
                </c:pt>
                <c:pt idx="2367">
                  <c:v>47</c:v>
                </c:pt>
                <c:pt idx="2368">
                  <c:v>34</c:v>
                </c:pt>
                <c:pt idx="2369">
                  <c:v>34</c:v>
                </c:pt>
                <c:pt idx="2370">
                  <c:v>40</c:v>
                </c:pt>
                <c:pt idx="2371">
                  <c:v>40</c:v>
                </c:pt>
                <c:pt idx="2372">
                  <c:v>33</c:v>
                </c:pt>
                <c:pt idx="2373">
                  <c:v>49</c:v>
                </c:pt>
                <c:pt idx="2374">
                  <c:v>27</c:v>
                </c:pt>
                <c:pt idx="2375">
                  <c:v>49</c:v>
                </c:pt>
                <c:pt idx="2376">
                  <c:v>56</c:v>
                </c:pt>
                <c:pt idx="2377">
                  <c:v>37</c:v>
                </c:pt>
                <c:pt idx="2378">
                  <c:v>33</c:v>
                </c:pt>
                <c:pt idx="2379">
                  <c:v>27</c:v>
                </c:pt>
                <c:pt idx="2380">
                  <c:v>46</c:v>
                </c:pt>
                <c:pt idx="2381">
                  <c:v>44</c:v>
                </c:pt>
                <c:pt idx="2382">
                  <c:v>26</c:v>
                </c:pt>
                <c:pt idx="2383">
                  <c:v>48</c:v>
                </c:pt>
                <c:pt idx="2384">
                  <c:v>23</c:v>
                </c:pt>
                <c:pt idx="2385">
                  <c:v>45</c:v>
                </c:pt>
                <c:pt idx="2386">
                  <c:v>49</c:v>
                </c:pt>
                <c:pt idx="2387">
                  <c:v>28</c:v>
                </c:pt>
                <c:pt idx="2388">
                  <c:v>37</c:v>
                </c:pt>
                <c:pt idx="2389">
                  <c:v>34</c:v>
                </c:pt>
                <c:pt idx="2390">
                  <c:v>22</c:v>
                </c:pt>
                <c:pt idx="2391">
                  <c:v>29</c:v>
                </c:pt>
                <c:pt idx="2392">
                  <c:v>34</c:v>
                </c:pt>
                <c:pt idx="2393">
                  <c:v>38</c:v>
                </c:pt>
                <c:pt idx="2394">
                  <c:v>41</c:v>
                </c:pt>
                <c:pt idx="2395">
                  <c:v>42</c:v>
                </c:pt>
                <c:pt idx="2396">
                  <c:v>28</c:v>
                </c:pt>
                <c:pt idx="2397">
                  <c:v>38</c:v>
                </c:pt>
                <c:pt idx="2398">
                  <c:v>23</c:v>
                </c:pt>
                <c:pt idx="2399">
                  <c:v>31</c:v>
                </c:pt>
                <c:pt idx="2400">
                  <c:v>46</c:v>
                </c:pt>
                <c:pt idx="2401">
                  <c:v>48</c:v>
                </c:pt>
                <c:pt idx="2402">
                  <c:v>29</c:v>
                </c:pt>
                <c:pt idx="2403">
                  <c:v>46</c:v>
                </c:pt>
                <c:pt idx="2404">
                  <c:v>26</c:v>
                </c:pt>
                <c:pt idx="2405">
                  <c:v>18</c:v>
                </c:pt>
                <c:pt idx="2406">
                  <c:v>32</c:v>
                </c:pt>
                <c:pt idx="2407">
                  <c:v>21</c:v>
                </c:pt>
                <c:pt idx="2408">
                  <c:v>46</c:v>
                </c:pt>
                <c:pt idx="2409">
                  <c:v>42</c:v>
                </c:pt>
                <c:pt idx="2410">
                  <c:v>31</c:v>
                </c:pt>
                <c:pt idx="2411">
                  <c:v>38</c:v>
                </c:pt>
                <c:pt idx="2412">
                  <c:v>38</c:v>
                </c:pt>
                <c:pt idx="2413">
                  <c:v>20</c:v>
                </c:pt>
                <c:pt idx="2414">
                  <c:v>46</c:v>
                </c:pt>
                <c:pt idx="2415">
                  <c:v>30</c:v>
                </c:pt>
                <c:pt idx="2416">
                  <c:v>30</c:v>
                </c:pt>
                <c:pt idx="2417">
                  <c:v>43</c:v>
                </c:pt>
                <c:pt idx="2418">
                  <c:v>49</c:v>
                </c:pt>
                <c:pt idx="2419">
                  <c:v>43</c:v>
                </c:pt>
                <c:pt idx="2420">
                  <c:v>37</c:v>
                </c:pt>
                <c:pt idx="2421">
                  <c:v>35</c:v>
                </c:pt>
                <c:pt idx="2422">
                  <c:v>34</c:v>
                </c:pt>
                <c:pt idx="2423">
                  <c:v>38</c:v>
                </c:pt>
                <c:pt idx="2424">
                  <c:v>44</c:v>
                </c:pt>
                <c:pt idx="2425">
                  <c:v>21</c:v>
                </c:pt>
                <c:pt idx="2426">
                  <c:v>44</c:v>
                </c:pt>
                <c:pt idx="2427">
                  <c:v>25</c:v>
                </c:pt>
                <c:pt idx="2428">
                  <c:v>24</c:v>
                </c:pt>
                <c:pt idx="2429">
                  <c:v>38</c:v>
                </c:pt>
                <c:pt idx="2430">
                  <c:v>45</c:v>
                </c:pt>
                <c:pt idx="2431">
                  <c:v>51</c:v>
                </c:pt>
                <c:pt idx="2432">
                  <c:v>34</c:v>
                </c:pt>
                <c:pt idx="2433">
                  <c:v>44</c:v>
                </c:pt>
                <c:pt idx="2434">
                  <c:v>44</c:v>
                </c:pt>
                <c:pt idx="2435">
                  <c:v>38</c:v>
                </c:pt>
                <c:pt idx="2436">
                  <c:v>31</c:v>
                </c:pt>
                <c:pt idx="2437">
                  <c:v>48</c:v>
                </c:pt>
                <c:pt idx="2438">
                  <c:v>21</c:v>
                </c:pt>
                <c:pt idx="2439">
                  <c:v>40</c:v>
                </c:pt>
                <c:pt idx="2440">
                  <c:v>40</c:v>
                </c:pt>
                <c:pt idx="2441">
                  <c:v>50</c:v>
                </c:pt>
                <c:pt idx="2442">
                  <c:v>20</c:v>
                </c:pt>
                <c:pt idx="2443">
                  <c:v>48</c:v>
                </c:pt>
                <c:pt idx="2444">
                  <c:v>47</c:v>
                </c:pt>
                <c:pt idx="2445">
                  <c:v>21</c:v>
                </c:pt>
                <c:pt idx="2446">
                  <c:v>39</c:v>
                </c:pt>
                <c:pt idx="2447">
                  <c:v>44</c:v>
                </c:pt>
                <c:pt idx="2448">
                  <c:v>28</c:v>
                </c:pt>
                <c:pt idx="2449">
                  <c:v>45</c:v>
                </c:pt>
                <c:pt idx="2450">
                  <c:v>20</c:v>
                </c:pt>
                <c:pt idx="2451">
                  <c:v>38</c:v>
                </c:pt>
                <c:pt idx="2452">
                  <c:v>26</c:v>
                </c:pt>
                <c:pt idx="2453">
                  <c:v>44</c:v>
                </c:pt>
                <c:pt idx="2454">
                  <c:v>49</c:v>
                </c:pt>
                <c:pt idx="2455">
                  <c:v>22</c:v>
                </c:pt>
                <c:pt idx="2456">
                  <c:v>31</c:v>
                </c:pt>
                <c:pt idx="2457">
                  <c:v>41</c:v>
                </c:pt>
                <c:pt idx="2458">
                  <c:v>25</c:v>
                </c:pt>
                <c:pt idx="2459">
                  <c:v>31</c:v>
                </c:pt>
                <c:pt idx="2460">
                  <c:v>41</c:v>
                </c:pt>
                <c:pt idx="2461">
                  <c:v>43</c:v>
                </c:pt>
                <c:pt idx="2462">
                  <c:v>43</c:v>
                </c:pt>
                <c:pt idx="2463">
                  <c:v>24</c:v>
                </c:pt>
                <c:pt idx="2464">
                  <c:v>21</c:v>
                </c:pt>
                <c:pt idx="2465">
                  <c:v>23</c:v>
                </c:pt>
                <c:pt idx="2466">
                  <c:v>38</c:v>
                </c:pt>
                <c:pt idx="2467">
                  <c:v>31</c:v>
                </c:pt>
                <c:pt idx="2468">
                  <c:v>36</c:v>
                </c:pt>
                <c:pt idx="2469">
                  <c:v>36</c:v>
                </c:pt>
                <c:pt idx="2470">
                  <c:v>34</c:v>
                </c:pt>
                <c:pt idx="2471">
                  <c:v>21</c:v>
                </c:pt>
                <c:pt idx="2472">
                  <c:v>45</c:v>
                </c:pt>
                <c:pt idx="2473">
                  <c:v>26</c:v>
                </c:pt>
                <c:pt idx="2474">
                  <c:v>50</c:v>
                </c:pt>
                <c:pt idx="2475">
                  <c:v>41</c:v>
                </c:pt>
                <c:pt idx="2476">
                  <c:v>39</c:v>
                </c:pt>
                <c:pt idx="2477">
                  <c:v>22</c:v>
                </c:pt>
                <c:pt idx="2478">
                  <c:v>46</c:v>
                </c:pt>
                <c:pt idx="2479">
                  <c:v>44</c:v>
                </c:pt>
                <c:pt idx="2480">
                  <c:v>25</c:v>
                </c:pt>
                <c:pt idx="2481">
                  <c:v>39</c:v>
                </c:pt>
                <c:pt idx="2482">
                  <c:v>37</c:v>
                </c:pt>
                <c:pt idx="2483">
                  <c:v>31</c:v>
                </c:pt>
                <c:pt idx="2484">
                  <c:v>47</c:v>
                </c:pt>
                <c:pt idx="2485">
                  <c:v>24</c:v>
                </c:pt>
                <c:pt idx="2486">
                  <c:v>36</c:v>
                </c:pt>
                <c:pt idx="2487">
                  <c:v>48</c:v>
                </c:pt>
                <c:pt idx="2488">
                  <c:v>28</c:v>
                </c:pt>
                <c:pt idx="2489">
                  <c:v>48</c:v>
                </c:pt>
                <c:pt idx="2490">
                  <c:v>21</c:v>
                </c:pt>
                <c:pt idx="2491">
                  <c:v>25</c:v>
                </c:pt>
                <c:pt idx="2492">
                  <c:v>25</c:v>
                </c:pt>
                <c:pt idx="2493">
                  <c:v>31</c:v>
                </c:pt>
                <c:pt idx="2494">
                  <c:v>40</c:v>
                </c:pt>
                <c:pt idx="2495">
                  <c:v>32</c:v>
                </c:pt>
                <c:pt idx="2496">
                  <c:v>24</c:v>
                </c:pt>
                <c:pt idx="2497">
                  <c:v>42</c:v>
                </c:pt>
                <c:pt idx="2498">
                  <c:v>21</c:v>
                </c:pt>
                <c:pt idx="2499">
                  <c:v>34</c:v>
                </c:pt>
                <c:pt idx="2500">
                  <c:v>27</c:v>
                </c:pt>
                <c:pt idx="2501">
                  <c:v>30</c:v>
                </c:pt>
                <c:pt idx="2502">
                  <c:v>39</c:v>
                </c:pt>
                <c:pt idx="2503">
                  <c:v>20</c:v>
                </c:pt>
                <c:pt idx="2504">
                  <c:v>37</c:v>
                </c:pt>
                <c:pt idx="2505">
                  <c:v>46</c:v>
                </c:pt>
                <c:pt idx="2506">
                  <c:v>47</c:v>
                </c:pt>
                <c:pt idx="2507">
                  <c:v>11</c:v>
                </c:pt>
                <c:pt idx="2508">
                  <c:v>23</c:v>
                </c:pt>
                <c:pt idx="2509">
                  <c:v>29</c:v>
                </c:pt>
                <c:pt idx="2510">
                  <c:v>38</c:v>
                </c:pt>
                <c:pt idx="2511">
                  <c:v>32</c:v>
                </c:pt>
                <c:pt idx="2512">
                  <c:v>43</c:v>
                </c:pt>
                <c:pt idx="2513">
                  <c:v>31</c:v>
                </c:pt>
                <c:pt idx="2514">
                  <c:v>29</c:v>
                </c:pt>
                <c:pt idx="2515">
                  <c:v>31</c:v>
                </c:pt>
                <c:pt idx="2516">
                  <c:v>30</c:v>
                </c:pt>
                <c:pt idx="2517">
                  <c:v>50</c:v>
                </c:pt>
                <c:pt idx="2518">
                  <c:v>40</c:v>
                </c:pt>
                <c:pt idx="2519">
                  <c:v>23</c:v>
                </c:pt>
                <c:pt idx="2520">
                  <c:v>26</c:v>
                </c:pt>
                <c:pt idx="2521">
                  <c:v>40</c:v>
                </c:pt>
                <c:pt idx="2522">
                  <c:v>21</c:v>
                </c:pt>
                <c:pt idx="2523">
                  <c:v>43</c:v>
                </c:pt>
                <c:pt idx="2524">
                  <c:v>29</c:v>
                </c:pt>
                <c:pt idx="2525">
                  <c:v>38</c:v>
                </c:pt>
                <c:pt idx="2526">
                  <c:v>23</c:v>
                </c:pt>
                <c:pt idx="2527">
                  <c:v>20</c:v>
                </c:pt>
                <c:pt idx="2528">
                  <c:v>36</c:v>
                </c:pt>
                <c:pt idx="2529">
                  <c:v>28</c:v>
                </c:pt>
                <c:pt idx="2530">
                  <c:v>44</c:v>
                </c:pt>
                <c:pt idx="2531">
                  <c:v>49</c:v>
                </c:pt>
                <c:pt idx="2532">
                  <c:v>32</c:v>
                </c:pt>
                <c:pt idx="2533">
                  <c:v>34</c:v>
                </c:pt>
                <c:pt idx="2534">
                  <c:v>30</c:v>
                </c:pt>
                <c:pt idx="2535">
                  <c:v>29</c:v>
                </c:pt>
                <c:pt idx="2536">
                  <c:v>22</c:v>
                </c:pt>
                <c:pt idx="2537">
                  <c:v>26</c:v>
                </c:pt>
                <c:pt idx="2538">
                  <c:v>32</c:v>
                </c:pt>
                <c:pt idx="2539">
                  <c:v>29</c:v>
                </c:pt>
                <c:pt idx="2540">
                  <c:v>34</c:v>
                </c:pt>
                <c:pt idx="2541">
                  <c:v>24</c:v>
                </c:pt>
                <c:pt idx="2542">
                  <c:v>24</c:v>
                </c:pt>
                <c:pt idx="2543">
                  <c:v>33</c:v>
                </c:pt>
                <c:pt idx="2544">
                  <c:v>26</c:v>
                </c:pt>
                <c:pt idx="2545">
                  <c:v>40</c:v>
                </c:pt>
                <c:pt idx="2546">
                  <c:v>44</c:v>
                </c:pt>
                <c:pt idx="2547">
                  <c:v>24</c:v>
                </c:pt>
                <c:pt idx="2548">
                  <c:v>20</c:v>
                </c:pt>
                <c:pt idx="2549">
                  <c:v>34</c:v>
                </c:pt>
                <c:pt idx="2550">
                  <c:v>34</c:v>
                </c:pt>
                <c:pt idx="2551">
                  <c:v>45</c:v>
                </c:pt>
                <c:pt idx="2552">
                  <c:v>41</c:v>
                </c:pt>
                <c:pt idx="2553">
                  <c:v>55</c:v>
                </c:pt>
                <c:pt idx="2554">
                  <c:v>23</c:v>
                </c:pt>
                <c:pt idx="2555">
                  <c:v>24</c:v>
                </c:pt>
                <c:pt idx="2556">
                  <c:v>32</c:v>
                </c:pt>
                <c:pt idx="2557">
                  <c:v>29</c:v>
                </c:pt>
                <c:pt idx="2558">
                  <c:v>36</c:v>
                </c:pt>
                <c:pt idx="2559">
                  <c:v>46</c:v>
                </c:pt>
                <c:pt idx="2560">
                  <c:v>32</c:v>
                </c:pt>
                <c:pt idx="2561">
                  <c:v>34</c:v>
                </c:pt>
                <c:pt idx="2562">
                  <c:v>24</c:v>
                </c:pt>
                <c:pt idx="2563">
                  <c:v>40</c:v>
                </c:pt>
                <c:pt idx="2564">
                  <c:v>26</c:v>
                </c:pt>
                <c:pt idx="2565">
                  <c:v>20</c:v>
                </c:pt>
                <c:pt idx="2566">
                  <c:v>31</c:v>
                </c:pt>
                <c:pt idx="2567">
                  <c:v>22</c:v>
                </c:pt>
                <c:pt idx="2568">
                  <c:v>42</c:v>
                </c:pt>
                <c:pt idx="2569">
                  <c:v>26</c:v>
                </c:pt>
                <c:pt idx="2570">
                  <c:v>37</c:v>
                </c:pt>
                <c:pt idx="2571">
                  <c:v>38</c:v>
                </c:pt>
                <c:pt idx="2572">
                  <c:v>35</c:v>
                </c:pt>
                <c:pt idx="2573">
                  <c:v>33</c:v>
                </c:pt>
                <c:pt idx="2574">
                  <c:v>39</c:v>
                </c:pt>
                <c:pt idx="2575">
                  <c:v>45</c:v>
                </c:pt>
                <c:pt idx="2576">
                  <c:v>24</c:v>
                </c:pt>
                <c:pt idx="2577">
                  <c:v>35</c:v>
                </c:pt>
                <c:pt idx="2578">
                  <c:v>23</c:v>
                </c:pt>
                <c:pt idx="2579">
                  <c:v>37</c:v>
                </c:pt>
                <c:pt idx="2580">
                  <c:v>55</c:v>
                </c:pt>
                <c:pt idx="2581">
                  <c:v>49</c:v>
                </c:pt>
                <c:pt idx="2582">
                  <c:v>26</c:v>
                </c:pt>
                <c:pt idx="2583">
                  <c:v>33</c:v>
                </c:pt>
                <c:pt idx="2584">
                  <c:v>37</c:v>
                </c:pt>
                <c:pt idx="2585">
                  <c:v>22</c:v>
                </c:pt>
                <c:pt idx="2586">
                  <c:v>85</c:v>
                </c:pt>
                <c:pt idx="2587">
                  <c:v>22</c:v>
                </c:pt>
                <c:pt idx="2588">
                  <c:v>31</c:v>
                </c:pt>
                <c:pt idx="2589">
                  <c:v>38</c:v>
                </c:pt>
                <c:pt idx="2590">
                  <c:v>45</c:v>
                </c:pt>
                <c:pt idx="2591">
                  <c:v>31</c:v>
                </c:pt>
                <c:pt idx="2592">
                  <c:v>36</c:v>
                </c:pt>
                <c:pt idx="2593">
                  <c:v>46</c:v>
                </c:pt>
                <c:pt idx="2594">
                  <c:v>32</c:v>
                </c:pt>
                <c:pt idx="2595">
                  <c:v>39</c:v>
                </c:pt>
                <c:pt idx="2596">
                  <c:v>50</c:v>
                </c:pt>
                <c:pt idx="2597">
                  <c:v>46</c:v>
                </c:pt>
                <c:pt idx="2598">
                  <c:v>36</c:v>
                </c:pt>
                <c:pt idx="2599">
                  <c:v>29</c:v>
                </c:pt>
                <c:pt idx="2600">
                  <c:v>32</c:v>
                </c:pt>
                <c:pt idx="2601">
                  <c:v>44</c:v>
                </c:pt>
                <c:pt idx="2602">
                  <c:v>42</c:v>
                </c:pt>
                <c:pt idx="2603">
                  <c:v>47</c:v>
                </c:pt>
                <c:pt idx="2604">
                  <c:v>44</c:v>
                </c:pt>
                <c:pt idx="2605">
                  <c:v>43</c:v>
                </c:pt>
                <c:pt idx="2606">
                  <c:v>48</c:v>
                </c:pt>
                <c:pt idx="2607">
                  <c:v>21</c:v>
                </c:pt>
                <c:pt idx="2608">
                  <c:v>50</c:v>
                </c:pt>
                <c:pt idx="2609">
                  <c:v>29</c:v>
                </c:pt>
                <c:pt idx="2610">
                  <c:v>41</c:v>
                </c:pt>
                <c:pt idx="2611">
                  <c:v>37</c:v>
                </c:pt>
                <c:pt idx="2612">
                  <c:v>22</c:v>
                </c:pt>
                <c:pt idx="2613">
                  <c:v>31</c:v>
                </c:pt>
                <c:pt idx="2614">
                  <c:v>42</c:v>
                </c:pt>
                <c:pt idx="2615">
                  <c:v>42</c:v>
                </c:pt>
                <c:pt idx="2616">
                  <c:v>45</c:v>
                </c:pt>
                <c:pt idx="2617">
                  <c:v>36</c:v>
                </c:pt>
                <c:pt idx="2618">
                  <c:v>20</c:v>
                </c:pt>
                <c:pt idx="2619">
                  <c:v>39</c:v>
                </c:pt>
                <c:pt idx="2620">
                  <c:v>42</c:v>
                </c:pt>
                <c:pt idx="2621">
                  <c:v>23</c:v>
                </c:pt>
                <c:pt idx="2622">
                  <c:v>26</c:v>
                </c:pt>
                <c:pt idx="2623">
                  <c:v>33</c:v>
                </c:pt>
                <c:pt idx="2624">
                  <c:v>31</c:v>
                </c:pt>
                <c:pt idx="2625">
                  <c:v>50</c:v>
                </c:pt>
                <c:pt idx="2626">
                  <c:v>44</c:v>
                </c:pt>
                <c:pt idx="2627">
                  <c:v>45</c:v>
                </c:pt>
                <c:pt idx="2628">
                  <c:v>46</c:v>
                </c:pt>
                <c:pt idx="2629">
                  <c:v>27</c:v>
                </c:pt>
                <c:pt idx="2630">
                  <c:v>28</c:v>
                </c:pt>
                <c:pt idx="2631">
                  <c:v>40</c:v>
                </c:pt>
                <c:pt idx="2632">
                  <c:v>30</c:v>
                </c:pt>
                <c:pt idx="2633">
                  <c:v>34</c:v>
                </c:pt>
                <c:pt idx="2634">
                  <c:v>46</c:v>
                </c:pt>
                <c:pt idx="2635">
                  <c:v>32</c:v>
                </c:pt>
                <c:pt idx="2636">
                  <c:v>27</c:v>
                </c:pt>
                <c:pt idx="2637">
                  <c:v>34</c:v>
                </c:pt>
                <c:pt idx="2638">
                  <c:v>34</c:v>
                </c:pt>
                <c:pt idx="2639">
                  <c:v>34</c:v>
                </c:pt>
                <c:pt idx="2640">
                  <c:v>46</c:v>
                </c:pt>
                <c:pt idx="2641">
                  <c:v>32</c:v>
                </c:pt>
                <c:pt idx="2642">
                  <c:v>24</c:v>
                </c:pt>
                <c:pt idx="2643">
                  <c:v>27</c:v>
                </c:pt>
                <c:pt idx="2644">
                  <c:v>20</c:v>
                </c:pt>
                <c:pt idx="2645">
                  <c:v>36</c:v>
                </c:pt>
                <c:pt idx="2646">
                  <c:v>29</c:v>
                </c:pt>
                <c:pt idx="2647">
                  <c:v>25</c:v>
                </c:pt>
                <c:pt idx="2648">
                  <c:v>29</c:v>
                </c:pt>
                <c:pt idx="2649">
                  <c:v>25</c:v>
                </c:pt>
                <c:pt idx="2650">
                  <c:v>44</c:v>
                </c:pt>
                <c:pt idx="2651">
                  <c:v>47</c:v>
                </c:pt>
                <c:pt idx="2652">
                  <c:v>48</c:v>
                </c:pt>
                <c:pt idx="2653">
                  <c:v>45</c:v>
                </c:pt>
                <c:pt idx="2654">
                  <c:v>35</c:v>
                </c:pt>
                <c:pt idx="2655">
                  <c:v>31</c:v>
                </c:pt>
                <c:pt idx="2656">
                  <c:v>50</c:v>
                </c:pt>
                <c:pt idx="2657">
                  <c:v>33</c:v>
                </c:pt>
                <c:pt idx="2658">
                  <c:v>29</c:v>
                </c:pt>
                <c:pt idx="2659">
                  <c:v>48</c:v>
                </c:pt>
                <c:pt idx="2660">
                  <c:v>44</c:v>
                </c:pt>
                <c:pt idx="2661">
                  <c:v>25</c:v>
                </c:pt>
                <c:pt idx="2662">
                  <c:v>50</c:v>
                </c:pt>
                <c:pt idx="2663">
                  <c:v>23</c:v>
                </c:pt>
                <c:pt idx="2664">
                  <c:v>21</c:v>
                </c:pt>
                <c:pt idx="2665">
                  <c:v>41</c:v>
                </c:pt>
                <c:pt idx="2666">
                  <c:v>44</c:v>
                </c:pt>
                <c:pt idx="2667">
                  <c:v>43</c:v>
                </c:pt>
                <c:pt idx="2668">
                  <c:v>28</c:v>
                </c:pt>
                <c:pt idx="2669">
                  <c:v>43</c:v>
                </c:pt>
                <c:pt idx="2670">
                  <c:v>48</c:v>
                </c:pt>
                <c:pt idx="2671">
                  <c:v>38</c:v>
                </c:pt>
                <c:pt idx="2672">
                  <c:v>31</c:v>
                </c:pt>
                <c:pt idx="2673">
                  <c:v>26</c:v>
                </c:pt>
                <c:pt idx="2674">
                  <c:v>32</c:v>
                </c:pt>
                <c:pt idx="2675">
                  <c:v>44</c:v>
                </c:pt>
                <c:pt idx="2676">
                  <c:v>27</c:v>
                </c:pt>
                <c:pt idx="2677">
                  <c:v>43</c:v>
                </c:pt>
                <c:pt idx="2678">
                  <c:v>25</c:v>
                </c:pt>
                <c:pt idx="2679">
                  <c:v>22</c:v>
                </c:pt>
                <c:pt idx="2680">
                  <c:v>21</c:v>
                </c:pt>
                <c:pt idx="2681">
                  <c:v>48</c:v>
                </c:pt>
                <c:pt idx="2682">
                  <c:v>33</c:v>
                </c:pt>
                <c:pt idx="2683">
                  <c:v>34</c:v>
                </c:pt>
                <c:pt idx="2684">
                  <c:v>43</c:v>
                </c:pt>
                <c:pt idx="2685">
                  <c:v>44</c:v>
                </c:pt>
                <c:pt idx="2686">
                  <c:v>44</c:v>
                </c:pt>
                <c:pt idx="2687">
                  <c:v>32</c:v>
                </c:pt>
                <c:pt idx="2688">
                  <c:v>29</c:v>
                </c:pt>
                <c:pt idx="2689">
                  <c:v>77</c:v>
                </c:pt>
                <c:pt idx="2690">
                  <c:v>39</c:v>
                </c:pt>
                <c:pt idx="2691">
                  <c:v>39</c:v>
                </c:pt>
                <c:pt idx="2692">
                  <c:v>36</c:v>
                </c:pt>
                <c:pt idx="2693">
                  <c:v>42</c:v>
                </c:pt>
                <c:pt idx="2694">
                  <c:v>21</c:v>
                </c:pt>
                <c:pt idx="2695">
                  <c:v>50</c:v>
                </c:pt>
                <c:pt idx="2696">
                  <c:v>24</c:v>
                </c:pt>
                <c:pt idx="2697">
                  <c:v>44</c:v>
                </c:pt>
                <c:pt idx="2698">
                  <c:v>37</c:v>
                </c:pt>
                <c:pt idx="2699">
                  <c:v>27</c:v>
                </c:pt>
                <c:pt idx="2700">
                  <c:v>37</c:v>
                </c:pt>
                <c:pt idx="2701">
                  <c:v>38</c:v>
                </c:pt>
                <c:pt idx="2702">
                  <c:v>48</c:v>
                </c:pt>
                <c:pt idx="2703">
                  <c:v>30</c:v>
                </c:pt>
                <c:pt idx="2704">
                  <c:v>25</c:v>
                </c:pt>
                <c:pt idx="2705">
                  <c:v>40</c:v>
                </c:pt>
                <c:pt idx="2706">
                  <c:v>22</c:v>
                </c:pt>
                <c:pt idx="2707">
                  <c:v>34</c:v>
                </c:pt>
                <c:pt idx="2708">
                  <c:v>32</c:v>
                </c:pt>
                <c:pt idx="2709">
                  <c:v>31</c:v>
                </c:pt>
                <c:pt idx="2710">
                  <c:v>43</c:v>
                </c:pt>
                <c:pt idx="2711">
                  <c:v>31</c:v>
                </c:pt>
                <c:pt idx="2712">
                  <c:v>31</c:v>
                </c:pt>
                <c:pt idx="2713">
                  <c:v>34</c:v>
                </c:pt>
                <c:pt idx="2714">
                  <c:v>45</c:v>
                </c:pt>
                <c:pt idx="2715">
                  <c:v>48</c:v>
                </c:pt>
                <c:pt idx="2716">
                  <c:v>28</c:v>
                </c:pt>
                <c:pt idx="2717">
                  <c:v>22</c:v>
                </c:pt>
                <c:pt idx="2718">
                  <c:v>45</c:v>
                </c:pt>
                <c:pt idx="2719">
                  <c:v>30</c:v>
                </c:pt>
                <c:pt idx="2720">
                  <c:v>38</c:v>
                </c:pt>
                <c:pt idx="2721">
                  <c:v>20</c:v>
                </c:pt>
                <c:pt idx="2722">
                  <c:v>28</c:v>
                </c:pt>
                <c:pt idx="2723">
                  <c:v>24</c:v>
                </c:pt>
                <c:pt idx="2724">
                  <c:v>22</c:v>
                </c:pt>
                <c:pt idx="2725">
                  <c:v>35</c:v>
                </c:pt>
                <c:pt idx="2726">
                  <c:v>33</c:v>
                </c:pt>
                <c:pt idx="2727">
                  <c:v>31</c:v>
                </c:pt>
                <c:pt idx="2728">
                  <c:v>35</c:v>
                </c:pt>
                <c:pt idx="2729">
                  <c:v>35</c:v>
                </c:pt>
                <c:pt idx="2730">
                  <c:v>50</c:v>
                </c:pt>
                <c:pt idx="2731">
                  <c:v>26</c:v>
                </c:pt>
                <c:pt idx="2732">
                  <c:v>38</c:v>
                </c:pt>
                <c:pt idx="2733">
                  <c:v>45</c:v>
                </c:pt>
                <c:pt idx="2734">
                  <c:v>30</c:v>
                </c:pt>
                <c:pt idx="2735">
                  <c:v>37</c:v>
                </c:pt>
                <c:pt idx="2736">
                  <c:v>37</c:v>
                </c:pt>
                <c:pt idx="2737">
                  <c:v>36</c:v>
                </c:pt>
                <c:pt idx="2738">
                  <c:v>25</c:v>
                </c:pt>
                <c:pt idx="2739">
                  <c:v>37</c:v>
                </c:pt>
                <c:pt idx="2740">
                  <c:v>30</c:v>
                </c:pt>
                <c:pt idx="2741">
                  <c:v>36</c:v>
                </c:pt>
                <c:pt idx="2742">
                  <c:v>27</c:v>
                </c:pt>
                <c:pt idx="2743">
                  <c:v>48</c:v>
                </c:pt>
                <c:pt idx="2744">
                  <c:v>26</c:v>
                </c:pt>
                <c:pt idx="2745">
                  <c:v>26</c:v>
                </c:pt>
                <c:pt idx="2746">
                  <c:v>34</c:v>
                </c:pt>
                <c:pt idx="2747">
                  <c:v>44</c:v>
                </c:pt>
                <c:pt idx="2748">
                  <c:v>39</c:v>
                </c:pt>
                <c:pt idx="2749">
                  <c:v>45</c:v>
                </c:pt>
                <c:pt idx="2750">
                  <c:v>40</c:v>
                </c:pt>
                <c:pt idx="2751">
                  <c:v>42</c:v>
                </c:pt>
                <c:pt idx="2752">
                  <c:v>43</c:v>
                </c:pt>
                <c:pt idx="2753">
                  <c:v>34</c:v>
                </c:pt>
                <c:pt idx="2754">
                  <c:v>38</c:v>
                </c:pt>
                <c:pt idx="2755">
                  <c:v>35</c:v>
                </c:pt>
                <c:pt idx="2756">
                  <c:v>31</c:v>
                </c:pt>
                <c:pt idx="2757">
                  <c:v>32</c:v>
                </c:pt>
                <c:pt idx="2758">
                  <c:v>47</c:v>
                </c:pt>
                <c:pt idx="2759">
                  <c:v>39</c:v>
                </c:pt>
                <c:pt idx="2760">
                  <c:v>44</c:v>
                </c:pt>
                <c:pt idx="2761">
                  <c:v>39</c:v>
                </c:pt>
                <c:pt idx="2762">
                  <c:v>50</c:v>
                </c:pt>
                <c:pt idx="2763">
                  <c:v>22</c:v>
                </c:pt>
                <c:pt idx="2764">
                  <c:v>35</c:v>
                </c:pt>
                <c:pt idx="2765">
                  <c:v>45</c:v>
                </c:pt>
                <c:pt idx="2766">
                  <c:v>44</c:v>
                </c:pt>
                <c:pt idx="2767">
                  <c:v>36</c:v>
                </c:pt>
                <c:pt idx="2768">
                  <c:v>28</c:v>
                </c:pt>
                <c:pt idx="2769">
                  <c:v>43</c:v>
                </c:pt>
                <c:pt idx="2770">
                  <c:v>48</c:v>
                </c:pt>
                <c:pt idx="2771">
                  <c:v>28</c:v>
                </c:pt>
                <c:pt idx="2772">
                  <c:v>21</c:v>
                </c:pt>
                <c:pt idx="2773">
                  <c:v>37</c:v>
                </c:pt>
                <c:pt idx="2774">
                  <c:v>34</c:v>
                </c:pt>
                <c:pt idx="2775">
                  <c:v>40</c:v>
                </c:pt>
                <c:pt idx="2776">
                  <c:v>45</c:v>
                </c:pt>
                <c:pt idx="2777">
                  <c:v>28</c:v>
                </c:pt>
                <c:pt idx="2778">
                  <c:v>29</c:v>
                </c:pt>
                <c:pt idx="2779">
                  <c:v>48</c:v>
                </c:pt>
                <c:pt idx="2780">
                  <c:v>31</c:v>
                </c:pt>
                <c:pt idx="2781">
                  <c:v>32</c:v>
                </c:pt>
                <c:pt idx="2782">
                  <c:v>21</c:v>
                </c:pt>
                <c:pt idx="2783">
                  <c:v>32</c:v>
                </c:pt>
                <c:pt idx="2784">
                  <c:v>43</c:v>
                </c:pt>
                <c:pt idx="2785">
                  <c:v>21</c:v>
                </c:pt>
                <c:pt idx="2786">
                  <c:v>34</c:v>
                </c:pt>
                <c:pt idx="2787">
                  <c:v>34</c:v>
                </c:pt>
                <c:pt idx="2788">
                  <c:v>44</c:v>
                </c:pt>
                <c:pt idx="2789">
                  <c:v>27</c:v>
                </c:pt>
                <c:pt idx="2790">
                  <c:v>49</c:v>
                </c:pt>
                <c:pt idx="2791">
                  <c:v>23</c:v>
                </c:pt>
                <c:pt idx="2792">
                  <c:v>25</c:v>
                </c:pt>
                <c:pt idx="2793">
                  <c:v>50</c:v>
                </c:pt>
                <c:pt idx="2794">
                  <c:v>34</c:v>
                </c:pt>
                <c:pt idx="2795">
                  <c:v>20</c:v>
                </c:pt>
                <c:pt idx="2796">
                  <c:v>42</c:v>
                </c:pt>
                <c:pt idx="2797">
                  <c:v>25</c:v>
                </c:pt>
                <c:pt idx="2798">
                  <c:v>50</c:v>
                </c:pt>
                <c:pt idx="2799">
                  <c:v>32</c:v>
                </c:pt>
                <c:pt idx="2800">
                  <c:v>39</c:v>
                </c:pt>
                <c:pt idx="2801">
                  <c:v>50</c:v>
                </c:pt>
                <c:pt idx="2802">
                  <c:v>38</c:v>
                </c:pt>
                <c:pt idx="2803">
                  <c:v>40</c:v>
                </c:pt>
                <c:pt idx="2804">
                  <c:v>28</c:v>
                </c:pt>
                <c:pt idx="2805">
                  <c:v>42</c:v>
                </c:pt>
                <c:pt idx="2806">
                  <c:v>42</c:v>
                </c:pt>
                <c:pt idx="2807">
                  <c:v>36</c:v>
                </c:pt>
                <c:pt idx="2808">
                  <c:v>24</c:v>
                </c:pt>
                <c:pt idx="2809">
                  <c:v>23</c:v>
                </c:pt>
                <c:pt idx="2810">
                  <c:v>29</c:v>
                </c:pt>
                <c:pt idx="2811">
                  <c:v>37</c:v>
                </c:pt>
                <c:pt idx="2812">
                  <c:v>33</c:v>
                </c:pt>
                <c:pt idx="2813">
                  <c:v>32</c:v>
                </c:pt>
                <c:pt idx="2814">
                  <c:v>35</c:v>
                </c:pt>
                <c:pt idx="2815">
                  <c:v>40</c:v>
                </c:pt>
                <c:pt idx="2816">
                  <c:v>37</c:v>
                </c:pt>
                <c:pt idx="2817">
                  <c:v>42</c:v>
                </c:pt>
                <c:pt idx="2818">
                  <c:v>20</c:v>
                </c:pt>
                <c:pt idx="2819">
                  <c:v>29</c:v>
                </c:pt>
                <c:pt idx="2820">
                  <c:v>43</c:v>
                </c:pt>
                <c:pt idx="2821">
                  <c:v>34</c:v>
                </c:pt>
                <c:pt idx="2822">
                  <c:v>47</c:v>
                </c:pt>
              </c:numCache>
            </c:numRef>
          </c:xVal>
          <c:yVal>
            <c:numRef>
              <c:f>Sales!$C$2:$C$2824</c:f>
              <c:numCache>
                <c:formatCode>"$"#,##0</c:formatCode>
                <c:ptCount val="2823"/>
                <c:pt idx="0">
                  <c:v>2871</c:v>
                </c:pt>
                <c:pt idx="1">
                  <c:v>2765.8999999999996</c:v>
                </c:pt>
                <c:pt idx="2">
                  <c:v>3884.3399999999997</c:v>
                </c:pt>
                <c:pt idx="3">
                  <c:v>3746.7000000000003</c:v>
                </c:pt>
                <c:pt idx="4">
                  <c:v>4900</c:v>
                </c:pt>
                <c:pt idx="5">
                  <c:v>3479.7599999999998</c:v>
                </c:pt>
                <c:pt idx="6">
                  <c:v>2497.77</c:v>
                </c:pt>
                <c:pt idx="7">
                  <c:v>4800</c:v>
                </c:pt>
                <c:pt idx="8">
                  <c:v>2168.54</c:v>
                </c:pt>
                <c:pt idx="9">
                  <c:v>4100</c:v>
                </c:pt>
                <c:pt idx="10">
                  <c:v>3700</c:v>
                </c:pt>
                <c:pt idx="11">
                  <c:v>2300</c:v>
                </c:pt>
                <c:pt idx="12">
                  <c:v>2800</c:v>
                </c:pt>
                <c:pt idx="13">
                  <c:v>3400</c:v>
                </c:pt>
                <c:pt idx="14">
                  <c:v>4177.3500000000004</c:v>
                </c:pt>
                <c:pt idx="15">
                  <c:v>3600</c:v>
                </c:pt>
                <c:pt idx="16">
                  <c:v>2300</c:v>
                </c:pt>
                <c:pt idx="17">
                  <c:v>4100</c:v>
                </c:pt>
                <c:pt idx="18">
                  <c:v>4358.04</c:v>
                </c:pt>
                <c:pt idx="19">
                  <c:v>4200</c:v>
                </c:pt>
                <c:pt idx="20">
                  <c:v>4100</c:v>
                </c:pt>
                <c:pt idx="21">
                  <c:v>1451</c:v>
                </c:pt>
                <c:pt idx="22">
                  <c:v>733.1099999999999</c:v>
                </c:pt>
                <c:pt idx="23">
                  <c:v>3207.12</c:v>
                </c:pt>
                <c:pt idx="24">
                  <c:v>2400</c:v>
                </c:pt>
                <c:pt idx="25">
                  <c:v>6600</c:v>
                </c:pt>
                <c:pt idx="26">
                  <c:v>2600</c:v>
                </c:pt>
                <c:pt idx="27">
                  <c:v>2900</c:v>
                </c:pt>
                <c:pt idx="28">
                  <c:v>3800</c:v>
                </c:pt>
                <c:pt idx="29">
                  <c:v>3700</c:v>
                </c:pt>
                <c:pt idx="30">
                  <c:v>4500</c:v>
                </c:pt>
                <c:pt idx="31">
                  <c:v>2100</c:v>
                </c:pt>
                <c:pt idx="32">
                  <c:v>3400</c:v>
                </c:pt>
                <c:pt idx="33">
                  <c:v>2300</c:v>
                </c:pt>
                <c:pt idx="34">
                  <c:v>4200</c:v>
                </c:pt>
                <c:pt idx="35">
                  <c:v>4700</c:v>
                </c:pt>
                <c:pt idx="36">
                  <c:v>3500</c:v>
                </c:pt>
                <c:pt idx="37">
                  <c:v>2900</c:v>
                </c:pt>
                <c:pt idx="38">
                  <c:v>3400</c:v>
                </c:pt>
                <c:pt idx="39">
                  <c:v>3200</c:v>
                </c:pt>
                <c:pt idx="40">
                  <c:v>2100</c:v>
                </c:pt>
                <c:pt idx="41">
                  <c:v>3400</c:v>
                </c:pt>
                <c:pt idx="42">
                  <c:v>3700</c:v>
                </c:pt>
                <c:pt idx="43">
                  <c:v>4700</c:v>
                </c:pt>
                <c:pt idx="44">
                  <c:v>4800</c:v>
                </c:pt>
                <c:pt idx="45">
                  <c:v>4000</c:v>
                </c:pt>
                <c:pt idx="46">
                  <c:v>2600</c:v>
                </c:pt>
                <c:pt idx="47">
                  <c:v>3000</c:v>
                </c:pt>
                <c:pt idx="48">
                  <c:v>3200</c:v>
                </c:pt>
                <c:pt idx="49">
                  <c:v>4100</c:v>
                </c:pt>
                <c:pt idx="50">
                  <c:v>3600</c:v>
                </c:pt>
                <c:pt idx="51">
                  <c:v>2400</c:v>
                </c:pt>
                <c:pt idx="52">
                  <c:v>2300</c:v>
                </c:pt>
                <c:pt idx="53">
                  <c:v>5000</c:v>
                </c:pt>
                <c:pt idx="54">
                  <c:v>3896.49</c:v>
                </c:pt>
                <c:pt idx="55">
                  <c:v>2793.86</c:v>
                </c:pt>
                <c:pt idx="56">
                  <c:v>2700</c:v>
                </c:pt>
                <c:pt idx="57">
                  <c:v>3700</c:v>
                </c:pt>
                <c:pt idx="58">
                  <c:v>3700</c:v>
                </c:pt>
                <c:pt idx="59">
                  <c:v>2700</c:v>
                </c:pt>
                <c:pt idx="60">
                  <c:v>4200</c:v>
                </c:pt>
                <c:pt idx="61">
                  <c:v>3660.92</c:v>
                </c:pt>
                <c:pt idx="62">
                  <c:v>2400</c:v>
                </c:pt>
                <c:pt idx="63">
                  <c:v>2300</c:v>
                </c:pt>
                <c:pt idx="64">
                  <c:v>4700</c:v>
                </c:pt>
                <c:pt idx="65">
                  <c:v>2200</c:v>
                </c:pt>
                <c:pt idx="66">
                  <c:v>4400</c:v>
                </c:pt>
                <c:pt idx="67">
                  <c:v>4000</c:v>
                </c:pt>
                <c:pt idx="68">
                  <c:v>2200</c:v>
                </c:pt>
                <c:pt idx="69">
                  <c:v>4700</c:v>
                </c:pt>
                <c:pt idx="70">
                  <c:v>3757.26</c:v>
                </c:pt>
                <c:pt idx="71">
                  <c:v>3400</c:v>
                </c:pt>
                <c:pt idx="72">
                  <c:v>4500</c:v>
                </c:pt>
                <c:pt idx="73">
                  <c:v>2000</c:v>
                </c:pt>
                <c:pt idx="74">
                  <c:v>2756.8</c:v>
                </c:pt>
                <c:pt idx="75">
                  <c:v>1329.8999999999999</c:v>
                </c:pt>
                <c:pt idx="76">
                  <c:v>3900</c:v>
                </c:pt>
                <c:pt idx="77">
                  <c:v>2225.5</c:v>
                </c:pt>
                <c:pt idx="78">
                  <c:v>4500</c:v>
                </c:pt>
                <c:pt idx="79">
                  <c:v>4500</c:v>
                </c:pt>
                <c:pt idx="80">
                  <c:v>2700</c:v>
                </c:pt>
                <c:pt idx="81">
                  <c:v>4600</c:v>
                </c:pt>
                <c:pt idx="82">
                  <c:v>3100</c:v>
                </c:pt>
                <c:pt idx="83">
                  <c:v>3300</c:v>
                </c:pt>
                <c:pt idx="84">
                  <c:v>2200</c:v>
                </c:pt>
                <c:pt idx="85">
                  <c:v>2000</c:v>
                </c:pt>
                <c:pt idx="86">
                  <c:v>4100</c:v>
                </c:pt>
                <c:pt idx="87">
                  <c:v>4500</c:v>
                </c:pt>
                <c:pt idx="88">
                  <c:v>4900</c:v>
                </c:pt>
                <c:pt idx="89">
                  <c:v>3400</c:v>
                </c:pt>
                <c:pt idx="90">
                  <c:v>4900</c:v>
                </c:pt>
                <c:pt idx="91">
                  <c:v>3900</c:v>
                </c:pt>
                <c:pt idx="92">
                  <c:v>4300</c:v>
                </c:pt>
                <c:pt idx="93">
                  <c:v>4100</c:v>
                </c:pt>
                <c:pt idx="94">
                  <c:v>3600</c:v>
                </c:pt>
                <c:pt idx="95">
                  <c:v>2700</c:v>
                </c:pt>
                <c:pt idx="96">
                  <c:v>2900</c:v>
                </c:pt>
                <c:pt idx="97">
                  <c:v>2000</c:v>
                </c:pt>
                <c:pt idx="98">
                  <c:v>3700</c:v>
                </c:pt>
                <c:pt idx="99">
                  <c:v>2600</c:v>
                </c:pt>
                <c:pt idx="100">
                  <c:v>2990.13</c:v>
                </c:pt>
                <c:pt idx="101">
                  <c:v>2200</c:v>
                </c:pt>
                <c:pt idx="102">
                  <c:v>2200</c:v>
                </c:pt>
                <c:pt idx="103">
                  <c:v>1822.1699999999998</c:v>
                </c:pt>
                <c:pt idx="104">
                  <c:v>6600</c:v>
                </c:pt>
                <c:pt idx="105">
                  <c:v>5600</c:v>
                </c:pt>
                <c:pt idx="106">
                  <c:v>5000</c:v>
                </c:pt>
                <c:pt idx="107">
                  <c:v>4600</c:v>
                </c:pt>
                <c:pt idx="108">
                  <c:v>3300</c:v>
                </c:pt>
                <c:pt idx="109">
                  <c:v>4900</c:v>
                </c:pt>
                <c:pt idx="110">
                  <c:v>3200</c:v>
                </c:pt>
                <c:pt idx="111">
                  <c:v>4400</c:v>
                </c:pt>
                <c:pt idx="112">
                  <c:v>2400</c:v>
                </c:pt>
                <c:pt idx="113">
                  <c:v>2600</c:v>
                </c:pt>
                <c:pt idx="114">
                  <c:v>4500</c:v>
                </c:pt>
                <c:pt idx="115">
                  <c:v>3900</c:v>
                </c:pt>
                <c:pt idx="116">
                  <c:v>4900</c:v>
                </c:pt>
                <c:pt idx="117">
                  <c:v>2000</c:v>
                </c:pt>
                <c:pt idx="118">
                  <c:v>2700</c:v>
                </c:pt>
                <c:pt idx="119">
                  <c:v>3000</c:v>
                </c:pt>
                <c:pt idx="120">
                  <c:v>2500</c:v>
                </c:pt>
                <c:pt idx="121">
                  <c:v>2400</c:v>
                </c:pt>
                <c:pt idx="122">
                  <c:v>2200</c:v>
                </c:pt>
                <c:pt idx="123">
                  <c:v>3300</c:v>
                </c:pt>
                <c:pt idx="124">
                  <c:v>3051.7100000000005</c:v>
                </c:pt>
                <c:pt idx="125">
                  <c:v>1201.25</c:v>
                </c:pt>
                <c:pt idx="126">
                  <c:v>1962.22</c:v>
                </c:pt>
                <c:pt idx="127">
                  <c:v>2624.64</c:v>
                </c:pt>
                <c:pt idx="128">
                  <c:v>3900</c:v>
                </c:pt>
                <c:pt idx="129">
                  <c:v>3400</c:v>
                </c:pt>
                <c:pt idx="130">
                  <c:v>3200</c:v>
                </c:pt>
                <c:pt idx="131">
                  <c:v>6400</c:v>
                </c:pt>
                <c:pt idx="132">
                  <c:v>1900</c:v>
                </c:pt>
                <c:pt idx="133">
                  <c:v>4200</c:v>
                </c:pt>
                <c:pt idx="134">
                  <c:v>3100</c:v>
                </c:pt>
                <c:pt idx="135">
                  <c:v>2200</c:v>
                </c:pt>
                <c:pt idx="136">
                  <c:v>2600</c:v>
                </c:pt>
                <c:pt idx="137">
                  <c:v>2000</c:v>
                </c:pt>
                <c:pt idx="138">
                  <c:v>2100</c:v>
                </c:pt>
                <c:pt idx="139">
                  <c:v>3300</c:v>
                </c:pt>
                <c:pt idx="140">
                  <c:v>2800</c:v>
                </c:pt>
                <c:pt idx="141">
                  <c:v>2600</c:v>
                </c:pt>
                <c:pt idx="142">
                  <c:v>3100</c:v>
                </c:pt>
                <c:pt idx="143">
                  <c:v>4800</c:v>
                </c:pt>
                <c:pt idx="144">
                  <c:v>5000</c:v>
                </c:pt>
                <c:pt idx="145">
                  <c:v>2800</c:v>
                </c:pt>
                <c:pt idx="146">
                  <c:v>2600</c:v>
                </c:pt>
                <c:pt idx="147">
                  <c:v>3200</c:v>
                </c:pt>
                <c:pt idx="148">
                  <c:v>4400</c:v>
                </c:pt>
                <c:pt idx="149">
                  <c:v>3000</c:v>
                </c:pt>
                <c:pt idx="150">
                  <c:v>3800</c:v>
                </c:pt>
                <c:pt idx="151">
                  <c:v>4000</c:v>
                </c:pt>
                <c:pt idx="152">
                  <c:v>2851.54</c:v>
                </c:pt>
                <c:pt idx="153">
                  <c:v>2600</c:v>
                </c:pt>
                <c:pt idx="154">
                  <c:v>2700</c:v>
                </c:pt>
                <c:pt idx="155">
                  <c:v>4300</c:v>
                </c:pt>
                <c:pt idx="156">
                  <c:v>2297.0499999999997</c:v>
                </c:pt>
                <c:pt idx="157">
                  <c:v>3700</c:v>
                </c:pt>
                <c:pt idx="158">
                  <c:v>1735.3</c:v>
                </c:pt>
                <c:pt idx="159">
                  <c:v>2700</c:v>
                </c:pt>
                <c:pt idx="160">
                  <c:v>3800</c:v>
                </c:pt>
                <c:pt idx="161">
                  <c:v>3300</c:v>
                </c:pt>
                <c:pt idx="162">
                  <c:v>4200</c:v>
                </c:pt>
                <c:pt idx="163">
                  <c:v>4200</c:v>
                </c:pt>
                <c:pt idx="164">
                  <c:v>4800</c:v>
                </c:pt>
                <c:pt idx="165">
                  <c:v>4100</c:v>
                </c:pt>
                <c:pt idx="166">
                  <c:v>3000</c:v>
                </c:pt>
                <c:pt idx="167">
                  <c:v>2700</c:v>
                </c:pt>
                <c:pt idx="168">
                  <c:v>2100</c:v>
                </c:pt>
                <c:pt idx="169">
                  <c:v>2000</c:v>
                </c:pt>
                <c:pt idx="170">
                  <c:v>4100</c:v>
                </c:pt>
                <c:pt idx="171">
                  <c:v>2700</c:v>
                </c:pt>
                <c:pt idx="172">
                  <c:v>2800</c:v>
                </c:pt>
                <c:pt idx="173">
                  <c:v>2400</c:v>
                </c:pt>
                <c:pt idx="174">
                  <c:v>4400</c:v>
                </c:pt>
                <c:pt idx="175">
                  <c:v>5000</c:v>
                </c:pt>
                <c:pt idx="176">
                  <c:v>2100</c:v>
                </c:pt>
                <c:pt idx="177">
                  <c:v>3300</c:v>
                </c:pt>
                <c:pt idx="178">
                  <c:v>3300</c:v>
                </c:pt>
                <c:pt idx="179">
                  <c:v>3100</c:v>
                </c:pt>
                <c:pt idx="180">
                  <c:v>2930.27</c:v>
                </c:pt>
                <c:pt idx="181">
                  <c:v>3584.2500000000005</c:v>
                </c:pt>
                <c:pt idx="182">
                  <c:v>2817.87</c:v>
                </c:pt>
                <c:pt idx="183">
                  <c:v>3420</c:v>
                </c:pt>
                <c:pt idx="184">
                  <c:v>2575.04</c:v>
                </c:pt>
                <c:pt idx="185">
                  <c:v>1200</c:v>
                </c:pt>
                <c:pt idx="186">
                  <c:v>4100</c:v>
                </c:pt>
                <c:pt idx="187">
                  <c:v>3300</c:v>
                </c:pt>
                <c:pt idx="188">
                  <c:v>4600</c:v>
                </c:pt>
                <c:pt idx="189">
                  <c:v>3300</c:v>
                </c:pt>
                <c:pt idx="190">
                  <c:v>2000</c:v>
                </c:pt>
                <c:pt idx="191">
                  <c:v>4400</c:v>
                </c:pt>
                <c:pt idx="192">
                  <c:v>3300</c:v>
                </c:pt>
                <c:pt idx="193">
                  <c:v>2100</c:v>
                </c:pt>
                <c:pt idx="194">
                  <c:v>4700</c:v>
                </c:pt>
                <c:pt idx="195">
                  <c:v>4600</c:v>
                </c:pt>
                <c:pt idx="196">
                  <c:v>3200</c:v>
                </c:pt>
                <c:pt idx="197">
                  <c:v>4200</c:v>
                </c:pt>
                <c:pt idx="198">
                  <c:v>4400</c:v>
                </c:pt>
                <c:pt idx="199">
                  <c:v>3500</c:v>
                </c:pt>
                <c:pt idx="200">
                  <c:v>4100</c:v>
                </c:pt>
                <c:pt idx="201">
                  <c:v>4600</c:v>
                </c:pt>
                <c:pt idx="202">
                  <c:v>3100</c:v>
                </c:pt>
                <c:pt idx="203">
                  <c:v>3800</c:v>
                </c:pt>
                <c:pt idx="204">
                  <c:v>2688</c:v>
                </c:pt>
                <c:pt idx="205">
                  <c:v>1888.26</c:v>
                </c:pt>
                <c:pt idx="206">
                  <c:v>2513.2799999999997</c:v>
                </c:pt>
                <c:pt idx="207">
                  <c:v>4200</c:v>
                </c:pt>
                <c:pt idx="208">
                  <c:v>3200</c:v>
                </c:pt>
                <c:pt idx="209">
                  <c:v>3400</c:v>
                </c:pt>
                <c:pt idx="210">
                  <c:v>2280.96</c:v>
                </c:pt>
                <c:pt idx="211">
                  <c:v>3600</c:v>
                </c:pt>
                <c:pt idx="212">
                  <c:v>2700</c:v>
                </c:pt>
                <c:pt idx="213">
                  <c:v>2100</c:v>
                </c:pt>
                <c:pt idx="214">
                  <c:v>2100</c:v>
                </c:pt>
                <c:pt idx="215">
                  <c:v>3800</c:v>
                </c:pt>
                <c:pt idx="216">
                  <c:v>3000</c:v>
                </c:pt>
                <c:pt idx="217">
                  <c:v>4900</c:v>
                </c:pt>
                <c:pt idx="218">
                  <c:v>4300</c:v>
                </c:pt>
                <c:pt idx="219">
                  <c:v>4100</c:v>
                </c:pt>
                <c:pt idx="220">
                  <c:v>3800</c:v>
                </c:pt>
                <c:pt idx="221">
                  <c:v>2800</c:v>
                </c:pt>
                <c:pt idx="222">
                  <c:v>4300</c:v>
                </c:pt>
                <c:pt idx="223">
                  <c:v>2500</c:v>
                </c:pt>
                <c:pt idx="224">
                  <c:v>3800</c:v>
                </c:pt>
                <c:pt idx="225">
                  <c:v>4100</c:v>
                </c:pt>
                <c:pt idx="226">
                  <c:v>2800</c:v>
                </c:pt>
                <c:pt idx="227">
                  <c:v>2500</c:v>
                </c:pt>
                <c:pt idx="228">
                  <c:v>4100</c:v>
                </c:pt>
                <c:pt idx="229">
                  <c:v>3900</c:v>
                </c:pt>
                <c:pt idx="230">
                  <c:v>2100</c:v>
                </c:pt>
                <c:pt idx="231">
                  <c:v>2700</c:v>
                </c:pt>
                <c:pt idx="232">
                  <c:v>3273.93</c:v>
                </c:pt>
                <c:pt idx="233">
                  <c:v>2900</c:v>
                </c:pt>
                <c:pt idx="234">
                  <c:v>4900</c:v>
                </c:pt>
                <c:pt idx="235">
                  <c:v>4900</c:v>
                </c:pt>
                <c:pt idx="236">
                  <c:v>2000</c:v>
                </c:pt>
                <c:pt idx="237">
                  <c:v>2464.8000000000002</c:v>
                </c:pt>
                <c:pt idx="238">
                  <c:v>4000</c:v>
                </c:pt>
                <c:pt idx="239">
                  <c:v>4900</c:v>
                </c:pt>
                <c:pt idx="240">
                  <c:v>2100</c:v>
                </c:pt>
                <c:pt idx="241">
                  <c:v>5000</c:v>
                </c:pt>
                <c:pt idx="242">
                  <c:v>2000</c:v>
                </c:pt>
                <c:pt idx="243">
                  <c:v>4900</c:v>
                </c:pt>
                <c:pt idx="244">
                  <c:v>3800</c:v>
                </c:pt>
                <c:pt idx="245">
                  <c:v>3500</c:v>
                </c:pt>
                <c:pt idx="246">
                  <c:v>4000</c:v>
                </c:pt>
                <c:pt idx="247">
                  <c:v>2800</c:v>
                </c:pt>
                <c:pt idx="248">
                  <c:v>2500</c:v>
                </c:pt>
                <c:pt idx="249">
                  <c:v>3600</c:v>
                </c:pt>
                <c:pt idx="250">
                  <c:v>4300</c:v>
                </c:pt>
                <c:pt idx="251">
                  <c:v>3200</c:v>
                </c:pt>
                <c:pt idx="252">
                  <c:v>4600</c:v>
                </c:pt>
                <c:pt idx="253">
                  <c:v>4800</c:v>
                </c:pt>
                <c:pt idx="254">
                  <c:v>4300</c:v>
                </c:pt>
                <c:pt idx="255">
                  <c:v>4900</c:v>
                </c:pt>
                <c:pt idx="256">
                  <c:v>2400</c:v>
                </c:pt>
                <c:pt idx="257">
                  <c:v>2600</c:v>
                </c:pt>
                <c:pt idx="258">
                  <c:v>3000</c:v>
                </c:pt>
                <c:pt idx="259">
                  <c:v>2400</c:v>
                </c:pt>
                <c:pt idx="260">
                  <c:v>5500</c:v>
                </c:pt>
                <c:pt idx="261">
                  <c:v>2200</c:v>
                </c:pt>
                <c:pt idx="262">
                  <c:v>3867.08</c:v>
                </c:pt>
                <c:pt idx="263">
                  <c:v>4400</c:v>
                </c:pt>
                <c:pt idx="264">
                  <c:v>6600</c:v>
                </c:pt>
                <c:pt idx="265">
                  <c:v>2100</c:v>
                </c:pt>
                <c:pt idx="266">
                  <c:v>3400</c:v>
                </c:pt>
                <c:pt idx="267">
                  <c:v>4300</c:v>
                </c:pt>
                <c:pt idx="268">
                  <c:v>4600</c:v>
                </c:pt>
                <c:pt idx="269">
                  <c:v>3300</c:v>
                </c:pt>
                <c:pt idx="270">
                  <c:v>4200</c:v>
                </c:pt>
                <c:pt idx="271">
                  <c:v>3400</c:v>
                </c:pt>
                <c:pt idx="272">
                  <c:v>4700</c:v>
                </c:pt>
                <c:pt idx="273">
                  <c:v>3300</c:v>
                </c:pt>
                <c:pt idx="274">
                  <c:v>2400</c:v>
                </c:pt>
                <c:pt idx="275">
                  <c:v>2600</c:v>
                </c:pt>
                <c:pt idx="276">
                  <c:v>3000</c:v>
                </c:pt>
                <c:pt idx="277">
                  <c:v>4300</c:v>
                </c:pt>
                <c:pt idx="278">
                  <c:v>2500</c:v>
                </c:pt>
                <c:pt idx="279">
                  <c:v>2700</c:v>
                </c:pt>
                <c:pt idx="280">
                  <c:v>2700</c:v>
                </c:pt>
                <c:pt idx="281">
                  <c:v>2400</c:v>
                </c:pt>
                <c:pt idx="282">
                  <c:v>3400</c:v>
                </c:pt>
                <c:pt idx="283">
                  <c:v>4600</c:v>
                </c:pt>
                <c:pt idx="284">
                  <c:v>1466.9099999999999</c:v>
                </c:pt>
                <c:pt idx="285">
                  <c:v>3300</c:v>
                </c:pt>
                <c:pt idx="286">
                  <c:v>4700</c:v>
                </c:pt>
                <c:pt idx="287">
                  <c:v>2711.6600000000003</c:v>
                </c:pt>
                <c:pt idx="288">
                  <c:v>4000</c:v>
                </c:pt>
                <c:pt idx="289">
                  <c:v>3700</c:v>
                </c:pt>
                <c:pt idx="290">
                  <c:v>4700</c:v>
                </c:pt>
                <c:pt idx="291">
                  <c:v>4500</c:v>
                </c:pt>
                <c:pt idx="292">
                  <c:v>3693.3399999999997</c:v>
                </c:pt>
                <c:pt idx="293">
                  <c:v>4800</c:v>
                </c:pt>
                <c:pt idx="294">
                  <c:v>3100</c:v>
                </c:pt>
                <c:pt idx="295">
                  <c:v>4600</c:v>
                </c:pt>
                <c:pt idx="296">
                  <c:v>4700</c:v>
                </c:pt>
                <c:pt idx="297">
                  <c:v>2800</c:v>
                </c:pt>
                <c:pt idx="298">
                  <c:v>4000</c:v>
                </c:pt>
                <c:pt idx="299">
                  <c:v>2000</c:v>
                </c:pt>
                <c:pt idx="300">
                  <c:v>3900</c:v>
                </c:pt>
                <c:pt idx="301">
                  <c:v>2495.5</c:v>
                </c:pt>
                <c:pt idx="302">
                  <c:v>2900</c:v>
                </c:pt>
                <c:pt idx="303">
                  <c:v>2200</c:v>
                </c:pt>
                <c:pt idx="304">
                  <c:v>2200</c:v>
                </c:pt>
                <c:pt idx="305">
                  <c:v>4700</c:v>
                </c:pt>
                <c:pt idx="306">
                  <c:v>4500</c:v>
                </c:pt>
                <c:pt idx="307">
                  <c:v>2900</c:v>
                </c:pt>
                <c:pt idx="308">
                  <c:v>2400</c:v>
                </c:pt>
                <c:pt idx="309">
                  <c:v>3500</c:v>
                </c:pt>
                <c:pt idx="310">
                  <c:v>3846.9799999999996</c:v>
                </c:pt>
                <c:pt idx="311">
                  <c:v>4220.92</c:v>
                </c:pt>
                <c:pt idx="312">
                  <c:v>3288.82</c:v>
                </c:pt>
                <c:pt idx="313">
                  <c:v>3500</c:v>
                </c:pt>
                <c:pt idx="314">
                  <c:v>1809.5</c:v>
                </c:pt>
                <c:pt idx="315">
                  <c:v>1000</c:v>
                </c:pt>
                <c:pt idx="316">
                  <c:v>2900</c:v>
                </c:pt>
                <c:pt idx="317">
                  <c:v>3900</c:v>
                </c:pt>
                <c:pt idx="318">
                  <c:v>4200</c:v>
                </c:pt>
                <c:pt idx="319">
                  <c:v>4600</c:v>
                </c:pt>
                <c:pt idx="320">
                  <c:v>4900</c:v>
                </c:pt>
                <c:pt idx="321">
                  <c:v>2700</c:v>
                </c:pt>
                <c:pt idx="322">
                  <c:v>5000</c:v>
                </c:pt>
                <c:pt idx="323">
                  <c:v>4300</c:v>
                </c:pt>
                <c:pt idx="324">
                  <c:v>3800</c:v>
                </c:pt>
                <c:pt idx="325">
                  <c:v>2000</c:v>
                </c:pt>
                <c:pt idx="326">
                  <c:v>2700</c:v>
                </c:pt>
                <c:pt idx="327">
                  <c:v>4900</c:v>
                </c:pt>
                <c:pt idx="328">
                  <c:v>2700</c:v>
                </c:pt>
                <c:pt idx="329">
                  <c:v>3900</c:v>
                </c:pt>
                <c:pt idx="330">
                  <c:v>2400</c:v>
                </c:pt>
                <c:pt idx="331">
                  <c:v>4500</c:v>
                </c:pt>
                <c:pt idx="332">
                  <c:v>2000</c:v>
                </c:pt>
                <c:pt idx="333">
                  <c:v>3600</c:v>
                </c:pt>
                <c:pt idx="334">
                  <c:v>2400</c:v>
                </c:pt>
                <c:pt idx="335">
                  <c:v>3105.6200000000003</c:v>
                </c:pt>
                <c:pt idx="336">
                  <c:v>2600</c:v>
                </c:pt>
                <c:pt idx="337">
                  <c:v>3042.4100000000003</c:v>
                </c:pt>
                <c:pt idx="338">
                  <c:v>3400</c:v>
                </c:pt>
                <c:pt idx="339">
                  <c:v>3241.8999999999996</c:v>
                </c:pt>
                <c:pt idx="340">
                  <c:v>3300</c:v>
                </c:pt>
                <c:pt idx="341">
                  <c:v>2200</c:v>
                </c:pt>
                <c:pt idx="342">
                  <c:v>3485.8199999999997</c:v>
                </c:pt>
                <c:pt idx="343">
                  <c:v>2042.88</c:v>
                </c:pt>
                <c:pt idx="344">
                  <c:v>1800.2400000000002</c:v>
                </c:pt>
                <c:pt idx="345">
                  <c:v>1340.64</c:v>
                </c:pt>
                <c:pt idx="346">
                  <c:v>1762.08</c:v>
                </c:pt>
                <c:pt idx="347">
                  <c:v>2298.2400000000002</c:v>
                </c:pt>
                <c:pt idx="348">
                  <c:v>1628</c:v>
                </c:pt>
                <c:pt idx="349">
                  <c:v>1939.2</c:v>
                </c:pt>
                <c:pt idx="350">
                  <c:v>3651.56</c:v>
                </c:pt>
                <c:pt idx="351">
                  <c:v>2591.96</c:v>
                </c:pt>
                <c:pt idx="352">
                  <c:v>2864.17</c:v>
                </c:pt>
                <c:pt idx="353">
                  <c:v>1484.1999999999998</c:v>
                </c:pt>
                <c:pt idx="354">
                  <c:v>2254.25</c:v>
                </c:pt>
                <c:pt idx="355">
                  <c:v>2681.35</c:v>
                </c:pt>
                <c:pt idx="356">
                  <c:v>3184.0200000000004</c:v>
                </c:pt>
                <c:pt idx="357">
                  <c:v>2846.63</c:v>
                </c:pt>
                <c:pt idx="358">
                  <c:v>1685.42</c:v>
                </c:pt>
                <c:pt idx="359">
                  <c:v>3988.6000000000004</c:v>
                </c:pt>
                <c:pt idx="360">
                  <c:v>2789.96</c:v>
                </c:pt>
                <c:pt idx="361">
                  <c:v>3300</c:v>
                </c:pt>
                <c:pt idx="362">
                  <c:v>3368.16</c:v>
                </c:pt>
                <c:pt idx="363">
                  <c:v>2775.08</c:v>
                </c:pt>
                <c:pt idx="364">
                  <c:v>1627.92</c:v>
                </c:pt>
                <c:pt idx="365">
                  <c:v>2529.36</c:v>
                </c:pt>
                <c:pt idx="366">
                  <c:v>3065.78</c:v>
                </c:pt>
                <c:pt idx="367">
                  <c:v>4100</c:v>
                </c:pt>
                <c:pt idx="368">
                  <c:v>4600</c:v>
                </c:pt>
                <c:pt idx="369">
                  <c:v>2400</c:v>
                </c:pt>
                <c:pt idx="370">
                  <c:v>2100</c:v>
                </c:pt>
                <c:pt idx="371">
                  <c:v>2400</c:v>
                </c:pt>
                <c:pt idx="372">
                  <c:v>4800</c:v>
                </c:pt>
                <c:pt idx="373">
                  <c:v>2600</c:v>
                </c:pt>
                <c:pt idx="374">
                  <c:v>3700</c:v>
                </c:pt>
                <c:pt idx="375">
                  <c:v>4900</c:v>
                </c:pt>
                <c:pt idx="376">
                  <c:v>3384.36</c:v>
                </c:pt>
                <c:pt idx="377">
                  <c:v>4800</c:v>
                </c:pt>
                <c:pt idx="378">
                  <c:v>3600</c:v>
                </c:pt>
                <c:pt idx="379">
                  <c:v>4600</c:v>
                </c:pt>
                <c:pt idx="380">
                  <c:v>4600</c:v>
                </c:pt>
                <c:pt idx="381">
                  <c:v>3012.27</c:v>
                </c:pt>
                <c:pt idx="382">
                  <c:v>4100</c:v>
                </c:pt>
                <c:pt idx="383">
                  <c:v>2100</c:v>
                </c:pt>
                <c:pt idx="384">
                  <c:v>3800</c:v>
                </c:pt>
                <c:pt idx="385">
                  <c:v>4500</c:v>
                </c:pt>
                <c:pt idx="386">
                  <c:v>1517.88</c:v>
                </c:pt>
                <c:pt idx="387">
                  <c:v>3800</c:v>
                </c:pt>
                <c:pt idx="388">
                  <c:v>4800</c:v>
                </c:pt>
                <c:pt idx="389">
                  <c:v>2694.72</c:v>
                </c:pt>
                <c:pt idx="390">
                  <c:v>1749.79</c:v>
                </c:pt>
                <c:pt idx="391">
                  <c:v>2130.56</c:v>
                </c:pt>
                <c:pt idx="392">
                  <c:v>5400</c:v>
                </c:pt>
                <c:pt idx="393">
                  <c:v>3300</c:v>
                </c:pt>
                <c:pt idx="394">
                  <c:v>3600</c:v>
                </c:pt>
                <c:pt idx="395">
                  <c:v>2000</c:v>
                </c:pt>
                <c:pt idx="396">
                  <c:v>2838.81</c:v>
                </c:pt>
                <c:pt idx="397">
                  <c:v>3230.37</c:v>
                </c:pt>
                <c:pt idx="398">
                  <c:v>5000</c:v>
                </c:pt>
                <c:pt idx="399">
                  <c:v>4100</c:v>
                </c:pt>
                <c:pt idx="400">
                  <c:v>3600</c:v>
                </c:pt>
                <c:pt idx="401">
                  <c:v>2700</c:v>
                </c:pt>
                <c:pt idx="402">
                  <c:v>4700</c:v>
                </c:pt>
                <c:pt idx="403">
                  <c:v>3300</c:v>
                </c:pt>
                <c:pt idx="404">
                  <c:v>2100</c:v>
                </c:pt>
                <c:pt idx="405">
                  <c:v>1958.88</c:v>
                </c:pt>
                <c:pt idx="406">
                  <c:v>4100</c:v>
                </c:pt>
                <c:pt idx="407">
                  <c:v>4000</c:v>
                </c:pt>
                <c:pt idx="408">
                  <c:v>2800</c:v>
                </c:pt>
                <c:pt idx="409">
                  <c:v>2300</c:v>
                </c:pt>
                <c:pt idx="410">
                  <c:v>2300</c:v>
                </c:pt>
                <c:pt idx="411">
                  <c:v>2500</c:v>
                </c:pt>
                <c:pt idx="412">
                  <c:v>2400</c:v>
                </c:pt>
                <c:pt idx="413">
                  <c:v>2524.8599999999997</c:v>
                </c:pt>
                <c:pt idx="414">
                  <c:v>4136</c:v>
                </c:pt>
                <c:pt idx="415">
                  <c:v>4068.7000000000003</c:v>
                </c:pt>
                <c:pt idx="416">
                  <c:v>5000</c:v>
                </c:pt>
                <c:pt idx="417">
                  <c:v>4700</c:v>
                </c:pt>
                <c:pt idx="418">
                  <c:v>9048.16</c:v>
                </c:pt>
                <c:pt idx="419">
                  <c:v>3200</c:v>
                </c:pt>
                <c:pt idx="420">
                  <c:v>3500</c:v>
                </c:pt>
                <c:pt idx="421">
                  <c:v>4900</c:v>
                </c:pt>
                <c:pt idx="422">
                  <c:v>3800</c:v>
                </c:pt>
                <c:pt idx="423">
                  <c:v>3200</c:v>
                </c:pt>
                <c:pt idx="424">
                  <c:v>3400</c:v>
                </c:pt>
                <c:pt idx="425">
                  <c:v>3570.12</c:v>
                </c:pt>
                <c:pt idx="426">
                  <c:v>4480.32</c:v>
                </c:pt>
                <c:pt idx="427">
                  <c:v>2033.64</c:v>
                </c:pt>
                <c:pt idx="428">
                  <c:v>1960.14</c:v>
                </c:pt>
                <c:pt idx="429">
                  <c:v>3400</c:v>
                </c:pt>
                <c:pt idx="430">
                  <c:v>4600</c:v>
                </c:pt>
                <c:pt idx="431">
                  <c:v>3200</c:v>
                </c:pt>
                <c:pt idx="432">
                  <c:v>2900</c:v>
                </c:pt>
                <c:pt idx="433">
                  <c:v>4100</c:v>
                </c:pt>
                <c:pt idx="434">
                  <c:v>4164.12</c:v>
                </c:pt>
                <c:pt idx="435">
                  <c:v>2400</c:v>
                </c:pt>
                <c:pt idx="436">
                  <c:v>4100</c:v>
                </c:pt>
                <c:pt idx="437">
                  <c:v>4508</c:v>
                </c:pt>
                <c:pt idx="438">
                  <c:v>3200</c:v>
                </c:pt>
                <c:pt idx="439">
                  <c:v>2200</c:v>
                </c:pt>
                <c:pt idx="440">
                  <c:v>1167.25</c:v>
                </c:pt>
                <c:pt idx="441">
                  <c:v>2083.2000000000003</c:v>
                </c:pt>
                <c:pt idx="442">
                  <c:v>3822</c:v>
                </c:pt>
                <c:pt idx="443">
                  <c:v>2700</c:v>
                </c:pt>
                <c:pt idx="444">
                  <c:v>4704</c:v>
                </c:pt>
                <c:pt idx="445">
                  <c:v>2467.8999999999996</c:v>
                </c:pt>
                <c:pt idx="446">
                  <c:v>2700</c:v>
                </c:pt>
                <c:pt idx="447">
                  <c:v>5400</c:v>
                </c:pt>
                <c:pt idx="448">
                  <c:v>2600</c:v>
                </c:pt>
                <c:pt idx="449">
                  <c:v>3400</c:v>
                </c:pt>
                <c:pt idx="450">
                  <c:v>2500</c:v>
                </c:pt>
                <c:pt idx="451">
                  <c:v>2300</c:v>
                </c:pt>
                <c:pt idx="452">
                  <c:v>2800</c:v>
                </c:pt>
                <c:pt idx="453">
                  <c:v>3500</c:v>
                </c:pt>
                <c:pt idx="454">
                  <c:v>4400</c:v>
                </c:pt>
                <c:pt idx="455">
                  <c:v>2200</c:v>
                </c:pt>
                <c:pt idx="456">
                  <c:v>4200</c:v>
                </c:pt>
                <c:pt idx="457">
                  <c:v>2900</c:v>
                </c:pt>
                <c:pt idx="458">
                  <c:v>3200</c:v>
                </c:pt>
                <c:pt idx="459">
                  <c:v>4100</c:v>
                </c:pt>
                <c:pt idx="460">
                  <c:v>2600</c:v>
                </c:pt>
                <c:pt idx="461">
                  <c:v>2100</c:v>
                </c:pt>
                <c:pt idx="462">
                  <c:v>3400</c:v>
                </c:pt>
                <c:pt idx="463">
                  <c:v>4100</c:v>
                </c:pt>
                <c:pt idx="464">
                  <c:v>3700</c:v>
                </c:pt>
                <c:pt idx="465">
                  <c:v>3700</c:v>
                </c:pt>
                <c:pt idx="466">
                  <c:v>4100</c:v>
                </c:pt>
                <c:pt idx="467">
                  <c:v>4600</c:v>
                </c:pt>
                <c:pt idx="468">
                  <c:v>4000</c:v>
                </c:pt>
                <c:pt idx="469">
                  <c:v>4196.8</c:v>
                </c:pt>
                <c:pt idx="470">
                  <c:v>2611.8000000000002</c:v>
                </c:pt>
                <c:pt idx="471">
                  <c:v>3500</c:v>
                </c:pt>
                <c:pt idx="472">
                  <c:v>3375.72</c:v>
                </c:pt>
                <c:pt idx="473">
                  <c:v>6100</c:v>
                </c:pt>
                <c:pt idx="474">
                  <c:v>3800</c:v>
                </c:pt>
                <c:pt idx="475">
                  <c:v>3900</c:v>
                </c:pt>
                <c:pt idx="476">
                  <c:v>3288.7799999999997</c:v>
                </c:pt>
                <c:pt idx="477">
                  <c:v>3200</c:v>
                </c:pt>
                <c:pt idx="478">
                  <c:v>3100</c:v>
                </c:pt>
                <c:pt idx="479">
                  <c:v>5000</c:v>
                </c:pt>
                <c:pt idx="480">
                  <c:v>4389.12</c:v>
                </c:pt>
                <c:pt idx="481">
                  <c:v>4300</c:v>
                </c:pt>
                <c:pt idx="482">
                  <c:v>2183.25</c:v>
                </c:pt>
                <c:pt idx="483">
                  <c:v>2800</c:v>
                </c:pt>
                <c:pt idx="484">
                  <c:v>3600</c:v>
                </c:pt>
                <c:pt idx="485">
                  <c:v>2413.2599999999998</c:v>
                </c:pt>
                <c:pt idx="486">
                  <c:v>2500</c:v>
                </c:pt>
                <c:pt idx="487">
                  <c:v>4000</c:v>
                </c:pt>
                <c:pt idx="488">
                  <c:v>3248.7</c:v>
                </c:pt>
                <c:pt idx="489">
                  <c:v>5000</c:v>
                </c:pt>
                <c:pt idx="490">
                  <c:v>3800</c:v>
                </c:pt>
                <c:pt idx="491">
                  <c:v>3535.35</c:v>
                </c:pt>
                <c:pt idx="492">
                  <c:v>3843.3399999999997</c:v>
                </c:pt>
                <c:pt idx="493">
                  <c:v>3710.9</c:v>
                </c:pt>
                <c:pt idx="494">
                  <c:v>4375.9799999999996</c:v>
                </c:pt>
                <c:pt idx="495">
                  <c:v>1516.62</c:v>
                </c:pt>
                <c:pt idx="496">
                  <c:v>2509</c:v>
                </c:pt>
                <c:pt idx="497">
                  <c:v>4400</c:v>
                </c:pt>
                <c:pt idx="498">
                  <c:v>2515.3199999999997</c:v>
                </c:pt>
                <c:pt idx="499">
                  <c:v>3500</c:v>
                </c:pt>
                <c:pt idx="500">
                  <c:v>4873.05</c:v>
                </c:pt>
                <c:pt idx="501">
                  <c:v>2055.7400000000002</c:v>
                </c:pt>
                <c:pt idx="502">
                  <c:v>2354.88</c:v>
                </c:pt>
                <c:pt idx="503">
                  <c:v>2309.58</c:v>
                </c:pt>
                <c:pt idx="504">
                  <c:v>2113.3700000000003</c:v>
                </c:pt>
                <c:pt idx="505">
                  <c:v>1746.6</c:v>
                </c:pt>
                <c:pt idx="506">
                  <c:v>2304.4499999999998</c:v>
                </c:pt>
                <c:pt idx="507">
                  <c:v>2122.08</c:v>
                </c:pt>
                <c:pt idx="508">
                  <c:v>1742.4</c:v>
                </c:pt>
                <c:pt idx="509">
                  <c:v>2455.02</c:v>
                </c:pt>
                <c:pt idx="510">
                  <c:v>3053.2799999999997</c:v>
                </c:pt>
                <c:pt idx="511">
                  <c:v>1423.2900000000002</c:v>
                </c:pt>
                <c:pt idx="512">
                  <c:v>1504.1200000000001</c:v>
                </c:pt>
                <c:pt idx="513">
                  <c:v>1164.4000000000001</c:v>
                </c:pt>
                <c:pt idx="514">
                  <c:v>1500.75</c:v>
                </c:pt>
                <c:pt idx="515">
                  <c:v>1557.36</c:v>
                </c:pt>
                <c:pt idx="516">
                  <c:v>1345.68</c:v>
                </c:pt>
                <c:pt idx="517">
                  <c:v>1795.24</c:v>
                </c:pt>
                <c:pt idx="518">
                  <c:v>1105.25</c:v>
                </c:pt>
                <c:pt idx="519">
                  <c:v>2364.88</c:v>
                </c:pt>
                <c:pt idx="520">
                  <c:v>2427.0300000000002</c:v>
                </c:pt>
                <c:pt idx="521">
                  <c:v>1237.95</c:v>
                </c:pt>
                <c:pt idx="522">
                  <c:v>1593.02</c:v>
                </c:pt>
                <c:pt idx="523">
                  <c:v>3156.16</c:v>
                </c:pt>
                <c:pt idx="524">
                  <c:v>1320.75</c:v>
                </c:pt>
                <c:pt idx="525">
                  <c:v>4200</c:v>
                </c:pt>
                <c:pt idx="526">
                  <c:v>1293.75</c:v>
                </c:pt>
                <c:pt idx="527">
                  <c:v>3700</c:v>
                </c:pt>
                <c:pt idx="528">
                  <c:v>2600</c:v>
                </c:pt>
                <c:pt idx="529">
                  <c:v>4380.2</c:v>
                </c:pt>
                <c:pt idx="530">
                  <c:v>4700</c:v>
                </c:pt>
                <c:pt idx="531">
                  <c:v>4300</c:v>
                </c:pt>
                <c:pt idx="532">
                  <c:v>4200</c:v>
                </c:pt>
                <c:pt idx="533">
                  <c:v>4200</c:v>
                </c:pt>
                <c:pt idx="534">
                  <c:v>2900</c:v>
                </c:pt>
                <c:pt idx="535">
                  <c:v>4000</c:v>
                </c:pt>
                <c:pt idx="536">
                  <c:v>3800</c:v>
                </c:pt>
                <c:pt idx="537">
                  <c:v>3800</c:v>
                </c:pt>
                <c:pt idx="538">
                  <c:v>2100</c:v>
                </c:pt>
                <c:pt idx="539">
                  <c:v>2400</c:v>
                </c:pt>
                <c:pt idx="540">
                  <c:v>3600</c:v>
                </c:pt>
                <c:pt idx="541">
                  <c:v>2300</c:v>
                </c:pt>
                <c:pt idx="542">
                  <c:v>2000</c:v>
                </c:pt>
                <c:pt idx="543">
                  <c:v>3200</c:v>
                </c:pt>
                <c:pt idx="544">
                  <c:v>2900</c:v>
                </c:pt>
                <c:pt idx="545">
                  <c:v>4400</c:v>
                </c:pt>
                <c:pt idx="546">
                  <c:v>4400</c:v>
                </c:pt>
                <c:pt idx="547">
                  <c:v>3600</c:v>
                </c:pt>
                <c:pt idx="548">
                  <c:v>2758.7</c:v>
                </c:pt>
                <c:pt idx="549">
                  <c:v>1449.76</c:v>
                </c:pt>
                <c:pt idx="550">
                  <c:v>5900</c:v>
                </c:pt>
                <c:pt idx="551">
                  <c:v>3700</c:v>
                </c:pt>
                <c:pt idx="552">
                  <c:v>3600</c:v>
                </c:pt>
                <c:pt idx="553">
                  <c:v>4300</c:v>
                </c:pt>
                <c:pt idx="554">
                  <c:v>2100</c:v>
                </c:pt>
                <c:pt idx="555">
                  <c:v>3200</c:v>
                </c:pt>
                <c:pt idx="556">
                  <c:v>3800</c:v>
                </c:pt>
                <c:pt idx="557">
                  <c:v>4300</c:v>
                </c:pt>
                <c:pt idx="558">
                  <c:v>4200</c:v>
                </c:pt>
                <c:pt idx="559">
                  <c:v>3200</c:v>
                </c:pt>
                <c:pt idx="560">
                  <c:v>4200</c:v>
                </c:pt>
                <c:pt idx="561">
                  <c:v>3100</c:v>
                </c:pt>
                <c:pt idx="562">
                  <c:v>4900</c:v>
                </c:pt>
                <c:pt idx="563">
                  <c:v>4500</c:v>
                </c:pt>
                <c:pt idx="564">
                  <c:v>4900</c:v>
                </c:pt>
                <c:pt idx="565">
                  <c:v>4100</c:v>
                </c:pt>
                <c:pt idx="566">
                  <c:v>4500</c:v>
                </c:pt>
                <c:pt idx="567">
                  <c:v>3600</c:v>
                </c:pt>
                <c:pt idx="568">
                  <c:v>3900</c:v>
                </c:pt>
                <c:pt idx="569">
                  <c:v>2700</c:v>
                </c:pt>
                <c:pt idx="570">
                  <c:v>2500</c:v>
                </c:pt>
                <c:pt idx="571">
                  <c:v>4100</c:v>
                </c:pt>
                <c:pt idx="572">
                  <c:v>3881.2799999999997</c:v>
                </c:pt>
                <c:pt idx="573">
                  <c:v>1611.3999999999999</c:v>
                </c:pt>
                <c:pt idx="574">
                  <c:v>1364.25</c:v>
                </c:pt>
                <c:pt idx="575">
                  <c:v>3300</c:v>
                </c:pt>
                <c:pt idx="576">
                  <c:v>3400</c:v>
                </c:pt>
                <c:pt idx="577">
                  <c:v>2400</c:v>
                </c:pt>
                <c:pt idx="578">
                  <c:v>3000</c:v>
                </c:pt>
                <c:pt idx="579">
                  <c:v>4200</c:v>
                </c:pt>
                <c:pt idx="580">
                  <c:v>2100</c:v>
                </c:pt>
                <c:pt idx="581">
                  <c:v>3400</c:v>
                </c:pt>
                <c:pt idx="582">
                  <c:v>2900</c:v>
                </c:pt>
                <c:pt idx="583">
                  <c:v>2400</c:v>
                </c:pt>
                <c:pt idx="584">
                  <c:v>4400</c:v>
                </c:pt>
                <c:pt idx="585">
                  <c:v>2100</c:v>
                </c:pt>
                <c:pt idx="586">
                  <c:v>3300</c:v>
                </c:pt>
                <c:pt idx="587">
                  <c:v>3000</c:v>
                </c:pt>
                <c:pt idx="588">
                  <c:v>2600</c:v>
                </c:pt>
                <c:pt idx="589">
                  <c:v>4100</c:v>
                </c:pt>
                <c:pt idx="590">
                  <c:v>2600</c:v>
                </c:pt>
                <c:pt idx="591">
                  <c:v>3200</c:v>
                </c:pt>
                <c:pt idx="592">
                  <c:v>4300</c:v>
                </c:pt>
                <c:pt idx="593">
                  <c:v>4800</c:v>
                </c:pt>
                <c:pt idx="594">
                  <c:v>3257.76</c:v>
                </c:pt>
                <c:pt idx="595">
                  <c:v>4500</c:v>
                </c:pt>
                <c:pt idx="596">
                  <c:v>3700</c:v>
                </c:pt>
                <c:pt idx="597">
                  <c:v>3900</c:v>
                </c:pt>
                <c:pt idx="598">
                  <c:v>7600</c:v>
                </c:pt>
                <c:pt idx="599">
                  <c:v>3700</c:v>
                </c:pt>
                <c:pt idx="600">
                  <c:v>3130.82</c:v>
                </c:pt>
                <c:pt idx="601">
                  <c:v>3112.3399999999997</c:v>
                </c:pt>
                <c:pt idx="602">
                  <c:v>3806.88</c:v>
                </c:pt>
                <c:pt idx="603">
                  <c:v>2142.14</c:v>
                </c:pt>
                <c:pt idx="604">
                  <c:v>3364.9</c:v>
                </c:pt>
                <c:pt idx="605">
                  <c:v>1262.8</c:v>
                </c:pt>
                <c:pt idx="606">
                  <c:v>1626.24</c:v>
                </c:pt>
                <c:pt idx="607">
                  <c:v>4088.7</c:v>
                </c:pt>
                <c:pt idx="608">
                  <c:v>3846.15</c:v>
                </c:pt>
                <c:pt idx="609">
                  <c:v>1339.8</c:v>
                </c:pt>
                <c:pt idx="610">
                  <c:v>3039.9600000000005</c:v>
                </c:pt>
                <c:pt idx="611">
                  <c:v>3400.32</c:v>
                </c:pt>
                <c:pt idx="612">
                  <c:v>1930.39</c:v>
                </c:pt>
                <c:pt idx="613">
                  <c:v>2464.77</c:v>
                </c:pt>
                <c:pt idx="614">
                  <c:v>2634.94</c:v>
                </c:pt>
                <c:pt idx="615">
                  <c:v>3625.16</c:v>
                </c:pt>
                <c:pt idx="616">
                  <c:v>3788.4</c:v>
                </c:pt>
                <c:pt idx="617">
                  <c:v>1832.6</c:v>
                </c:pt>
                <c:pt idx="618">
                  <c:v>2905.98</c:v>
                </c:pt>
                <c:pt idx="619">
                  <c:v>2900</c:v>
                </c:pt>
                <c:pt idx="620">
                  <c:v>3599.75</c:v>
                </c:pt>
                <c:pt idx="621">
                  <c:v>2200</c:v>
                </c:pt>
                <c:pt idx="622">
                  <c:v>2100.56</c:v>
                </c:pt>
                <c:pt idx="623">
                  <c:v>3881.7799999999997</c:v>
                </c:pt>
                <c:pt idx="624">
                  <c:v>4509.12</c:v>
                </c:pt>
                <c:pt idx="625">
                  <c:v>3273.2700000000004</c:v>
                </c:pt>
                <c:pt idx="626">
                  <c:v>3800</c:v>
                </c:pt>
                <c:pt idx="627">
                  <c:v>3100</c:v>
                </c:pt>
                <c:pt idx="628">
                  <c:v>3600</c:v>
                </c:pt>
                <c:pt idx="629">
                  <c:v>2500</c:v>
                </c:pt>
                <c:pt idx="630">
                  <c:v>4800</c:v>
                </c:pt>
                <c:pt idx="631">
                  <c:v>3500</c:v>
                </c:pt>
                <c:pt idx="632">
                  <c:v>2100</c:v>
                </c:pt>
                <c:pt idx="633">
                  <c:v>4700</c:v>
                </c:pt>
                <c:pt idx="634">
                  <c:v>3800</c:v>
                </c:pt>
                <c:pt idx="635">
                  <c:v>4100</c:v>
                </c:pt>
                <c:pt idx="636">
                  <c:v>2400</c:v>
                </c:pt>
                <c:pt idx="637">
                  <c:v>3700</c:v>
                </c:pt>
                <c:pt idx="638">
                  <c:v>3300</c:v>
                </c:pt>
                <c:pt idx="639">
                  <c:v>4900</c:v>
                </c:pt>
                <c:pt idx="640">
                  <c:v>2900</c:v>
                </c:pt>
                <c:pt idx="641">
                  <c:v>2400</c:v>
                </c:pt>
                <c:pt idx="642">
                  <c:v>4700</c:v>
                </c:pt>
                <c:pt idx="643">
                  <c:v>2400</c:v>
                </c:pt>
                <c:pt idx="644">
                  <c:v>2500</c:v>
                </c:pt>
                <c:pt idx="645">
                  <c:v>974.09999999999991</c:v>
                </c:pt>
                <c:pt idx="646">
                  <c:v>2200</c:v>
                </c:pt>
                <c:pt idx="647">
                  <c:v>1746.6299999999999</c:v>
                </c:pt>
                <c:pt idx="648">
                  <c:v>3400</c:v>
                </c:pt>
                <c:pt idx="649">
                  <c:v>3600</c:v>
                </c:pt>
                <c:pt idx="650">
                  <c:v>1463.6999999999998</c:v>
                </c:pt>
                <c:pt idx="651">
                  <c:v>4800</c:v>
                </c:pt>
                <c:pt idx="652">
                  <c:v>3400</c:v>
                </c:pt>
                <c:pt idx="653">
                  <c:v>2400</c:v>
                </c:pt>
                <c:pt idx="654">
                  <c:v>4600</c:v>
                </c:pt>
                <c:pt idx="655">
                  <c:v>4500</c:v>
                </c:pt>
                <c:pt idx="656">
                  <c:v>3900</c:v>
                </c:pt>
                <c:pt idx="657">
                  <c:v>4300</c:v>
                </c:pt>
                <c:pt idx="658">
                  <c:v>2900</c:v>
                </c:pt>
                <c:pt idx="659">
                  <c:v>2000</c:v>
                </c:pt>
                <c:pt idx="660">
                  <c:v>4600</c:v>
                </c:pt>
                <c:pt idx="661">
                  <c:v>2700</c:v>
                </c:pt>
                <c:pt idx="662">
                  <c:v>4400</c:v>
                </c:pt>
                <c:pt idx="663">
                  <c:v>4300</c:v>
                </c:pt>
                <c:pt idx="664">
                  <c:v>4900</c:v>
                </c:pt>
                <c:pt idx="665">
                  <c:v>4000</c:v>
                </c:pt>
                <c:pt idx="666">
                  <c:v>3000</c:v>
                </c:pt>
                <c:pt idx="667">
                  <c:v>5000</c:v>
                </c:pt>
                <c:pt idx="668">
                  <c:v>2300</c:v>
                </c:pt>
                <c:pt idx="669">
                  <c:v>2600</c:v>
                </c:pt>
                <c:pt idx="670">
                  <c:v>2700</c:v>
                </c:pt>
                <c:pt idx="671">
                  <c:v>4200</c:v>
                </c:pt>
                <c:pt idx="672">
                  <c:v>4700</c:v>
                </c:pt>
                <c:pt idx="673">
                  <c:v>4900</c:v>
                </c:pt>
                <c:pt idx="674">
                  <c:v>3800</c:v>
                </c:pt>
                <c:pt idx="675">
                  <c:v>2000</c:v>
                </c:pt>
                <c:pt idx="676">
                  <c:v>2500</c:v>
                </c:pt>
                <c:pt idx="677">
                  <c:v>2200</c:v>
                </c:pt>
                <c:pt idx="678">
                  <c:v>4100</c:v>
                </c:pt>
                <c:pt idx="679">
                  <c:v>2800</c:v>
                </c:pt>
                <c:pt idx="680">
                  <c:v>3390</c:v>
                </c:pt>
                <c:pt idx="681">
                  <c:v>1608</c:v>
                </c:pt>
                <c:pt idx="682">
                  <c:v>2262.96</c:v>
                </c:pt>
                <c:pt idx="683">
                  <c:v>1496.6399999999999</c:v>
                </c:pt>
                <c:pt idx="684">
                  <c:v>1879.7400000000002</c:v>
                </c:pt>
                <c:pt idx="685">
                  <c:v>1495.26</c:v>
                </c:pt>
                <c:pt idx="686">
                  <c:v>2323.6999999999998</c:v>
                </c:pt>
                <c:pt idx="687">
                  <c:v>2491.86</c:v>
                </c:pt>
                <c:pt idx="688">
                  <c:v>1643.12</c:v>
                </c:pt>
                <c:pt idx="689">
                  <c:v>1322.16</c:v>
                </c:pt>
                <c:pt idx="690">
                  <c:v>1423.8</c:v>
                </c:pt>
                <c:pt idx="691">
                  <c:v>2397.4500000000003</c:v>
                </c:pt>
                <c:pt idx="692">
                  <c:v>1574</c:v>
                </c:pt>
                <c:pt idx="693">
                  <c:v>1729</c:v>
                </c:pt>
                <c:pt idx="694">
                  <c:v>2255.84</c:v>
                </c:pt>
                <c:pt idx="695">
                  <c:v>1834.5</c:v>
                </c:pt>
                <c:pt idx="696">
                  <c:v>3201.5</c:v>
                </c:pt>
                <c:pt idx="697">
                  <c:v>2276.3999999999996</c:v>
                </c:pt>
                <c:pt idx="698">
                  <c:v>4500</c:v>
                </c:pt>
                <c:pt idx="699">
                  <c:v>1331.1</c:v>
                </c:pt>
                <c:pt idx="700">
                  <c:v>3051.3</c:v>
                </c:pt>
                <c:pt idx="701">
                  <c:v>2288.52</c:v>
                </c:pt>
                <c:pt idx="702">
                  <c:v>2900</c:v>
                </c:pt>
                <c:pt idx="703">
                  <c:v>3900</c:v>
                </c:pt>
                <c:pt idx="704">
                  <c:v>4500</c:v>
                </c:pt>
                <c:pt idx="705">
                  <c:v>4700</c:v>
                </c:pt>
                <c:pt idx="706">
                  <c:v>4900</c:v>
                </c:pt>
                <c:pt idx="707">
                  <c:v>4600</c:v>
                </c:pt>
                <c:pt idx="708">
                  <c:v>4800</c:v>
                </c:pt>
                <c:pt idx="709">
                  <c:v>4600</c:v>
                </c:pt>
                <c:pt idx="710">
                  <c:v>3500</c:v>
                </c:pt>
                <c:pt idx="711">
                  <c:v>4300</c:v>
                </c:pt>
                <c:pt idx="712">
                  <c:v>2600</c:v>
                </c:pt>
                <c:pt idx="713">
                  <c:v>2159.96</c:v>
                </c:pt>
                <c:pt idx="714">
                  <c:v>3379.94</c:v>
                </c:pt>
                <c:pt idx="715">
                  <c:v>5000</c:v>
                </c:pt>
                <c:pt idx="716">
                  <c:v>4800</c:v>
                </c:pt>
                <c:pt idx="717">
                  <c:v>4100</c:v>
                </c:pt>
                <c:pt idx="718">
                  <c:v>3600</c:v>
                </c:pt>
                <c:pt idx="719">
                  <c:v>2900</c:v>
                </c:pt>
                <c:pt idx="720">
                  <c:v>1236.8399999999999</c:v>
                </c:pt>
                <c:pt idx="721">
                  <c:v>4600</c:v>
                </c:pt>
                <c:pt idx="722">
                  <c:v>3800</c:v>
                </c:pt>
                <c:pt idx="723">
                  <c:v>728.40000000000009</c:v>
                </c:pt>
                <c:pt idx="724">
                  <c:v>2200</c:v>
                </c:pt>
                <c:pt idx="725">
                  <c:v>2700</c:v>
                </c:pt>
                <c:pt idx="726">
                  <c:v>5498.08</c:v>
                </c:pt>
                <c:pt idx="727">
                  <c:v>3777.58</c:v>
                </c:pt>
                <c:pt idx="728">
                  <c:v>2500</c:v>
                </c:pt>
                <c:pt idx="729">
                  <c:v>3300</c:v>
                </c:pt>
                <c:pt idx="730">
                  <c:v>4200</c:v>
                </c:pt>
                <c:pt idx="731">
                  <c:v>3300</c:v>
                </c:pt>
                <c:pt idx="732">
                  <c:v>3800</c:v>
                </c:pt>
                <c:pt idx="733">
                  <c:v>3100</c:v>
                </c:pt>
                <c:pt idx="734">
                  <c:v>2000</c:v>
                </c:pt>
                <c:pt idx="735">
                  <c:v>4400</c:v>
                </c:pt>
                <c:pt idx="736">
                  <c:v>2600</c:v>
                </c:pt>
                <c:pt idx="737">
                  <c:v>2700</c:v>
                </c:pt>
                <c:pt idx="738">
                  <c:v>4600</c:v>
                </c:pt>
                <c:pt idx="739">
                  <c:v>4700</c:v>
                </c:pt>
                <c:pt idx="740">
                  <c:v>3700</c:v>
                </c:pt>
                <c:pt idx="741">
                  <c:v>3100</c:v>
                </c:pt>
                <c:pt idx="742">
                  <c:v>2400</c:v>
                </c:pt>
                <c:pt idx="743">
                  <c:v>3100</c:v>
                </c:pt>
                <c:pt idx="744">
                  <c:v>5000</c:v>
                </c:pt>
                <c:pt idx="745">
                  <c:v>2264.15</c:v>
                </c:pt>
                <c:pt idx="746">
                  <c:v>3000</c:v>
                </c:pt>
                <c:pt idx="747">
                  <c:v>2900</c:v>
                </c:pt>
                <c:pt idx="748">
                  <c:v>2700</c:v>
                </c:pt>
                <c:pt idx="749">
                  <c:v>4000</c:v>
                </c:pt>
                <c:pt idx="750">
                  <c:v>3068.69</c:v>
                </c:pt>
                <c:pt idx="751">
                  <c:v>600</c:v>
                </c:pt>
                <c:pt idx="752">
                  <c:v>4500</c:v>
                </c:pt>
                <c:pt idx="753">
                  <c:v>1189.98</c:v>
                </c:pt>
                <c:pt idx="754">
                  <c:v>3090.15</c:v>
                </c:pt>
                <c:pt idx="755">
                  <c:v>2795.8599999999997</c:v>
                </c:pt>
                <c:pt idx="756">
                  <c:v>2851.54</c:v>
                </c:pt>
                <c:pt idx="757">
                  <c:v>2701.92</c:v>
                </c:pt>
                <c:pt idx="758">
                  <c:v>2204.1</c:v>
                </c:pt>
                <c:pt idx="759">
                  <c:v>2840.48</c:v>
                </c:pt>
                <c:pt idx="760">
                  <c:v>2647.04</c:v>
                </c:pt>
                <c:pt idx="761">
                  <c:v>3172.0499999999997</c:v>
                </c:pt>
                <c:pt idx="762">
                  <c:v>2585.9299999999998</c:v>
                </c:pt>
                <c:pt idx="763">
                  <c:v>2148.3000000000002</c:v>
                </c:pt>
                <c:pt idx="764">
                  <c:v>1667.3999999999999</c:v>
                </c:pt>
                <c:pt idx="765">
                  <c:v>1859.7</c:v>
                </c:pt>
                <c:pt idx="766">
                  <c:v>1476.6</c:v>
                </c:pt>
                <c:pt idx="767">
                  <c:v>1732</c:v>
                </c:pt>
                <c:pt idx="768">
                  <c:v>1674.1699999999998</c:v>
                </c:pt>
                <c:pt idx="769">
                  <c:v>1500.98</c:v>
                </c:pt>
                <c:pt idx="770">
                  <c:v>2192.6799999999998</c:v>
                </c:pt>
                <c:pt idx="771">
                  <c:v>1797.58</c:v>
                </c:pt>
                <c:pt idx="772">
                  <c:v>2142.35</c:v>
                </c:pt>
                <c:pt idx="773">
                  <c:v>2086.92</c:v>
                </c:pt>
                <c:pt idx="774">
                  <c:v>5000</c:v>
                </c:pt>
                <c:pt idx="775">
                  <c:v>2541.59</c:v>
                </c:pt>
                <c:pt idx="776">
                  <c:v>2130.92</c:v>
                </c:pt>
                <c:pt idx="777">
                  <c:v>1701.6999999999998</c:v>
                </c:pt>
                <c:pt idx="778">
                  <c:v>1694</c:v>
                </c:pt>
                <c:pt idx="779">
                  <c:v>2913.53</c:v>
                </c:pt>
                <c:pt idx="780">
                  <c:v>935.18</c:v>
                </c:pt>
                <c:pt idx="781">
                  <c:v>3073.26</c:v>
                </c:pt>
                <c:pt idx="782">
                  <c:v>2082.4900000000002</c:v>
                </c:pt>
                <c:pt idx="783">
                  <c:v>3394.23</c:v>
                </c:pt>
                <c:pt idx="784">
                  <c:v>2559.6</c:v>
                </c:pt>
                <c:pt idx="785">
                  <c:v>1490.1599999999999</c:v>
                </c:pt>
                <c:pt idx="786">
                  <c:v>3844</c:v>
                </c:pt>
                <c:pt idx="787">
                  <c:v>4700</c:v>
                </c:pt>
                <c:pt idx="788">
                  <c:v>1824.72</c:v>
                </c:pt>
                <c:pt idx="789">
                  <c:v>2668.6800000000003</c:v>
                </c:pt>
                <c:pt idx="790">
                  <c:v>2843.61</c:v>
                </c:pt>
                <c:pt idx="791">
                  <c:v>3163.65</c:v>
                </c:pt>
                <c:pt idx="792">
                  <c:v>2226.11</c:v>
                </c:pt>
                <c:pt idx="793">
                  <c:v>2069.75</c:v>
                </c:pt>
                <c:pt idx="794">
                  <c:v>2235.3300000000004</c:v>
                </c:pt>
                <c:pt idx="795">
                  <c:v>3100</c:v>
                </c:pt>
                <c:pt idx="796">
                  <c:v>4500</c:v>
                </c:pt>
                <c:pt idx="797">
                  <c:v>2700</c:v>
                </c:pt>
                <c:pt idx="798">
                  <c:v>2700</c:v>
                </c:pt>
                <c:pt idx="799">
                  <c:v>2909.3399999999997</c:v>
                </c:pt>
                <c:pt idx="800">
                  <c:v>1570.1699999999998</c:v>
                </c:pt>
                <c:pt idx="801">
                  <c:v>2613.92</c:v>
                </c:pt>
                <c:pt idx="802">
                  <c:v>3193.26</c:v>
                </c:pt>
                <c:pt idx="803">
                  <c:v>1482.6000000000001</c:v>
                </c:pt>
                <c:pt idx="804">
                  <c:v>2055.23</c:v>
                </c:pt>
                <c:pt idx="805">
                  <c:v>2674.9</c:v>
                </c:pt>
                <c:pt idx="806">
                  <c:v>1853.4</c:v>
                </c:pt>
                <c:pt idx="807">
                  <c:v>1490.1000000000001</c:v>
                </c:pt>
                <c:pt idx="808">
                  <c:v>2162.16</c:v>
                </c:pt>
                <c:pt idx="809">
                  <c:v>2814.28</c:v>
                </c:pt>
                <c:pt idx="810">
                  <c:v>1605</c:v>
                </c:pt>
                <c:pt idx="811">
                  <c:v>2093.44</c:v>
                </c:pt>
                <c:pt idx="812">
                  <c:v>1944.3000000000002</c:v>
                </c:pt>
                <c:pt idx="813">
                  <c:v>1986.8000000000002</c:v>
                </c:pt>
                <c:pt idx="814">
                  <c:v>1695.96</c:v>
                </c:pt>
                <c:pt idx="815">
                  <c:v>1281.56</c:v>
                </c:pt>
                <c:pt idx="816">
                  <c:v>1774.22</c:v>
                </c:pt>
                <c:pt idx="817">
                  <c:v>1997.5</c:v>
                </c:pt>
                <c:pt idx="818">
                  <c:v>2353.2000000000003</c:v>
                </c:pt>
                <c:pt idx="819">
                  <c:v>981.2</c:v>
                </c:pt>
                <c:pt idx="820">
                  <c:v>1550.72</c:v>
                </c:pt>
                <c:pt idx="821">
                  <c:v>1771.0600000000002</c:v>
                </c:pt>
                <c:pt idx="822">
                  <c:v>2213.4</c:v>
                </c:pt>
                <c:pt idx="823">
                  <c:v>3800</c:v>
                </c:pt>
                <c:pt idx="824">
                  <c:v>1864.8</c:v>
                </c:pt>
                <c:pt idx="825">
                  <c:v>1142.4100000000001</c:v>
                </c:pt>
                <c:pt idx="826">
                  <c:v>1172.5999999999999</c:v>
                </c:pt>
                <c:pt idx="827">
                  <c:v>3900</c:v>
                </c:pt>
                <c:pt idx="828">
                  <c:v>3064.6</c:v>
                </c:pt>
                <c:pt idx="829">
                  <c:v>2202.48</c:v>
                </c:pt>
                <c:pt idx="830">
                  <c:v>2600</c:v>
                </c:pt>
                <c:pt idx="831">
                  <c:v>3100</c:v>
                </c:pt>
                <c:pt idx="832">
                  <c:v>3400</c:v>
                </c:pt>
                <c:pt idx="833">
                  <c:v>4100</c:v>
                </c:pt>
                <c:pt idx="834">
                  <c:v>2300</c:v>
                </c:pt>
                <c:pt idx="835">
                  <c:v>4800</c:v>
                </c:pt>
                <c:pt idx="836">
                  <c:v>2200</c:v>
                </c:pt>
                <c:pt idx="837">
                  <c:v>2100</c:v>
                </c:pt>
                <c:pt idx="838">
                  <c:v>2200</c:v>
                </c:pt>
                <c:pt idx="839">
                  <c:v>4000</c:v>
                </c:pt>
                <c:pt idx="840">
                  <c:v>5000</c:v>
                </c:pt>
                <c:pt idx="841">
                  <c:v>2900</c:v>
                </c:pt>
                <c:pt idx="842">
                  <c:v>4300</c:v>
                </c:pt>
                <c:pt idx="843">
                  <c:v>2400</c:v>
                </c:pt>
                <c:pt idx="844">
                  <c:v>2200</c:v>
                </c:pt>
                <c:pt idx="845">
                  <c:v>4300</c:v>
                </c:pt>
                <c:pt idx="846">
                  <c:v>2000</c:v>
                </c:pt>
                <c:pt idx="847">
                  <c:v>2500</c:v>
                </c:pt>
                <c:pt idx="848">
                  <c:v>3600</c:v>
                </c:pt>
                <c:pt idx="849">
                  <c:v>1264.08</c:v>
                </c:pt>
                <c:pt idx="850">
                  <c:v>2100</c:v>
                </c:pt>
                <c:pt idx="851">
                  <c:v>3000</c:v>
                </c:pt>
                <c:pt idx="852">
                  <c:v>3033.28</c:v>
                </c:pt>
                <c:pt idx="853">
                  <c:v>990.78</c:v>
                </c:pt>
                <c:pt idx="854">
                  <c:v>2030.86</c:v>
                </c:pt>
                <c:pt idx="855">
                  <c:v>3500</c:v>
                </c:pt>
                <c:pt idx="856">
                  <c:v>2600</c:v>
                </c:pt>
                <c:pt idx="857">
                  <c:v>4600</c:v>
                </c:pt>
                <c:pt idx="858">
                  <c:v>3700</c:v>
                </c:pt>
                <c:pt idx="859">
                  <c:v>2700</c:v>
                </c:pt>
                <c:pt idx="860">
                  <c:v>2300</c:v>
                </c:pt>
                <c:pt idx="861">
                  <c:v>3900</c:v>
                </c:pt>
                <c:pt idx="862">
                  <c:v>2700</c:v>
                </c:pt>
                <c:pt idx="863">
                  <c:v>3800</c:v>
                </c:pt>
                <c:pt idx="864">
                  <c:v>2700</c:v>
                </c:pt>
                <c:pt idx="865">
                  <c:v>4000</c:v>
                </c:pt>
                <c:pt idx="866">
                  <c:v>2400</c:v>
                </c:pt>
                <c:pt idx="867">
                  <c:v>4400</c:v>
                </c:pt>
                <c:pt idx="868">
                  <c:v>3700</c:v>
                </c:pt>
                <c:pt idx="869">
                  <c:v>2000</c:v>
                </c:pt>
                <c:pt idx="870">
                  <c:v>3900</c:v>
                </c:pt>
                <c:pt idx="871">
                  <c:v>4400</c:v>
                </c:pt>
                <c:pt idx="872">
                  <c:v>2200</c:v>
                </c:pt>
                <c:pt idx="873">
                  <c:v>4300</c:v>
                </c:pt>
                <c:pt idx="874">
                  <c:v>2700</c:v>
                </c:pt>
                <c:pt idx="875">
                  <c:v>1687.4</c:v>
                </c:pt>
                <c:pt idx="876">
                  <c:v>1308</c:v>
                </c:pt>
                <c:pt idx="877">
                  <c:v>4900</c:v>
                </c:pt>
                <c:pt idx="878">
                  <c:v>2900</c:v>
                </c:pt>
                <c:pt idx="879">
                  <c:v>4100</c:v>
                </c:pt>
                <c:pt idx="880">
                  <c:v>5500</c:v>
                </c:pt>
                <c:pt idx="881">
                  <c:v>2242.89</c:v>
                </c:pt>
                <c:pt idx="882">
                  <c:v>2300</c:v>
                </c:pt>
                <c:pt idx="883">
                  <c:v>2795.27</c:v>
                </c:pt>
                <c:pt idx="884">
                  <c:v>4600</c:v>
                </c:pt>
                <c:pt idx="885">
                  <c:v>4285.46</c:v>
                </c:pt>
                <c:pt idx="886">
                  <c:v>3100</c:v>
                </c:pt>
                <c:pt idx="887">
                  <c:v>4600</c:v>
                </c:pt>
                <c:pt idx="888">
                  <c:v>3298.55</c:v>
                </c:pt>
                <c:pt idx="889">
                  <c:v>2609.8799999999997</c:v>
                </c:pt>
                <c:pt idx="890">
                  <c:v>3336.29</c:v>
                </c:pt>
                <c:pt idx="891">
                  <c:v>4900</c:v>
                </c:pt>
                <c:pt idx="892">
                  <c:v>2400</c:v>
                </c:pt>
                <c:pt idx="893">
                  <c:v>3000</c:v>
                </c:pt>
                <c:pt idx="894">
                  <c:v>4407</c:v>
                </c:pt>
                <c:pt idx="895">
                  <c:v>2983.44</c:v>
                </c:pt>
                <c:pt idx="896">
                  <c:v>4600</c:v>
                </c:pt>
                <c:pt idx="897">
                  <c:v>4700</c:v>
                </c:pt>
                <c:pt idx="898">
                  <c:v>4600</c:v>
                </c:pt>
                <c:pt idx="899">
                  <c:v>3700</c:v>
                </c:pt>
                <c:pt idx="900">
                  <c:v>3300</c:v>
                </c:pt>
                <c:pt idx="901">
                  <c:v>2795.27</c:v>
                </c:pt>
                <c:pt idx="902">
                  <c:v>4800</c:v>
                </c:pt>
                <c:pt idx="903">
                  <c:v>3572.33</c:v>
                </c:pt>
                <c:pt idx="904">
                  <c:v>4200</c:v>
                </c:pt>
                <c:pt idx="905">
                  <c:v>4100</c:v>
                </c:pt>
                <c:pt idx="906">
                  <c:v>1448</c:v>
                </c:pt>
                <c:pt idx="907">
                  <c:v>881.4</c:v>
                </c:pt>
                <c:pt idx="908">
                  <c:v>2011.1000000000001</c:v>
                </c:pt>
                <c:pt idx="909">
                  <c:v>1801.24</c:v>
                </c:pt>
                <c:pt idx="910">
                  <c:v>3390.2000000000003</c:v>
                </c:pt>
                <c:pt idx="911">
                  <c:v>1424</c:v>
                </c:pt>
                <c:pt idx="912">
                  <c:v>1499.1</c:v>
                </c:pt>
                <c:pt idx="913">
                  <c:v>3358.08</c:v>
                </c:pt>
                <c:pt idx="914">
                  <c:v>1504.1599999999999</c:v>
                </c:pt>
                <c:pt idx="915">
                  <c:v>2655.12</c:v>
                </c:pt>
                <c:pt idx="916">
                  <c:v>1244.1600000000001</c:v>
                </c:pt>
                <c:pt idx="917">
                  <c:v>1888.8799999999999</c:v>
                </c:pt>
                <c:pt idx="918">
                  <c:v>1820.01</c:v>
                </c:pt>
                <c:pt idx="919">
                  <c:v>2866.95</c:v>
                </c:pt>
                <c:pt idx="920">
                  <c:v>1394.16</c:v>
                </c:pt>
                <c:pt idx="921">
                  <c:v>2632.2799999999997</c:v>
                </c:pt>
                <c:pt idx="922">
                  <c:v>2018.56</c:v>
                </c:pt>
                <c:pt idx="923">
                  <c:v>2954.5299999999997</c:v>
                </c:pt>
                <c:pt idx="924">
                  <c:v>1871.8300000000002</c:v>
                </c:pt>
                <c:pt idx="925">
                  <c:v>1559.04</c:v>
                </c:pt>
                <c:pt idx="926">
                  <c:v>1880.2</c:v>
                </c:pt>
                <c:pt idx="927">
                  <c:v>1224.67</c:v>
                </c:pt>
                <c:pt idx="928">
                  <c:v>2600</c:v>
                </c:pt>
                <c:pt idx="929">
                  <c:v>2208.64</c:v>
                </c:pt>
                <c:pt idx="930">
                  <c:v>3458.42</c:v>
                </c:pt>
                <c:pt idx="931">
                  <c:v>1237.8800000000001</c:v>
                </c:pt>
                <c:pt idx="932">
                  <c:v>2723.2</c:v>
                </c:pt>
                <c:pt idx="933">
                  <c:v>2218.52</c:v>
                </c:pt>
                <c:pt idx="934">
                  <c:v>1665.32</c:v>
                </c:pt>
                <c:pt idx="935">
                  <c:v>3421.04</c:v>
                </c:pt>
                <c:pt idx="936">
                  <c:v>1878.6599999999999</c:v>
                </c:pt>
                <c:pt idx="937">
                  <c:v>3853.6000000000004</c:v>
                </c:pt>
                <c:pt idx="938">
                  <c:v>3442.6400000000003</c:v>
                </c:pt>
                <c:pt idx="939">
                  <c:v>3482.16</c:v>
                </c:pt>
                <c:pt idx="940">
                  <c:v>3363.5200000000004</c:v>
                </c:pt>
                <c:pt idx="941">
                  <c:v>3350.52</c:v>
                </c:pt>
                <c:pt idx="942">
                  <c:v>2862.72</c:v>
                </c:pt>
                <c:pt idx="943">
                  <c:v>4036.04</c:v>
                </c:pt>
                <c:pt idx="944">
                  <c:v>2800</c:v>
                </c:pt>
                <c:pt idx="945">
                  <c:v>4636.38</c:v>
                </c:pt>
                <c:pt idx="946">
                  <c:v>1553.5800000000002</c:v>
                </c:pt>
                <c:pt idx="947">
                  <c:v>2697.6</c:v>
                </c:pt>
                <c:pt idx="948">
                  <c:v>3334.04</c:v>
                </c:pt>
                <c:pt idx="949">
                  <c:v>2059.2600000000002</c:v>
                </c:pt>
                <c:pt idx="950">
                  <c:v>2023.14</c:v>
                </c:pt>
                <c:pt idx="951">
                  <c:v>2586.64</c:v>
                </c:pt>
                <c:pt idx="952">
                  <c:v>1987.02</c:v>
                </c:pt>
                <c:pt idx="953">
                  <c:v>1146.5</c:v>
                </c:pt>
                <c:pt idx="954">
                  <c:v>2312.2399999999998</c:v>
                </c:pt>
                <c:pt idx="955">
                  <c:v>2793.71</c:v>
                </c:pt>
                <c:pt idx="956">
                  <c:v>1908.28</c:v>
                </c:pt>
                <c:pt idx="957">
                  <c:v>3441.3700000000003</c:v>
                </c:pt>
                <c:pt idx="958">
                  <c:v>2023.2800000000002</c:v>
                </c:pt>
                <c:pt idx="959">
                  <c:v>2245.2000000000003</c:v>
                </c:pt>
                <c:pt idx="960">
                  <c:v>3255.1200000000003</c:v>
                </c:pt>
                <c:pt idx="961">
                  <c:v>2500</c:v>
                </c:pt>
                <c:pt idx="962">
                  <c:v>4300</c:v>
                </c:pt>
                <c:pt idx="963">
                  <c:v>2921.7</c:v>
                </c:pt>
                <c:pt idx="964">
                  <c:v>1801.2</c:v>
                </c:pt>
                <c:pt idx="965">
                  <c:v>2600</c:v>
                </c:pt>
                <c:pt idx="966">
                  <c:v>4000</c:v>
                </c:pt>
                <c:pt idx="967">
                  <c:v>2759.31</c:v>
                </c:pt>
                <c:pt idx="968">
                  <c:v>2200</c:v>
                </c:pt>
                <c:pt idx="969">
                  <c:v>2300</c:v>
                </c:pt>
                <c:pt idx="970">
                  <c:v>3000</c:v>
                </c:pt>
                <c:pt idx="971">
                  <c:v>4900</c:v>
                </c:pt>
                <c:pt idx="972">
                  <c:v>3100</c:v>
                </c:pt>
                <c:pt idx="973">
                  <c:v>2900</c:v>
                </c:pt>
                <c:pt idx="974">
                  <c:v>3138.3399999999997</c:v>
                </c:pt>
                <c:pt idx="975">
                  <c:v>3800</c:v>
                </c:pt>
                <c:pt idx="976">
                  <c:v>2900</c:v>
                </c:pt>
                <c:pt idx="977">
                  <c:v>2300</c:v>
                </c:pt>
                <c:pt idx="978">
                  <c:v>2232.62</c:v>
                </c:pt>
                <c:pt idx="979">
                  <c:v>3800</c:v>
                </c:pt>
                <c:pt idx="980">
                  <c:v>2257.92</c:v>
                </c:pt>
                <c:pt idx="981">
                  <c:v>1592</c:v>
                </c:pt>
                <c:pt idx="982">
                  <c:v>4500</c:v>
                </c:pt>
                <c:pt idx="983">
                  <c:v>4400</c:v>
                </c:pt>
                <c:pt idx="984">
                  <c:v>1978.62</c:v>
                </c:pt>
                <c:pt idx="985">
                  <c:v>3500</c:v>
                </c:pt>
                <c:pt idx="986">
                  <c:v>2520.6799999999998</c:v>
                </c:pt>
                <c:pt idx="987">
                  <c:v>1781.2199999999998</c:v>
                </c:pt>
                <c:pt idx="988">
                  <c:v>2200</c:v>
                </c:pt>
                <c:pt idx="989">
                  <c:v>2600</c:v>
                </c:pt>
                <c:pt idx="990">
                  <c:v>4100</c:v>
                </c:pt>
                <c:pt idx="991">
                  <c:v>4700</c:v>
                </c:pt>
                <c:pt idx="992">
                  <c:v>3100</c:v>
                </c:pt>
                <c:pt idx="993">
                  <c:v>4300</c:v>
                </c:pt>
                <c:pt idx="994">
                  <c:v>2300</c:v>
                </c:pt>
                <c:pt idx="995">
                  <c:v>2800</c:v>
                </c:pt>
                <c:pt idx="996">
                  <c:v>4900</c:v>
                </c:pt>
                <c:pt idx="997">
                  <c:v>2400</c:v>
                </c:pt>
                <c:pt idx="998">
                  <c:v>3300</c:v>
                </c:pt>
                <c:pt idx="999">
                  <c:v>2200</c:v>
                </c:pt>
                <c:pt idx="1000">
                  <c:v>3200</c:v>
                </c:pt>
                <c:pt idx="1001">
                  <c:v>4000</c:v>
                </c:pt>
                <c:pt idx="1002">
                  <c:v>4300</c:v>
                </c:pt>
                <c:pt idx="1003">
                  <c:v>2400</c:v>
                </c:pt>
                <c:pt idx="1004">
                  <c:v>3200</c:v>
                </c:pt>
                <c:pt idx="1005">
                  <c:v>2000</c:v>
                </c:pt>
                <c:pt idx="1006">
                  <c:v>1658.88</c:v>
                </c:pt>
                <c:pt idx="1007">
                  <c:v>4800</c:v>
                </c:pt>
                <c:pt idx="1008">
                  <c:v>4400</c:v>
                </c:pt>
                <c:pt idx="1009">
                  <c:v>2800</c:v>
                </c:pt>
                <c:pt idx="1010">
                  <c:v>1476.48</c:v>
                </c:pt>
                <c:pt idx="1011">
                  <c:v>3300</c:v>
                </c:pt>
                <c:pt idx="1012">
                  <c:v>4100</c:v>
                </c:pt>
                <c:pt idx="1013">
                  <c:v>2300</c:v>
                </c:pt>
                <c:pt idx="1014">
                  <c:v>4600</c:v>
                </c:pt>
                <c:pt idx="1015">
                  <c:v>4800</c:v>
                </c:pt>
                <c:pt idx="1016">
                  <c:v>2500</c:v>
                </c:pt>
                <c:pt idx="1017">
                  <c:v>2200</c:v>
                </c:pt>
                <c:pt idx="1018">
                  <c:v>4100</c:v>
                </c:pt>
                <c:pt idx="1019">
                  <c:v>3400</c:v>
                </c:pt>
                <c:pt idx="1020">
                  <c:v>3200</c:v>
                </c:pt>
                <c:pt idx="1021">
                  <c:v>2100</c:v>
                </c:pt>
                <c:pt idx="1022">
                  <c:v>2000</c:v>
                </c:pt>
                <c:pt idx="1023">
                  <c:v>4700</c:v>
                </c:pt>
                <c:pt idx="1024">
                  <c:v>3900</c:v>
                </c:pt>
                <c:pt idx="1025">
                  <c:v>2900</c:v>
                </c:pt>
                <c:pt idx="1026">
                  <c:v>4500</c:v>
                </c:pt>
                <c:pt idx="1027">
                  <c:v>2800</c:v>
                </c:pt>
                <c:pt idx="1028">
                  <c:v>2600</c:v>
                </c:pt>
                <c:pt idx="1029">
                  <c:v>5000</c:v>
                </c:pt>
                <c:pt idx="1030">
                  <c:v>4800</c:v>
                </c:pt>
                <c:pt idx="1031">
                  <c:v>2500</c:v>
                </c:pt>
                <c:pt idx="1032">
                  <c:v>4000</c:v>
                </c:pt>
                <c:pt idx="1033">
                  <c:v>4300</c:v>
                </c:pt>
                <c:pt idx="1034">
                  <c:v>2200</c:v>
                </c:pt>
                <c:pt idx="1035">
                  <c:v>4700</c:v>
                </c:pt>
                <c:pt idx="1036">
                  <c:v>3600</c:v>
                </c:pt>
                <c:pt idx="1037">
                  <c:v>4000</c:v>
                </c:pt>
                <c:pt idx="1038">
                  <c:v>2700</c:v>
                </c:pt>
                <c:pt idx="1039">
                  <c:v>2900</c:v>
                </c:pt>
                <c:pt idx="1040">
                  <c:v>2000</c:v>
                </c:pt>
                <c:pt idx="1041">
                  <c:v>4200</c:v>
                </c:pt>
                <c:pt idx="1042">
                  <c:v>2500</c:v>
                </c:pt>
                <c:pt idx="1043">
                  <c:v>3600</c:v>
                </c:pt>
                <c:pt idx="1044">
                  <c:v>2100</c:v>
                </c:pt>
                <c:pt idx="1045">
                  <c:v>2300</c:v>
                </c:pt>
                <c:pt idx="1046">
                  <c:v>3700</c:v>
                </c:pt>
                <c:pt idx="1047">
                  <c:v>4800</c:v>
                </c:pt>
                <c:pt idx="1048">
                  <c:v>2500</c:v>
                </c:pt>
                <c:pt idx="1049">
                  <c:v>3300</c:v>
                </c:pt>
                <c:pt idx="1050">
                  <c:v>2700</c:v>
                </c:pt>
                <c:pt idx="1051">
                  <c:v>2700</c:v>
                </c:pt>
                <c:pt idx="1052">
                  <c:v>2000</c:v>
                </c:pt>
                <c:pt idx="1053">
                  <c:v>3000</c:v>
                </c:pt>
                <c:pt idx="1054">
                  <c:v>4800</c:v>
                </c:pt>
                <c:pt idx="1055">
                  <c:v>2991.68</c:v>
                </c:pt>
                <c:pt idx="1056">
                  <c:v>3400</c:v>
                </c:pt>
                <c:pt idx="1057">
                  <c:v>1534.95</c:v>
                </c:pt>
                <c:pt idx="1058">
                  <c:v>3900</c:v>
                </c:pt>
                <c:pt idx="1059">
                  <c:v>4700</c:v>
                </c:pt>
                <c:pt idx="1060">
                  <c:v>2200</c:v>
                </c:pt>
                <c:pt idx="1061">
                  <c:v>5500</c:v>
                </c:pt>
                <c:pt idx="1062">
                  <c:v>6000</c:v>
                </c:pt>
                <c:pt idx="1063">
                  <c:v>3500</c:v>
                </c:pt>
                <c:pt idx="1064">
                  <c:v>2800</c:v>
                </c:pt>
                <c:pt idx="1065">
                  <c:v>3800</c:v>
                </c:pt>
                <c:pt idx="1066">
                  <c:v>2011.8</c:v>
                </c:pt>
                <c:pt idx="1067">
                  <c:v>4100</c:v>
                </c:pt>
                <c:pt idx="1068">
                  <c:v>2151.8200000000002</c:v>
                </c:pt>
                <c:pt idx="1069">
                  <c:v>2573.46</c:v>
                </c:pt>
                <c:pt idx="1070">
                  <c:v>5000</c:v>
                </c:pt>
                <c:pt idx="1071">
                  <c:v>2900</c:v>
                </c:pt>
                <c:pt idx="1072">
                  <c:v>3952.83</c:v>
                </c:pt>
                <c:pt idx="1073">
                  <c:v>3500</c:v>
                </c:pt>
                <c:pt idx="1074">
                  <c:v>4800</c:v>
                </c:pt>
                <c:pt idx="1075">
                  <c:v>1855.41</c:v>
                </c:pt>
                <c:pt idx="1076">
                  <c:v>4598.3999999999996</c:v>
                </c:pt>
                <c:pt idx="1077">
                  <c:v>4200</c:v>
                </c:pt>
                <c:pt idx="1078">
                  <c:v>4700</c:v>
                </c:pt>
                <c:pt idx="1079">
                  <c:v>3600</c:v>
                </c:pt>
                <c:pt idx="1080">
                  <c:v>2200</c:v>
                </c:pt>
                <c:pt idx="1081">
                  <c:v>3670.4</c:v>
                </c:pt>
                <c:pt idx="1082">
                  <c:v>2300</c:v>
                </c:pt>
                <c:pt idx="1083">
                  <c:v>3200</c:v>
                </c:pt>
                <c:pt idx="1084">
                  <c:v>2100</c:v>
                </c:pt>
                <c:pt idx="1085">
                  <c:v>3814.6400000000003</c:v>
                </c:pt>
                <c:pt idx="1086">
                  <c:v>2117.75</c:v>
                </c:pt>
                <c:pt idx="1087">
                  <c:v>2600</c:v>
                </c:pt>
                <c:pt idx="1088">
                  <c:v>2154</c:v>
                </c:pt>
                <c:pt idx="1089">
                  <c:v>4800</c:v>
                </c:pt>
                <c:pt idx="1090">
                  <c:v>1777.1</c:v>
                </c:pt>
                <c:pt idx="1091">
                  <c:v>1536.57</c:v>
                </c:pt>
                <c:pt idx="1092">
                  <c:v>3510</c:v>
                </c:pt>
                <c:pt idx="1093">
                  <c:v>3097.44</c:v>
                </c:pt>
                <c:pt idx="1094">
                  <c:v>1705.4099999999999</c:v>
                </c:pt>
                <c:pt idx="1095">
                  <c:v>2264.3200000000002</c:v>
                </c:pt>
                <c:pt idx="1096">
                  <c:v>2484.6</c:v>
                </c:pt>
                <c:pt idx="1097">
                  <c:v>3415.68</c:v>
                </c:pt>
                <c:pt idx="1098">
                  <c:v>2839.32</c:v>
                </c:pt>
                <c:pt idx="1099">
                  <c:v>2730</c:v>
                </c:pt>
                <c:pt idx="1100">
                  <c:v>3540.5299999999997</c:v>
                </c:pt>
                <c:pt idx="1101">
                  <c:v>2999.9700000000003</c:v>
                </c:pt>
                <c:pt idx="1102">
                  <c:v>1527.8</c:v>
                </c:pt>
                <c:pt idx="1103">
                  <c:v>3907.8</c:v>
                </c:pt>
                <c:pt idx="1104">
                  <c:v>2658.4799999999996</c:v>
                </c:pt>
                <c:pt idx="1105">
                  <c:v>3042.6800000000003</c:v>
                </c:pt>
                <c:pt idx="1106">
                  <c:v>3861.2</c:v>
                </c:pt>
                <c:pt idx="1107">
                  <c:v>2171.0699999999997</c:v>
                </c:pt>
                <c:pt idx="1108">
                  <c:v>3403.0800000000004</c:v>
                </c:pt>
                <c:pt idx="1109">
                  <c:v>2245.8000000000002</c:v>
                </c:pt>
                <c:pt idx="1110">
                  <c:v>1668.4999999999998</c:v>
                </c:pt>
                <c:pt idx="1111">
                  <c:v>2773.7999999999997</c:v>
                </c:pt>
                <c:pt idx="1112">
                  <c:v>2200</c:v>
                </c:pt>
                <c:pt idx="1113">
                  <c:v>4000</c:v>
                </c:pt>
                <c:pt idx="1114">
                  <c:v>4600</c:v>
                </c:pt>
                <c:pt idx="1115">
                  <c:v>3900</c:v>
                </c:pt>
                <c:pt idx="1116">
                  <c:v>3128.92</c:v>
                </c:pt>
                <c:pt idx="1117">
                  <c:v>3000</c:v>
                </c:pt>
                <c:pt idx="1118">
                  <c:v>3958.5</c:v>
                </c:pt>
                <c:pt idx="1119">
                  <c:v>4300</c:v>
                </c:pt>
                <c:pt idx="1120">
                  <c:v>2761.96</c:v>
                </c:pt>
                <c:pt idx="1121">
                  <c:v>2848.23</c:v>
                </c:pt>
                <c:pt idx="1122">
                  <c:v>2539.84</c:v>
                </c:pt>
                <c:pt idx="1123">
                  <c:v>2444.4</c:v>
                </c:pt>
                <c:pt idx="1124">
                  <c:v>4100</c:v>
                </c:pt>
                <c:pt idx="1125">
                  <c:v>3300</c:v>
                </c:pt>
                <c:pt idx="1126">
                  <c:v>3035.88</c:v>
                </c:pt>
                <c:pt idx="1127">
                  <c:v>2321.54</c:v>
                </c:pt>
                <c:pt idx="1128">
                  <c:v>3400</c:v>
                </c:pt>
                <c:pt idx="1129">
                  <c:v>2501.98</c:v>
                </c:pt>
                <c:pt idx="1130">
                  <c:v>3800</c:v>
                </c:pt>
                <c:pt idx="1131">
                  <c:v>3300</c:v>
                </c:pt>
                <c:pt idx="1132">
                  <c:v>3011.91</c:v>
                </c:pt>
                <c:pt idx="1133">
                  <c:v>4600</c:v>
                </c:pt>
                <c:pt idx="1134">
                  <c:v>2600</c:v>
                </c:pt>
                <c:pt idx="1135">
                  <c:v>2500</c:v>
                </c:pt>
                <c:pt idx="1136">
                  <c:v>3288.6</c:v>
                </c:pt>
                <c:pt idx="1137">
                  <c:v>5000</c:v>
                </c:pt>
                <c:pt idx="1138">
                  <c:v>3600</c:v>
                </c:pt>
                <c:pt idx="1139">
                  <c:v>1875.0900000000001</c:v>
                </c:pt>
                <c:pt idx="1140">
                  <c:v>2900</c:v>
                </c:pt>
                <c:pt idx="1141">
                  <c:v>2100</c:v>
                </c:pt>
                <c:pt idx="1142">
                  <c:v>4200</c:v>
                </c:pt>
                <c:pt idx="1143">
                  <c:v>3700</c:v>
                </c:pt>
                <c:pt idx="1144">
                  <c:v>2500</c:v>
                </c:pt>
                <c:pt idx="1145">
                  <c:v>3600</c:v>
                </c:pt>
                <c:pt idx="1146">
                  <c:v>2200</c:v>
                </c:pt>
                <c:pt idx="1147">
                  <c:v>2300</c:v>
                </c:pt>
                <c:pt idx="1148">
                  <c:v>3200</c:v>
                </c:pt>
                <c:pt idx="1149">
                  <c:v>2800</c:v>
                </c:pt>
                <c:pt idx="1150">
                  <c:v>2700</c:v>
                </c:pt>
                <c:pt idx="1151">
                  <c:v>4900</c:v>
                </c:pt>
                <c:pt idx="1152">
                  <c:v>4100</c:v>
                </c:pt>
                <c:pt idx="1153">
                  <c:v>4900</c:v>
                </c:pt>
                <c:pt idx="1154">
                  <c:v>3000</c:v>
                </c:pt>
                <c:pt idx="1155">
                  <c:v>4000</c:v>
                </c:pt>
                <c:pt idx="1156">
                  <c:v>2300</c:v>
                </c:pt>
                <c:pt idx="1157">
                  <c:v>4900</c:v>
                </c:pt>
                <c:pt idx="1158">
                  <c:v>2500</c:v>
                </c:pt>
                <c:pt idx="1159">
                  <c:v>3700</c:v>
                </c:pt>
                <c:pt idx="1160">
                  <c:v>5500</c:v>
                </c:pt>
                <c:pt idx="1161">
                  <c:v>2300</c:v>
                </c:pt>
                <c:pt idx="1162">
                  <c:v>2400</c:v>
                </c:pt>
                <c:pt idx="1163">
                  <c:v>4149.07</c:v>
                </c:pt>
                <c:pt idx="1164">
                  <c:v>5000</c:v>
                </c:pt>
                <c:pt idx="1165">
                  <c:v>4700</c:v>
                </c:pt>
                <c:pt idx="1166">
                  <c:v>3400</c:v>
                </c:pt>
                <c:pt idx="1167">
                  <c:v>3100</c:v>
                </c:pt>
                <c:pt idx="1168">
                  <c:v>2800</c:v>
                </c:pt>
                <c:pt idx="1169">
                  <c:v>3600</c:v>
                </c:pt>
                <c:pt idx="1170">
                  <c:v>4800</c:v>
                </c:pt>
                <c:pt idx="1171">
                  <c:v>3900</c:v>
                </c:pt>
                <c:pt idx="1172">
                  <c:v>4500</c:v>
                </c:pt>
                <c:pt idx="1173">
                  <c:v>3500</c:v>
                </c:pt>
                <c:pt idx="1174">
                  <c:v>4500</c:v>
                </c:pt>
                <c:pt idx="1175">
                  <c:v>4600</c:v>
                </c:pt>
                <c:pt idx="1176">
                  <c:v>3700</c:v>
                </c:pt>
                <c:pt idx="1177">
                  <c:v>3100</c:v>
                </c:pt>
                <c:pt idx="1178">
                  <c:v>3300</c:v>
                </c:pt>
                <c:pt idx="1179">
                  <c:v>3100</c:v>
                </c:pt>
                <c:pt idx="1180">
                  <c:v>2700</c:v>
                </c:pt>
                <c:pt idx="1181">
                  <c:v>3900</c:v>
                </c:pt>
                <c:pt idx="1182">
                  <c:v>3200</c:v>
                </c:pt>
                <c:pt idx="1183">
                  <c:v>2800</c:v>
                </c:pt>
                <c:pt idx="1184">
                  <c:v>1765.6599999999999</c:v>
                </c:pt>
                <c:pt idx="1185">
                  <c:v>3734.72</c:v>
                </c:pt>
                <c:pt idx="1186">
                  <c:v>4600</c:v>
                </c:pt>
                <c:pt idx="1187">
                  <c:v>2266.56</c:v>
                </c:pt>
                <c:pt idx="1188">
                  <c:v>6500</c:v>
                </c:pt>
                <c:pt idx="1189">
                  <c:v>4300</c:v>
                </c:pt>
                <c:pt idx="1190">
                  <c:v>2914.1099999999997</c:v>
                </c:pt>
                <c:pt idx="1191">
                  <c:v>1740.9</c:v>
                </c:pt>
                <c:pt idx="1192">
                  <c:v>2266.1999999999998</c:v>
                </c:pt>
                <c:pt idx="1193">
                  <c:v>3155.58</c:v>
                </c:pt>
                <c:pt idx="1194">
                  <c:v>1357.86</c:v>
                </c:pt>
                <c:pt idx="1195">
                  <c:v>2598.8200000000002</c:v>
                </c:pt>
                <c:pt idx="1196">
                  <c:v>1057.56</c:v>
                </c:pt>
                <c:pt idx="1197">
                  <c:v>3127.8199999999997</c:v>
                </c:pt>
                <c:pt idx="1198">
                  <c:v>2488.1400000000003</c:v>
                </c:pt>
                <c:pt idx="1199">
                  <c:v>2220.7199999999998</c:v>
                </c:pt>
                <c:pt idx="1200">
                  <c:v>1357.72</c:v>
                </c:pt>
                <c:pt idx="1201">
                  <c:v>1638.0400000000002</c:v>
                </c:pt>
                <c:pt idx="1202">
                  <c:v>2626.08</c:v>
                </c:pt>
                <c:pt idx="1203">
                  <c:v>1661.8799999999999</c:v>
                </c:pt>
                <c:pt idx="1204">
                  <c:v>2173.6</c:v>
                </c:pt>
                <c:pt idx="1205">
                  <c:v>2182.0500000000002</c:v>
                </c:pt>
                <c:pt idx="1206">
                  <c:v>2819.88</c:v>
                </c:pt>
                <c:pt idx="1207">
                  <c:v>2598.6400000000003</c:v>
                </c:pt>
                <c:pt idx="1208">
                  <c:v>2019.27</c:v>
                </c:pt>
                <c:pt idx="1209">
                  <c:v>1454.7</c:v>
                </c:pt>
                <c:pt idx="1210">
                  <c:v>1657.57</c:v>
                </c:pt>
                <c:pt idx="1211">
                  <c:v>2851.84</c:v>
                </c:pt>
                <c:pt idx="1212">
                  <c:v>2800</c:v>
                </c:pt>
                <c:pt idx="1213">
                  <c:v>3600</c:v>
                </c:pt>
                <c:pt idx="1214">
                  <c:v>1879.92</c:v>
                </c:pt>
                <c:pt idx="1215">
                  <c:v>4100</c:v>
                </c:pt>
                <c:pt idx="1216">
                  <c:v>2687.04</c:v>
                </c:pt>
                <c:pt idx="1217">
                  <c:v>3300</c:v>
                </c:pt>
                <c:pt idx="1218">
                  <c:v>3400</c:v>
                </c:pt>
                <c:pt idx="1219">
                  <c:v>2900</c:v>
                </c:pt>
                <c:pt idx="1220">
                  <c:v>3400</c:v>
                </c:pt>
                <c:pt idx="1221">
                  <c:v>4800</c:v>
                </c:pt>
                <c:pt idx="1222">
                  <c:v>4600</c:v>
                </c:pt>
                <c:pt idx="1223">
                  <c:v>2200</c:v>
                </c:pt>
                <c:pt idx="1224">
                  <c:v>2000</c:v>
                </c:pt>
                <c:pt idx="1225">
                  <c:v>3858.75</c:v>
                </c:pt>
                <c:pt idx="1226">
                  <c:v>4600</c:v>
                </c:pt>
                <c:pt idx="1227">
                  <c:v>3400</c:v>
                </c:pt>
                <c:pt idx="1228">
                  <c:v>4287.5</c:v>
                </c:pt>
                <c:pt idx="1229">
                  <c:v>4600</c:v>
                </c:pt>
                <c:pt idx="1230">
                  <c:v>1863.4</c:v>
                </c:pt>
                <c:pt idx="1231">
                  <c:v>4166.88</c:v>
                </c:pt>
                <c:pt idx="1232">
                  <c:v>4080.07</c:v>
                </c:pt>
                <c:pt idx="1233">
                  <c:v>3400</c:v>
                </c:pt>
                <c:pt idx="1234">
                  <c:v>4500</c:v>
                </c:pt>
                <c:pt idx="1235">
                  <c:v>2000</c:v>
                </c:pt>
                <c:pt idx="1236">
                  <c:v>3024.5</c:v>
                </c:pt>
                <c:pt idx="1237">
                  <c:v>1266.0999999999999</c:v>
                </c:pt>
                <c:pt idx="1238">
                  <c:v>4500</c:v>
                </c:pt>
                <c:pt idx="1239">
                  <c:v>5800</c:v>
                </c:pt>
                <c:pt idx="1240">
                  <c:v>5100</c:v>
                </c:pt>
                <c:pt idx="1241">
                  <c:v>3800</c:v>
                </c:pt>
                <c:pt idx="1242">
                  <c:v>2200</c:v>
                </c:pt>
                <c:pt idx="1243">
                  <c:v>2500</c:v>
                </c:pt>
                <c:pt idx="1244">
                  <c:v>2400</c:v>
                </c:pt>
                <c:pt idx="1245">
                  <c:v>3500</c:v>
                </c:pt>
                <c:pt idx="1246">
                  <c:v>2800</c:v>
                </c:pt>
                <c:pt idx="1247">
                  <c:v>3600</c:v>
                </c:pt>
                <c:pt idx="1248">
                  <c:v>3900</c:v>
                </c:pt>
                <c:pt idx="1249">
                  <c:v>2700</c:v>
                </c:pt>
                <c:pt idx="1250">
                  <c:v>4000</c:v>
                </c:pt>
                <c:pt idx="1251">
                  <c:v>5000</c:v>
                </c:pt>
                <c:pt idx="1252">
                  <c:v>4200</c:v>
                </c:pt>
                <c:pt idx="1253">
                  <c:v>4800</c:v>
                </c:pt>
                <c:pt idx="1254">
                  <c:v>2500</c:v>
                </c:pt>
                <c:pt idx="1255">
                  <c:v>3100</c:v>
                </c:pt>
                <c:pt idx="1256">
                  <c:v>4400</c:v>
                </c:pt>
                <c:pt idx="1257">
                  <c:v>2300</c:v>
                </c:pt>
                <c:pt idx="1258">
                  <c:v>2900</c:v>
                </c:pt>
                <c:pt idx="1259">
                  <c:v>4900</c:v>
                </c:pt>
                <c:pt idx="1260">
                  <c:v>3600</c:v>
                </c:pt>
                <c:pt idx="1261">
                  <c:v>3400</c:v>
                </c:pt>
                <c:pt idx="1262">
                  <c:v>2500</c:v>
                </c:pt>
                <c:pt idx="1263">
                  <c:v>4800</c:v>
                </c:pt>
                <c:pt idx="1264">
                  <c:v>3800</c:v>
                </c:pt>
                <c:pt idx="1265">
                  <c:v>3700</c:v>
                </c:pt>
                <c:pt idx="1266">
                  <c:v>4900</c:v>
                </c:pt>
                <c:pt idx="1267">
                  <c:v>1903.22</c:v>
                </c:pt>
                <c:pt idx="1268">
                  <c:v>2499.56</c:v>
                </c:pt>
                <c:pt idx="1269">
                  <c:v>3081.2400000000002</c:v>
                </c:pt>
                <c:pt idx="1270">
                  <c:v>3400</c:v>
                </c:pt>
                <c:pt idx="1271">
                  <c:v>3900</c:v>
                </c:pt>
                <c:pt idx="1272">
                  <c:v>1584.6599999999999</c:v>
                </c:pt>
                <c:pt idx="1273">
                  <c:v>3600</c:v>
                </c:pt>
                <c:pt idx="1274">
                  <c:v>2341.1999999999998</c:v>
                </c:pt>
                <c:pt idx="1275">
                  <c:v>2482.11</c:v>
                </c:pt>
                <c:pt idx="1276">
                  <c:v>3602.0200000000004</c:v>
                </c:pt>
                <c:pt idx="1277">
                  <c:v>3400</c:v>
                </c:pt>
                <c:pt idx="1278">
                  <c:v>3787.98</c:v>
                </c:pt>
                <c:pt idx="1279">
                  <c:v>3500</c:v>
                </c:pt>
                <c:pt idx="1280">
                  <c:v>2834.6499999999996</c:v>
                </c:pt>
                <c:pt idx="1281">
                  <c:v>3392.2599999999998</c:v>
                </c:pt>
                <c:pt idx="1282">
                  <c:v>3358.31</c:v>
                </c:pt>
                <c:pt idx="1283">
                  <c:v>5000</c:v>
                </c:pt>
                <c:pt idx="1284">
                  <c:v>2100</c:v>
                </c:pt>
                <c:pt idx="1285">
                  <c:v>2696.96</c:v>
                </c:pt>
                <c:pt idx="1286">
                  <c:v>3200</c:v>
                </c:pt>
                <c:pt idx="1287">
                  <c:v>541.14</c:v>
                </c:pt>
                <c:pt idx="1288">
                  <c:v>6134.7</c:v>
                </c:pt>
                <c:pt idx="1289">
                  <c:v>3382.5</c:v>
                </c:pt>
                <c:pt idx="1290">
                  <c:v>2240.66</c:v>
                </c:pt>
                <c:pt idx="1291">
                  <c:v>3962.8799999999997</c:v>
                </c:pt>
                <c:pt idx="1292">
                  <c:v>1685.28</c:v>
                </c:pt>
                <c:pt idx="1293">
                  <c:v>1834.36</c:v>
                </c:pt>
                <c:pt idx="1294">
                  <c:v>1916.98</c:v>
                </c:pt>
                <c:pt idx="1295">
                  <c:v>2611</c:v>
                </c:pt>
                <c:pt idx="1296">
                  <c:v>3630.2799999999997</c:v>
                </c:pt>
                <c:pt idx="1297">
                  <c:v>5000</c:v>
                </c:pt>
                <c:pt idx="1298">
                  <c:v>3949.6499999999996</c:v>
                </c:pt>
                <c:pt idx="1299">
                  <c:v>3491.67</c:v>
                </c:pt>
                <c:pt idx="1300">
                  <c:v>2059.19</c:v>
                </c:pt>
                <c:pt idx="1301">
                  <c:v>3170.1600000000003</c:v>
                </c:pt>
                <c:pt idx="1302">
                  <c:v>1790.6</c:v>
                </c:pt>
                <c:pt idx="1303">
                  <c:v>2345.9700000000003</c:v>
                </c:pt>
                <c:pt idx="1304">
                  <c:v>3400</c:v>
                </c:pt>
                <c:pt idx="1305">
                  <c:v>4900</c:v>
                </c:pt>
                <c:pt idx="1306">
                  <c:v>3525.6000000000004</c:v>
                </c:pt>
                <c:pt idx="1307">
                  <c:v>3600</c:v>
                </c:pt>
                <c:pt idx="1308">
                  <c:v>4300.5</c:v>
                </c:pt>
                <c:pt idx="1309">
                  <c:v>2900</c:v>
                </c:pt>
                <c:pt idx="1310">
                  <c:v>3000</c:v>
                </c:pt>
                <c:pt idx="1311">
                  <c:v>3562.4900000000002</c:v>
                </c:pt>
                <c:pt idx="1312">
                  <c:v>1640.24</c:v>
                </c:pt>
                <c:pt idx="1313">
                  <c:v>4500</c:v>
                </c:pt>
                <c:pt idx="1314">
                  <c:v>1207.68</c:v>
                </c:pt>
                <c:pt idx="1315">
                  <c:v>3600</c:v>
                </c:pt>
                <c:pt idx="1316">
                  <c:v>4100</c:v>
                </c:pt>
                <c:pt idx="1317">
                  <c:v>5000</c:v>
                </c:pt>
                <c:pt idx="1318">
                  <c:v>4000</c:v>
                </c:pt>
                <c:pt idx="1319">
                  <c:v>4900</c:v>
                </c:pt>
                <c:pt idx="1320">
                  <c:v>4500</c:v>
                </c:pt>
                <c:pt idx="1321">
                  <c:v>4700</c:v>
                </c:pt>
                <c:pt idx="1322">
                  <c:v>2100</c:v>
                </c:pt>
                <c:pt idx="1323">
                  <c:v>3200</c:v>
                </c:pt>
                <c:pt idx="1324">
                  <c:v>4700</c:v>
                </c:pt>
                <c:pt idx="1325">
                  <c:v>3800</c:v>
                </c:pt>
                <c:pt idx="1326">
                  <c:v>4100</c:v>
                </c:pt>
                <c:pt idx="1327">
                  <c:v>2100</c:v>
                </c:pt>
                <c:pt idx="1328">
                  <c:v>4100</c:v>
                </c:pt>
                <c:pt idx="1329">
                  <c:v>3800</c:v>
                </c:pt>
                <c:pt idx="1330">
                  <c:v>2482.25</c:v>
                </c:pt>
                <c:pt idx="1331">
                  <c:v>4800</c:v>
                </c:pt>
                <c:pt idx="1332">
                  <c:v>2184.38</c:v>
                </c:pt>
                <c:pt idx="1333">
                  <c:v>2800</c:v>
                </c:pt>
                <c:pt idx="1334">
                  <c:v>4700</c:v>
                </c:pt>
                <c:pt idx="1335">
                  <c:v>4900</c:v>
                </c:pt>
                <c:pt idx="1336">
                  <c:v>4500</c:v>
                </c:pt>
                <c:pt idx="1337">
                  <c:v>2800</c:v>
                </c:pt>
                <c:pt idx="1338">
                  <c:v>1668.3700000000001</c:v>
                </c:pt>
                <c:pt idx="1339">
                  <c:v>3900</c:v>
                </c:pt>
                <c:pt idx="1340">
                  <c:v>4600</c:v>
                </c:pt>
                <c:pt idx="1341">
                  <c:v>3800</c:v>
                </c:pt>
                <c:pt idx="1342">
                  <c:v>1938.8899999999999</c:v>
                </c:pt>
                <c:pt idx="1343">
                  <c:v>2490.5</c:v>
                </c:pt>
                <c:pt idx="1344">
                  <c:v>2314.69</c:v>
                </c:pt>
                <c:pt idx="1345">
                  <c:v>1254.8300000000002</c:v>
                </c:pt>
                <c:pt idx="1346">
                  <c:v>1282.8</c:v>
                </c:pt>
                <c:pt idx="1347">
                  <c:v>1345.75</c:v>
                </c:pt>
                <c:pt idx="1348">
                  <c:v>2194.2200000000003</c:v>
                </c:pt>
                <c:pt idx="1349">
                  <c:v>1972</c:v>
                </c:pt>
                <c:pt idx="1350">
                  <c:v>1835.98</c:v>
                </c:pt>
                <c:pt idx="1351">
                  <c:v>1119.93</c:v>
                </c:pt>
                <c:pt idx="1352">
                  <c:v>2082.88</c:v>
                </c:pt>
                <c:pt idx="1353">
                  <c:v>1569.75</c:v>
                </c:pt>
                <c:pt idx="1354">
                  <c:v>2694.15</c:v>
                </c:pt>
                <c:pt idx="1355">
                  <c:v>1257.27</c:v>
                </c:pt>
                <c:pt idx="1356">
                  <c:v>2567.84</c:v>
                </c:pt>
                <c:pt idx="1357">
                  <c:v>2634.2799999999997</c:v>
                </c:pt>
                <c:pt idx="1358">
                  <c:v>1502.78</c:v>
                </c:pt>
                <c:pt idx="1359">
                  <c:v>1676.1999999999998</c:v>
                </c:pt>
                <c:pt idx="1360">
                  <c:v>2217.15</c:v>
                </c:pt>
                <c:pt idx="1361">
                  <c:v>3800</c:v>
                </c:pt>
                <c:pt idx="1362">
                  <c:v>1916.6399999999999</c:v>
                </c:pt>
                <c:pt idx="1363">
                  <c:v>2900</c:v>
                </c:pt>
                <c:pt idx="1364">
                  <c:v>3000</c:v>
                </c:pt>
                <c:pt idx="1365">
                  <c:v>2000</c:v>
                </c:pt>
                <c:pt idx="1366">
                  <c:v>3900</c:v>
                </c:pt>
                <c:pt idx="1367">
                  <c:v>2095.4499999999998</c:v>
                </c:pt>
                <c:pt idx="1368">
                  <c:v>1556.62</c:v>
                </c:pt>
                <c:pt idx="1369">
                  <c:v>4400</c:v>
                </c:pt>
                <c:pt idx="1370">
                  <c:v>2800</c:v>
                </c:pt>
                <c:pt idx="1371">
                  <c:v>3100</c:v>
                </c:pt>
                <c:pt idx="1372">
                  <c:v>2900</c:v>
                </c:pt>
                <c:pt idx="1373">
                  <c:v>3200</c:v>
                </c:pt>
                <c:pt idx="1374">
                  <c:v>3300</c:v>
                </c:pt>
                <c:pt idx="1375">
                  <c:v>4400</c:v>
                </c:pt>
                <c:pt idx="1376">
                  <c:v>3200</c:v>
                </c:pt>
                <c:pt idx="1377">
                  <c:v>4100</c:v>
                </c:pt>
                <c:pt idx="1378">
                  <c:v>3500</c:v>
                </c:pt>
                <c:pt idx="1379">
                  <c:v>4400</c:v>
                </c:pt>
                <c:pt idx="1380">
                  <c:v>2600</c:v>
                </c:pt>
                <c:pt idx="1381">
                  <c:v>2000</c:v>
                </c:pt>
                <c:pt idx="1382">
                  <c:v>4800</c:v>
                </c:pt>
                <c:pt idx="1383">
                  <c:v>3400</c:v>
                </c:pt>
                <c:pt idx="1384">
                  <c:v>4900</c:v>
                </c:pt>
                <c:pt idx="1385">
                  <c:v>4000</c:v>
                </c:pt>
                <c:pt idx="1386">
                  <c:v>4500</c:v>
                </c:pt>
                <c:pt idx="1387">
                  <c:v>5000</c:v>
                </c:pt>
                <c:pt idx="1388">
                  <c:v>3800</c:v>
                </c:pt>
                <c:pt idx="1389">
                  <c:v>2500</c:v>
                </c:pt>
                <c:pt idx="1390">
                  <c:v>1629.04</c:v>
                </c:pt>
                <c:pt idx="1391">
                  <c:v>3289.86</c:v>
                </c:pt>
                <c:pt idx="1392">
                  <c:v>4900</c:v>
                </c:pt>
                <c:pt idx="1393">
                  <c:v>2574.1799999999998</c:v>
                </c:pt>
                <c:pt idx="1394">
                  <c:v>1327.79</c:v>
                </c:pt>
                <c:pt idx="1395">
                  <c:v>2356.25</c:v>
                </c:pt>
                <c:pt idx="1396">
                  <c:v>2013.5000000000002</c:v>
                </c:pt>
                <c:pt idx="1397">
                  <c:v>2807.2200000000003</c:v>
                </c:pt>
                <c:pt idx="1398">
                  <c:v>3072.96</c:v>
                </c:pt>
                <c:pt idx="1399">
                  <c:v>1906.5000000000002</c:v>
                </c:pt>
                <c:pt idx="1400">
                  <c:v>3431.7000000000003</c:v>
                </c:pt>
                <c:pt idx="1401">
                  <c:v>2084.75</c:v>
                </c:pt>
                <c:pt idx="1402">
                  <c:v>2136.0099999999998</c:v>
                </c:pt>
                <c:pt idx="1403">
                  <c:v>2009.6999999999998</c:v>
                </c:pt>
                <c:pt idx="1404">
                  <c:v>2719.7999999999997</c:v>
                </c:pt>
                <c:pt idx="1405">
                  <c:v>1575.08</c:v>
                </c:pt>
                <c:pt idx="1406">
                  <c:v>1688.4299999999998</c:v>
                </c:pt>
                <c:pt idx="1407">
                  <c:v>1672.1000000000001</c:v>
                </c:pt>
                <c:pt idx="1408">
                  <c:v>1674.7499999999998</c:v>
                </c:pt>
                <c:pt idx="1409">
                  <c:v>2100</c:v>
                </c:pt>
                <c:pt idx="1410">
                  <c:v>1649.18</c:v>
                </c:pt>
                <c:pt idx="1411">
                  <c:v>3751</c:v>
                </c:pt>
                <c:pt idx="1412">
                  <c:v>2400</c:v>
                </c:pt>
                <c:pt idx="1413">
                  <c:v>4421.3399999999992</c:v>
                </c:pt>
                <c:pt idx="1414">
                  <c:v>2078.2799999999997</c:v>
                </c:pt>
                <c:pt idx="1415">
                  <c:v>3069</c:v>
                </c:pt>
                <c:pt idx="1416">
                  <c:v>1713.8000000000002</c:v>
                </c:pt>
                <c:pt idx="1417">
                  <c:v>1506.5</c:v>
                </c:pt>
                <c:pt idx="1418">
                  <c:v>2692.1200000000003</c:v>
                </c:pt>
                <c:pt idx="1419">
                  <c:v>2422.08</c:v>
                </c:pt>
                <c:pt idx="1420">
                  <c:v>3488.34</c:v>
                </c:pt>
                <c:pt idx="1421">
                  <c:v>2583.3399999999997</c:v>
                </c:pt>
                <c:pt idx="1422">
                  <c:v>1249.4000000000001</c:v>
                </c:pt>
                <c:pt idx="1423">
                  <c:v>3374.71</c:v>
                </c:pt>
                <c:pt idx="1424">
                  <c:v>1265.46</c:v>
                </c:pt>
                <c:pt idx="1425">
                  <c:v>1681.46</c:v>
                </c:pt>
                <c:pt idx="1426">
                  <c:v>3204</c:v>
                </c:pt>
                <c:pt idx="1427">
                  <c:v>2398.7199999999998</c:v>
                </c:pt>
                <c:pt idx="1428">
                  <c:v>2381.04</c:v>
                </c:pt>
                <c:pt idx="1429">
                  <c:v>1944.54</c:v>
                </c:pt>
                <c:pt idx="1430">
                  <c:v>2273.7000000000003</c:v>
                </c:pt>
                <c:pt idx="1431">
                  <c:v>2116.5</c:v>
                </c:pt>
                <c:pt idx="1432">
                  <c:v>1307.3200000000002</c:v>
                </c:pt>
                <c:pt idx="1433">
                  <c:v>1726.3700000000001</c:v>
                </c:pt>
                <c:pt idx="1434">
                  <c:v>1267.77</c:v>
                </c:pt>
                <c:pt idx="1435">
                  <c:v>3400</c:v>
                </c:pt>
                <c:pt idx="1436">
                  <c:v>1987.1800000000003</c:v>
                </c:pt>
                <c:pt idx="1437">
                  <c:v>3880.2000000000003</c:v>
                </c:pt>
                <c:pt idx="1438">
                  <c:v>1942.15</c:v>
                </c:pt>
                <c:pt idx="1439">
                  <c:v>3259.92</c:v>
                </c:pt>
                <c:pt idx="1440">
                  <c:v>1213.8</c:v>
                </c:pt>
                <c:pt idx="1441">
                  <c:v>1086.5999999999999</c:v>
                </c:pt>
                <c:pt idx="1442">
                  <c:v>1632.75</c:v>
                </c:pt>
                <c:pt idx="1443">
                  <c:v>1734</c:v>
                </c:pt>
                <c:pt idx="1444">
                  <c:v>1857.06</c:v>
                </c:pt>
                <c:pt idx="1445">
                  <c:v>1863.41</c:v>
                </c:pt>
                <c:pt idx="1446">
                  <c:v>2924.68</c:v>
                </c:pt>
                <c:pt idx="1447">
                  <c:v>2294.1799999999998</c:v>
                </c:pt>
                <c:pt idx="1448">
                  <c:v>1457.82</c:v>
                </c:pt>
                <c:pt idx="1449">
                  <c:v>1955.8799999999999</c:v>
                </c:pt>
                <c:pt idx="1450">
                  <c:v>2314.4</c:v>
                </c:pt>
                <c:pt idx="1451">
                  <c:v>1310.96</c:v>
                </c:pt>
                <c:pt idx="1452">
                  <c:v>2913.2999999999997</c:v>
                </c:pt>
                <c:pt idx="1453">
                  <c:v>1357.78</c:v>
                </c:pt>
                <c:pt idx="1454">
                  <c:v>2150</c:v>
                </c:pt>
                <c:pt idx="1455">
                  <c:v>2783.25</c:v>
                </c:pt>
                <c:pt idx="1456">
                  <c:v>2339.92</c:v>
                </c:pt>
                <c:pt idx="1457">
                  <c:v>1729</c:v>
                </c:pt>
                <c:pt idx="1458">
                  <c:v>4500</c:v>
                </c:pt>
                <c:pt idx="1459">
                  <c:v>2275.1999999999998</c:v>
                </c:pt>
                <c:pt idx="1460">
                  <c:v>2673.44</c:v>
                </c:pt>
                <c:pt idx="1461">
                  <c:v>2431.75</c:v>
                </c:pt>
                <c:pt idx="1462">
                  <c:v>2018.72</c:v>
                </c:pt>
                <c:pt idx="1463">
                  <c:v>1558.99</c:v>
                </c:pt>
                <c:pt idx="1464">
                  <c:v>1104.6000000000001</c:v>
                </c:pt>
                <c:pt idx="1465">
                  <c:v>2575.1</c:v>
                </c:pt>
                <c:pt idx="1466">
                  <c:v>2500</c:v>
                </c:pt>
                <c:pt idx="1467">
                  <c:v>3431.75</c:v>
                </c:pt>
                <c:pt idx="1468">
                  <c:v>3273.9</c:v>
                </c:pt>
                <c:pt idx="1469">
                  <c:v>4119.3999999999996</c:v>
                </c:pt>
                <c:pt idx="1470">
                  <c:v>4400</c:v>
                </c:pt>
                <c:pt idx="1471">
                  <c:v>5000</c:v>
                </c:pt>
                <c:pt idx="1472">
                  <c:v>4800</c:v>
                </c:pt>
                <c:pt idx="1473">
                  <c:v>2500</c:v>
                </c:pt>
                <c:pt idx="1474">
                  <c:v>3900</c:v>
                </c:pt>
                <c:pt idx="1475">
                  <c:v>2254</c:v>
                </c:pt>
                <c:pt idx="1476">
                  <c:v>2921.28</c:v>
                </c:pt>
                <c:pt idx="1477">
                  <c:v>2000</c:v>
                </c:pt>
                <c:pt idx="1478">
                  <c:v>2600</c:v>
                </c:pt>
                <c:pt idx="1479">
                  <c:v>4200</c:v>
                </c:pt>
                <c:pt idx="1480">
                  <c:v>2100</c:v>
                </c:pt>
                <c:pt idx="1481">
                  <c:v>3400</c:v>
                </c:pt>
                <c:pt idx="1482">
                  <c:v>4700</c:v>
                </c:pt>
                <c:pt idx="1483">
                  <c:v>2100</c:v>
                </c:pt>
                <c:pt idx="1484">
                  <c:v>4800</c:v>
                </c:pt>
                <c:pt idx="1485">
                  <c:v>2633.4</c:v>
                </c:pt>
                <c:pt idx="1486">
                  <c:v>2278.5300000000002</c:v>
                </c:pt>
                <c:pt idx="1487">
                  <c:v>4846</c:v>
                </c:pt>
                <c:pt idx="1488">
                  <c:v>3800</c:v>
                </c:pt>
                <c:pt idx="1489">
                  <c:v>4500</c:v>
                </c:pt>
                <c:pt idx="1490">
                  <c:v>4600</c:v>
                </c:pt>
                <c:pt idx="1491">
                  <c:v>3500</c:v>
                </c:pt>
                <c:pt idx="1492">
                  <c:v>1721.73</c:v>
                </c:pt>
                <c:pt idx="1493">
                  <c:v>2993.5</c:v>
                </c:pt>
                <c:pt idx="1494">
                  <c:v>1295.06</c:v>
                </c:pt>
                <c:pt idx="1495">
                  <c:v>2671.9500000000003</c:v>
                </c:pt>
                <c:pt idx="1496">
                  <c:v>1226.5899999999999</c:v>
                </c:pt>
                <c:pt idx="1497">
                  <c:v>1453.84</c:v>
                </c:pt>
                <c:pt idx="1498">
                  <c:v>1830.22</c:v>
                </c:pt>
                <c:pt idx="1499">
                  <c:v>2530.0099999999998</c:v>
                </c:pt>
                <c:pt idx="1500">
                  <c:v>2241.4500000000003</c:v>
                </c:pt>
                <c:pt idx="1501">
                  <c:v>2399.85</c:v>
                </c:pt>
                <c:pt idx="1502">
                  <c:v>1557.72</c:v>
                </c:pt>
                <c:pt idx="1503">
                  <c:v>845.25</c:v>
                </c:pt>
                <c:pt idx="1504">
                  <c:v>1352.3999999999999</c:v>
                </c:pt>
                <c:pt idx="1505">
                  <c:v>1584.8</c:v>
                </c:pt>
                <c:pt idx="1506">
                  <c:v>2616</c:v>
                </c:pt>
                <c:pt idx="1507">
                  <c:v>1129.04</c:v>
                </c:pt>
                <c:pt idx="1508">
                  <c:v>2218.5</c:v>
                </c:pt>
                <c:pt idx="1509">
                  <c:v>2028.48</c:v>
                </c:pt>
                <c:pt idx="1510">
                  <c:v>1759.1999999999998</c:v>
                </c:pt>
                <c:pt idx="1511">
                  <c:v>977.67000000000007</c:v>
                </c:pt>
                <c:pt idx="1512">
                  <c:v>1463</c:v>
                </c:pt>
                <c:pt idx="1513">
                  <c:v>3200</c:v>
                </c:pt>
                <c:pt idx="1514">
                  <c:v>2576</c:v>
                </c:pt>
                <c:pt idx="1515">
                  <c:v>2233.69</c:v>
                </c:pt>
                <c:pt idx="1516">
                  <c:v>2481.64</c:v>
                </c:pt>
                <c:pt idx="1517">
                  <c:v>3900</c:v>
                </c:pt>
                <c:pt idx="1518">
                  <c:v>3858.1</c:v>
                </c:pt>
                <c:pt idx="1519">
                  <c:v>3501.6000000000004</c:v>
                </c:pt>
                <c:pt idx="1520">
                  <c:v>4900</c:v>
                </c:pt>
                <c:pt idx="1521">
                  <c:v>2658.96</c:v>
                </c:pt>
                <c:pt idx="1522">
                  <c:v>3400</c:v>
                </c:pt>
                <c:pt idx="1523">
                  <c:v>2214.67</c:v>
                </c:pt>
                <c:pt idx="1524">
                  <c:v>2747.5299999999997</c:v>
                </c:pt>
                <c:pt idx="1525">
                  <c:v>3310.92</c:v>
                </c:pt>
                <c:pt idx="1526">
                  <c:v>2380</c:v>
                </c:pt>
                <c:pt idx="1527">
                  <c:v>2200</c:v>
                </c:pt>
                <c:pt idx="1528">
                  <c:v>3200</c:v>
                </c:pt>
                <c:pt idx="1529">
                  <c:v>3100</c:v>
                </c:pt>
                <c:pt idx="1530">
                  <c:v>2500</c:v>
                </c:pt>
                <c:pt idx="1531">
                  <c:v>4114.38</c:v>
                </c:pt>
                <c:pt idx="1532">
                  <c:v>1063.6499999999999</c:v>
                </c:pt>
                <c:pt idx="1533">
                  <c:v>2008.44</c:v>
                </c:pt>
                <c:pt idx="1534">
                  <c:v>4328.5999999999995</c:v>
                </c:pt>
                <c:pt idx="1535">
                  <c:v>1376.43</c:v>
                </c:pt>
                <c:pt idx="1536">
                  <c:v>4300</c:v>
                </c:pt>
                <c:pt idx="1537">
                  <c:v>3659.0200000000004</c:v>
                </c:pt>
                <c:pt idx="1538">
                  <c:v>4165.6099999999997</c:v>
                </c:pt>
                <c:pt idx="1539">
                  <c:v>1404</c:v>
                </c:pt>
                <c:pt idx="1540">
                  <c:v>710.19999999999993</c:v>
                </c:pt>
                <c:pt idx="1541">
                  <c:v>1702.8000000000002</c:v>
                </c:pt>
                <c:pt idx="1542">
                  <c:v>1194.8399999999999</c:v>
                </c:pt>
                <c:pt idx="1543">
                  <c:v>1007.14</c:v>
                </c:pt>
                <c:pt idx="1544">
                  <c:v>977.43000000000006</c:v>
                </c:pt>
                <c:pt idx="1545">
                  <c:v>1436.7600000000002</c:v>
                </c:pt>
                <c:pt idx="1546">
                  <c:v>759.46</c:v>
                </c:pt>
                <c:pt idx="1547">
                  <c:v>1189.44</c:v>
                </c:pt>
                <c:pt idx="1548">
                  <c:v>683.8</c:v>
                </c:pt>
                <c:pt idx="1549">
                  <c:v>1226.82</c:v>
                </c:pt>
                <c:pt idx="1550">
                  <c:v>974.81999999999994</c:v>
                </c:pt>
                <c:pt idx="1551">
                  <c:v>577.6</c:v>
                </c:pt>
                <c:pt idx="1552">
                  <c:v>1106.93</c:v>
                </c:pt>
                <c:pt idx="1553">
                  <c:v>694.6</c:v>
                </c:pt>
                <c:pt idx="1554">
                  <c:v>1152.06</c:v>
                </c:pt>
                <c:pt idx="1555">
                  <c:v>2000</c:v>
                </c:pt>
                <c:pt idx="1556">
                  <c:v>3685.95</c:v>
                </c:pt>
                <c:pt idx="1557">
                  <c:v>703.6</c:v>
                </c:pt>
                <c:pt idx="1558">
                  <c:v>4800</c:v>
                </c:pt>
                <c:pt idx="1559">
                  <c:v>834.67</c:v>
                </c:pt>
                <c:pt idx="1560">
                  <c:v>2257.92</c:v>
                </c:pt>
                <c:pt idx="1561">
                  <c:v>3300</c:v>
                </c:pt>
                <c:pt idx="1562">
                  <c:v>1801.94</c:v>
                </c:pt>
                <c:pt idx="1563">
                  <c:v>1209.5999999999999</c:v>
                </c:pt>
                <c:pt idx="1564">
                  <c:v>3155.14</c:v>
                </c:pt>
                <c:pt idx="1565">
                  <c:v>2848.86</c:v>
                </c:pt>
                <c:pt idx="1566">
                  <c:v>3570.29</c:v>
                </c:pt>
                <c:pt idx="1567">
                  <c:v>3902.41</c:v>
                </c:pt>
                <c:pt idx="1568">
                  <c:v>1474.66</c:v>
                </c:pt>
                <c:pt idx="1569">
                  <c:v>2186.89</c:v>
                </c:pt>
                <c:pt idx="1570">
                  <c:v>1919.3999999999999</c:v>
                </c:pt>
                <c:pt idx="1571">
                  <c:v>3656</c:v>
                </c:pt>
                <c:pt idx="1572">
                  <c:v>1847</c:v>
                </c:pt>
                <c:pt idx="1573">
                  <c:v>1851</c:v>
                </c:pt>
                <c:pt idx="1574">
                  <c:v>2633.78</c:v>
                </c:pt>
                <c:pt idx="1575">
                  <c:v>3153.6</c:v>
                </c:pt>
                <c:pt idx="1576">
                  <c:v>2803.2</c:v>
                </c:pt>
                <c:pt idx="1577">
                  <c:v>2311.02</c:v>
                </c:pt>
                <c:pt idx="1578">
                  <c:v>2399.4</c:v>
                </c:pt>
                <c:pt idx="1579">
                  <c:v>2733.12</c:v>
                </c:pt>
                <c:pt idx="1580">
                  <c:v>2096.3200000000002</c:v>
                </c:pt>
                <c:pt idx="1581">
                  <c:v>2971.34</c:v>
                </c:pt>
                <c:pt idx="1582">
                  <c:v>2257.58</c:v>
                </c:pt>
                <c:pt idx="1583">
                  <c:v>3493.9100000000003</c:v>
                </c:pt>
                <c:pt idx="1584">
                  <c:v>4398.9000000000005</c:v>
                </c:pt>
                <c:pt idx="1585">
                  <c:v>2100</c:v>
                </c:pt>
                <c:pt idx="1586">
                  <c:v>2300</c:v>
                </c:pt>
                <c:pt idx="1587">
                  <c:v>3988.6000000000004</c:v>
                </c:pt>
                <c:pt idx="1588">
                  <c:v>5168.3999999999996</c:v>
                </c:pt>
                <c:pt idx="1589">
                  <c:v>2803.2</c:v>
                </c:pt>
                <c:pt idx="1590">
                  <c:v>4300</c:v>
                </c:pt>
                <c:pt idx="1591">
                  <c:v>4100</c:v>
                </c:pt>
                <c:pt idx="1592">
                  <c:v>4500</c:v>
                </c:pt>
                <c:pt idx="1593">
                  <c:v>3300</c:v>
                </c:pt>
                <c:pt idx="1594">
                  <c:v>4000</c:v>
                </c:pt>
                <c:pt idx="1595">
                  <c:v>3300</c:v>
                </c:pt>
                <c:pt idx="1596">
                  <c:v>5000</c:v>
                </c:pt>
                <c:pt idx="1597">
                  <c:v>3000</c:v>
                </c:pt>
                <c:pt idx="1598">
                  <c:v>4100</c:v>
                </c:pt>
                <c:pt idx="1599">
                  <c:v>3500</c:v>
                </c:pt>
                <c:pt idx="1600">
                  <c:v>4900</c:v>
                </c:pt>
                <c:pt idx="1601">
                  <c:v>4600</c:v>
                </c:pt>
                <c:pt idx="1602">
                  <c:v>4800</c:v>
                </c:pt>
                <c:pt idx="1603">
                  <c:v>3600</c:v>
                </c:pt>
                <c:pt idx="1604">
                  <c:v>2200</c:v>
                </c:pt>
                <c:pt idx="1605">
                  <c:v>4200</c:v>
                </c:pt>
                <c:pt idx="1606">
                  <c:v>2100</c:v>
                </c:pt>
                <c:pt idx="1607">
                  <c:v>2900</c:v>
                </c:pt>
                <c:pt idx="1608">
                  <c:v>3500</c:v>
                </c:pt>
                <c:pt idx="1609">
                  <c:v>4100</c:v>
                </c:pt>
                <c:pt idx="1610">
                  <c:v>2087.13</c:v>
                </c:pt>
                <c:pt idx="1611">
                  <c:v>1711.22</c:v>
                </c:pt>
                <c:pt idx="1612">
                  <c:v>3700</c:v>
                </c:pt>
                <c:pt idx="1613">
                  <c:v>2255.1200000000003</c:v>
                </c:pt>
                <c:pt idx="1614">
                  <c:v>4900</c:v>
                </c:pt>
                <c:pt idx="1615">
                  <c:v>2300</c:v>
                </c:pt>
                <c:pt idx="1616">
                  <c:v>2472.96</c:v>
                </c:pt>
                <c:pt idx="1617">
                  <c:v>1729.65</c:v>
                </c:pt>
                <c:pt idx="1618">
                  <c:v>995.5</c:v>
                </c:pt>
                <c:pt idx="1619">
                  <c:v>2414.7200000000003</c:v>
                </c:pt>
                <c:pt idx="1620">
                  <c:v>1560.47</c:v>
                </c:pt>
                <c:pt idx="1621">
                  <c:v>1112.94</c:v>
                </c:pt>
                <c:pt idx="1622">
                  <c:v>1138.94</c:v>
                </c:pt>
                <c:pt idx="1623">
                  <c:v>1012.4</c:v>
                </c:pt>
                <c:pt idx="1624">
                  <c:v>913.92</c:v>
                </c:pt>
                <c:pt idx="1625">
                  <c:v>2349.06</c:v>
                </c:pt>
                <c:pt idx="1626">
                  <c:v>1161.1200000000001</c:v>
                </c:pt>
                <c:pt idx="1627">
                  <c:v>1764.75</c:v>
                </c:pt>
                <c:pt idx="1628">
                  <c:v>1690.9</c:v>
                </c:pt>
                <c:pt idx="1629">
                  <c:v>2137.0500000000002</c:v>
                </c:pt>
                <c:pt idx="1630">
                  <c:v>2177.1</c:v>
                </c:pt>
                <c:pt idx="1631">
                  <c:v>1734.48</c:v>
                </c:pt>
                <c:pt idx="1632">
                  <c:v>865.49</c:v>
                </c:pt>
                <c:pt idx="1633">
                  <c:v>3000</c:v>
                </c:pt>
                <c:pt idx="1634">
                  <c:v>2223.52</c:v>
                </c:pt>
                <c:pt idx="1635">
                  <c:v>2311.6799999999998</c:v>
                </c:pt>
                <c:pt idx="1636">
                  <c:v>828.36</c:v>
                </c:pt>
                <c:pt idx="1637">
                  <c:v>856.52</c:v>
                </c:pt>
                <c:pt idx="1638">
                  <c:v>1845.4499999999998</c:v>
                </c:pt>
                <c:pt idx="1639">
                  <c:v>2400</c:v>
                </c:pt>
                <c:pt idx="1640">
                  <c:v>1828</c:v>
                </c:pt>
                <c:pt idx="1641">
                  <c:v>3600</c:v>
                </c:pt>
                <c:pt idx="1642">
                  <c:v>2100</c:v>
                </c:pt>
                <c:pt idx="1643">
                  <c:v>2700</c:v>
                </c:pt>
                <c:pt idx="1644">
                  <c:v>4700</c:v>
                </c:pt>
                <c:pt idx="1645">
                  <c:v>4200</c:v>
                </c:pt>
                <c:pt idx="1646">
                  <c:v>3200</c:v>
                </c:pt>
                <c:pt idx="1647">
                  <c:v>2800</c:v>
                </c:pt>
                <c:pt idx="1648">
                  <c:v>2400</c:v>
                </c:pt>
                <c:pt idx="1649">
                  <c:v>4900</c:v>
                </c:pt>
                <c:pt idx="1650">
                  <c:v>4600</c:v>
                </c:pt>
                <c:pt idx="1651">
                  <c:v>2800</c:v>
                </c:pt>
                <c:pt idx="1652">
                  <c:v>4800</c:v>
                </c:pt>
                <c:pt idx="1653">
                  <c:v>2900</c:v>
                </c:pt>
                <c:pt idx="1654">
                  <c:v>4700</c:v>
                </c:pt>
                <c:pt idx="1655">
                  <c:v>4300</c:v>
                </c:pt>
                <c:pt idx="1656">
                  <c:v>2500</c:v>
                </c:pt>
                <c:pt idx="1657">
                  <c:v>4800</c:v>
                </c:pt>
                <c:pt idx="1658">
                  <c:v>2400</c:v>
                </c:pt>
                <c:pt idx="1659">
                  <c:v>4200</c:v>
                </c:pt>
                <c:pt idx="1660">
                  <c:v>3100</c:v>
                </c:pt>
                <c:pt idx="1661">
                  <c:v>4200</c:v>
                </c:pt>
                <c:pt idx="1662">
                  <c:v>3700</c:v>
                </c:pt>
                <c:pt idx="1663">
                  <c:v>4100</c:v>
                </c:pt>
                <c:pt idx="1664">
                  <c:v>2000</c:v>
                </c:pt>
                <c:pt idx="1665">
                  <c:v>2000</c:v>
                </c:pt>
                <c:pt idx="1666">
                  <c:v>7000</c:v>
                </c:pt>
                <c:pt idx="1667">
                  <c:v>4900</c:v>
                </c:pt>
                <c:pt idx="1668">
                  <c:v>2060.4499999999998</c:v>
                </c:pt>
                <c:pt idx="1669">
                  <c:v>2460.16</c:v>
                </c:pt>
                <c:pt idx="1670">
                  <c:v>1787.56</c:v>
                </c:pt>
                <c:pt idx="1671">
                  <c:v>1645.65</c:v>
                </c:pt>
                <c:pt idx="1672">
                  <c:v>2169.1800000000003</c:v>
                </c:pt>
                <c:pt idx="1673">
                  <c:v>2816.18</c:v>
                </c:pt>
                <c:pt idx="1674">
                  <c:v>2521.0500000000002</c:v>
                </c:pt>
                <c:pt idx="1675">
                  <c:v>3199.98</c:v>
                </c:pt>
                <c:pt idx="1676">
                  <c:v>1338.12</c:v>
                </c:pt>
                <c:pt idx="1677">
                  <c:v>2972.58</c:v>
                </c:pt>
                <c:pt idx="1678">
                  <c:v>2070.9</c:v>
                </c:pt>
                <c:pt idx="1679">
                  <c:v>3092.6</c:v>
                </c:pt>
                <c:pt idx="1680">
                  <c:v>2408.6999999999998</c:v>
                </c:pt>
                <c:pt idx="1681">
                  <c:v>3472.54</c:v>
                </c:pt>
                <c:pt idx="1682">
                  <c:v>2263.2800000000002</c:v>
                </c:pt>
                <c:pt idx="1683">
                  <c:v>2194.1699999999996</c:v>
                </c:pt>
                <c:pt idx="1684">
                  <c:v>1346.4</c:v>
                </c:pt>
                <c:pt idx="1685">
                  <c:v>2533.63</c:v>
                </c:pt>
                <c:pt idx="1686">
                  <c:v>3403.26</c:v>
                </c:pt>
                <c:pt idx="1687">
                  <c:v>3200</c:v>
                </c:pt>
                <c:pt idx="1688">
                  <c:v>2896.65</c:v>
                </c:pt>
                <c:pt idx="1689">
                  <c:v>2632.89</c:v>
                </c:pt>
                <c:pt idx="1690">
                  <c:v>2000</c:v>
                </c:pt>
                <c:pt idx="1691">
                  <c:v>2279.5499999999997</c:v>
                </c:pt>
                <c:pt idx="1692">
                  <c:v>2150.5500000000002</c:v>
                </c:pt>
                <c:pt idx="1693">
                  <c:v>3360.4500000000003</c:v>
                </c:pt>
                <c:pt idx="1694">
                  <c:v>2326.4</c:v>
                </c:pt>
                <c:pt idx="1695">
                  <c:v>1545.6</c:v>
                </c:pt>
                <c:pt idx="1696">
                  <c:v>2000</c:v>
                </c:pt>
                <c:pt idx="1697">
                  <c:v>1639.22</c:v>
                </c:pt>
                <c:pt idx="1698">
                  <c:v>2649.6</c:v>
                </c:pt>
                <c:pt idx="1699">
                  <c:v>3845.6</c:v>
                </c:pt>
                <c:pt idx="1700">
                  <c:v>4527.04</c:v>
                </c:pt>
                <c:pt idx="1701">
                  <c:v>3966.3</c:v>
                </c:pt>
                <c:pt idx="1702">
                  <c:v>4142.58</c:v>
                </c:pt>
                <c:pt idx="1703">
                  <c:v>4441.5</c:v>
                </c:pt>
                <c:pt idx="1704">
                  <c:v>3315.12</c:v>
                </c:pt>
                <c:pt idx="1705">
                  <c:v>3918.5299999999997</c:v>
                </c:pt>
                <c:pt idx="1706">
                  <c:v>2830.4500000000003</c:v>
                </c:pt>
                <c:pt idx="1707">
                  <c:v>4900</c:v>
                </c:pt>
                <c:pt idx="1708">
                  <c:v>2620.7999999999997</c:v>
                </c:pt>
                <c:pt idx="1709">
                  <c:v>2181</c:v>
                </c:pt>
                <c:pt idx="1710">
                  <c:v>3382.08</c:v>
                </c:pt>
                <c:pt idx="1711">
                  <c:v>2500</c:v>
                </c:pt>
                <c:pt idx="1712">
                  <c:v>4000</c:v>
                </c:pt>
                <c:pt idx="1713">
                  <c:v>1350</c:v>
                </c:pt>
                <c:pt idx="1714">
                  <c:v>7182</c:v>
                </c:pt>
                <c:pt idx="1715">
                  <c:v>3900</c:v>
                </c:pt>
                <c:pt idx="1716">
                  <c:v>1742.4</c:v>
                </c:pt>
                <c:pt idx="1717">
                  <c:v>721.43999999999994</c:v>
                </c:pt>
                <c:pt idx="1718">
                  <c:v>1489.4099999999999</c:v>
                </c:pt>
                <c:pt idx="1719">
                  <c:v>891.03</c:v>
                </c:pt>
                <c:pt idx="1720">
                  <c:v>1209.3000000000002</c:v>
                </c:pt>
                <c:pt idx="1721">
                  <c:v>859.14</c:v>
                </c:pt>
                <c:pt idx="1722">
                  <c:v>1151.44</c:v>
                </c:pt>
                <c:pt idx="1723">
                  <c:v>1336.44</c:v>
                </c:pt>
                <c:pt idx="1724">
                  <c:v>905.28</c:v>
                </c:pt>
                <c:pt idx="1725">
                  <c:v>1247.3999999999999</c:v>
                </c:pt>
                <c:pt idx="1726">
                  <c:v>846.51</c:v>
                </c:pt>
                <c:pt idx="1727">
                  <c:v>1085.0400000000002</c:v>
                </c:pt>
                <c:pt idx="1728">
                  <c:v>1767.43</c:v>
                </c:pt>
                <c:pt idx="1729">
                  <c:v>1030.44</c:v>
                </c:pt>
                <c:pt idx="1730">
                  <c:v>1585.36</c:v>
                </c:pt>
                <c:pt idx="1731">
                  <c:v>813.19999999999993</c:v>
                </c:pt>
                <c:pt idx="1732">
                  <c:v>1172.3399999999999</c:v>
                </c:pt>
                <c:pt idx="1733">
                  <c:v>1510.56</c:v>
                </c:pt>
                <c:pt idx="1734">
                  <c:v>1448.0700000000002</c:v>
                </c:pt>
                <c:pt idx="1735">
                  <c:v>3000</c:v>
                </c:pt>
                <c:pt idx="1736">
                  <c:v>1225.2900000000002</c:v>
                </c:pt>
                <c:pt idx="1737">
                  <c:v>1336.68</c:v>
                </c:pt>
                <c:pt idx="1738">
                  <c:v>2985.84</c:v>
                </c:pt>
                <c:pt idx="1739">
                  <c:v>4500</c:v>
                </c:pt>
                <c:pt idx="1740">
                  <c:v>4000</c:v>
                </c:pt>
                <c:pt idx="1741">
                  <c:v>1789.3999999999999</c:v>
                </c:pt>
                <c:pt idx="1742">
                  <c:v>1082.0999999999999</c:v>
                </c:pt>
                <c:pt idx="1743">
                  <c:v>1030.44</c:v>
                </c:pt>
                <c:pt idx="1744">
                  <c:v>3659.32</c:v>
                </c:pt>
                <c:pt idx="1745">
                  <c:v>2443.6</c:v>
                </c:pt>
                <c:pt idx="1746">
                  <c:v>2349.9</c:v>
                </c:pt>
                <c:pt idx="1747">
                  <c:v>1646.19</c:v>
                </c:pt>
                <c:pt idx="1748">
                  <c:v>1670.2600000000002</c:v>
                </c:pt>
                <c:pt idx="1749">
                  <c:v>1467.48</c:v>
                </c:pt>
                <c:pt idx="1750">
                  <c:v>2748.56</c:v>
                </c:pt>
                <c:pt idx="1751">
                  <c:v>1522.4</c:v>
                </c:pt>
                <c:pt idx="1752">
                  <c:v>3255.3599999999997</c:v>
                </c:pt>
                <c:pt idx="1753">
                  <c:v>3535.0299999999997</c:v>
                </c:pt>
                <c:pt idx="1754">
                  <c:v>2608.96</c:v>
                </c:pt>
                <c:pt idx="1755">
                  <c:v>1356.3999999999999</c:v>
                </c:pt>
                <c:pt idx="1756">
                  <c:v>1611.3600000000001</c:v>
                </c:pt>
                <c:pt idx="1757">
                  <c:v>2603.1999999999998</c:v>
                </c:pt>
                <c:pt idx="1758">
                  <c:v>2219.6999999999998</c:v>
                </c:pt>
                <c:pt idx="1759">
                  <c:v>1496.25</c:v>
                </c:pt>
                <c:pt idx="1760">
                  <c:v>1884</c:v>
                </c:pt>
                <c:pt idx="1761">
                  <c:v>2166.14</c:v>
                </c:pt>
                <c:pt idx="1762">
                  <c:v>2828.16</c:v>
                </c:pt>
                <c:pt idx="1763">
                  <c:v>5500</c:v>
                </c:pt>
                <c:pt idx="1764">
                  <c:v>1867.0000000000002</c:v>
                </c:pt>
                <c:pt idx="1765">
                  <c:v>2676.72</c:v>
                </c:pt>
                <c:pt idx="1766">
                  <c:v>2182.44</c:v>
                </c:pt>
                <c:pt idx="1767">
                  <c:v>1611.3999999999999</c:v>
                </c:pt>
                <c:pt idx="1768">
                  <c:v>1479.84</c:v>
                </c:pt>
                <c:pt idx="1769">
                  <c:v>1424.2199999999998</c:v>
                </c:pt>
                <c:pt idx="1770">
                  <c:v>4600</c:v>
                </c:pt>
                <c:pt idx="1771">
                  <c:v>2348.75</c:v>
                </c:pt>
                <c:pt idx="1772">
                  <c:v>3400</c:v>
                </c:pt>
                <c:pt idx="1773">
                  <c:v>2500</c:v>
                </c:pt>
                <c:pt idx="1774">
                  <c:v>2300</c:v>
                </c:pt>
                <c:pt idx="1775">
                  <c:v>2000</c:v>
                </c:pt>
                <c:pt idx="1776">
                  <c:v>2300</c:v>
                </c:pt>
                <c:pt idx="1777">
                  <c:v>4200</c:v>
                </c:pt>
                <c:pt idx="1778">
                  <c:v>2700</c:v>
                </c:pt>
                <c:pt idx="1779">
                  <c:v>3300</c:v>
                </c:pt>
                <c:pt idx="1780">
                  <c:v>2762.2000000000003</c:v>
                </c:pt>
                <c:pt idx="1781">
                  <c:v>4300</c:v>
                </c:pt>
                <c:pt idx="1782">
                  <c:v>4800</c:v>
                </c:pt>
                <c:pt idx="1783">
                  <c:v>4800</c:v>
                </c:pt>
                <c:pt idx="1784">
                  <c:v>4500</c:v>
                </c:pt>
                <c:pt idx="1785">
                  <c:v>4300</c:v>
                </c:pt>
                <c:pt idx="1786">
                  <c:v>1859.4399999999998</c:v>
                </c:pt>
                <c:pt idx="1787">
                  <c:v>2093.7599999999998</c:v>
                </c:pt>
                <c:pt idx="1788">
                  <c:v>3100</c:v>
                </c:pt>
                <c:pt idx="1789">
                  <c:v>1596.76</c:v>
                </c:pt>
                <c:pt idx="1790">
                  <c:v>5820.35</c:v>
                </c:pt>
                <c:pt idx="1791">
                  <c:v>5296.5</c:v>
                </c:pt>
                <c:pt idx="1792">
                  <c:v>930.90000000000009</c:v>
                </c:pt>
                <c:pt idx="1793">
                  <c:v>1207.44</c:v>
                </c:pt>
                <c:pt idx="1794">
                  <c:v>717.4</c:v>
                </c:pt>
                <c:pt idx="1795">
                  <c:v>1066.75</c:v>
                </c:pt>
                <c:pt idx="1796">
                  <c:v>1554</c:v>
                </c:pt>
                <c:pt idx="1797">
                  <c:v>1277.6400000000001</c:v>
                </c:pt>
                <c:pt idx="1798">
                  <c:v>1578.79</c:v>
                </c:pt>
                <c:pt idx="1799">
                  <c:v>917.7</c:v>
                </c:pt>
                <c:pt idx="1800">
                  <c:v>777</c:v>
                </c:pt>
                <c:pt idx="1801">
                  <c:v>1476.28</c:v>
                </c:pt>
                <c:pt idx="1802">
                  <c:v>1538.46</c:v>
                </c:pt>
                <c:pt idx="1803">
                  <c:v>891.2</c:v>
                </c:pt>
                <c:pt idx="1804">
                  <c:v>1706.8000000000002</c:v>
                </c:pt>
                <c:pt idx="1805">
                  <c:v>1373.6</c:v>
                </c:pt>
                <c:pt idx="1806">
                  <c:v>1205.5899999999999</c:v>
                </c:pt>
                <c:pt idx="1807">
                  <c:v>1427.3999999999999</c:v>
                </c:pt>
                <c:pt idx="1808">
                  <c:v>1649.28</c:v>
                </c:pt>
                <c:pt idx="1809">
                  <c:v>1383.03</c:v>
                </c:pt>
                <c:pt idx="1810">
                  <c:v>1229.51</c:v>
                </c:pt>
                <c:pt idx="1811">
                  <c:v>1140.48</c:v>
                </c:pt>
                <c:pt idx="1812">
                  <c:v>1575.6</c:v>
                </c:pt>
                <c:pt idx="1813">
                  <c:v>1386.72</c:v>
                </c:pt>
                <c:pt idx="1814">
                  <c:v>3600</c:v>
                </c:pt>
                <c:pt idx="1815">
                  <c:v>4100</c:v>
                </c:pt>
                <c:pt idx="1816">
                  <c:v>3700</c:v>
                </c:pt>
                <c:pt idx="1817">
                  <c:v>2094.3200000000002</c:v>
                </c:pt>
                <c:pt idx="1818">
                  <c:v>640.05000000000007</c:v>
                </c:pt>
                <c:pt idx="1819">
                  <c:v>3193.52</c:v>
                </c:pt>
                <c:pt idx="1820">
                  <c:v>3066.7000000000003</c:v>
                </c:pt>
                <c:pt idx="1821">
                  <c:v>3883.1099999999997</c:v>
                </c:pt>
                <c:pt idx="1822">
                  <c:v>4814.25</c:v>
                </c:pt>
                <c:pt idx="1823">
                  <c:v>2826.27</c:v>
                </c:pt>
                <c:pt idx="1824">
                  <c:v>1593.1999999999998</c:v>
                </c:pt>
                <c:pt idx="1825">
                  <c:v>3266.1</c:v>
                </c:pt>
                <c:pt idx="1826">
                  <c:v>2453.5499999999997</c:v>
                </c:pt>
                <c:pt idx="1827">
                  <c:v>3910.4</c:v>
                </c:pt>
                <c:pt idx="1828">
                  <c:v>1788</c:v>
                </c:pt>
                <c:pt idx="1829">
                  <c:v>3328.07</c:v>
                </c:pt>
                <c:pt idx="1830">
                  <c:v>3788.3999999999996</c:v>
                </c:pt>
                <c:pt idx="1831">
                  <c:v>3000</c:v>
                </c:pt>
                <c:pt idx="1832">
                  <c:v>2005.74</c:v>
                </c:pt>
                <c:pt idx="1833">
                  <c:v>2700</c:v>
                </c:pt>
                <c:pt idx="1834">
                  <c:v>3159.96</c:v>
                </c:pt>
                <c:pt idx="1835">
                  <c:v>3908.62</c:v>
                </c:pt>
                <c:pt idx="1836">
                  <c:v>2606.48</c:v>
                </c:pt>
                <c:pt idx="1837">
                  <c:v>2081.7599999999998</c:v>
                </c:pt>
                <c:pt idx="1838">
                  <c:v>3519.85</c:v>
                </c:pt>
                <c:pt idx="1839">
                  <c:v>5500</c:v>
                </c:pt>
                <c:pt idx="1840">
                  <c:v>3000</c:v>
                </c:pt>
                <c:pt idx="1841">
                  <c:v>1891.56</c:v>
                </c:pt>
                <c:pt idx="1842">
                  <c:v>4208.41</c:v>
                </c:pt>
                <c:pt idx="1843">
                  <c:v>2246.4</c:v>
                </c:pt>
                <c:pt idx="1844">
                  <c:v>6000</c:v>
                </c:pt>
                <c:pt idx="1845">
                  <c:v>1987.7400000000002</c:v>
                </c:pt>
                <c:pt idx="1846">
                  <c:v>4068.9600000000005</c:v>
                </c:pt>
                <c:pt idx="1847">
                  <c:v>2282.2200000000003</c:v>
                </c:pt>
                <c:pt idx="1848">
                  <c:v>1541</c:v>
                </c:pt>
                <c:pt idx="1849">
                  <c:v>1951.92</c:v>
                </c:pt>
                <c:pt idx="1850">
                  <c:v>3107.61</c:v>
                </c:pt>
                <c:pt idx="1851">
                  <c:v>2328.64</c:v>
                </c:pt>
                <c:pt idx="1852">
                  <c:v>3184.8</c:v>
                </c:pt>
                <c:pt idx="1853">
                  <c:v>2149.7400000000002</c:v>
                </c:pt>
                <c:pt idx="1854">
                  <c:v>3184.8</c:v>
                </c:pt>
                <c:pt idx="1855">
                  <c:v>2114.58</c:v>
                </c:pt>
                <c:pt idx="1856">
                  <c:v>4256.5599999999995</c:v>
                </c:pt>
                <c:pt idx="1857">
                  <c:v>2344.98</c:v>
                </c:pt>
                <c:pt idx="1858">
                  <c:v>2328.66</c:v>
                </c:pt>
                <c:pt idx="1859">
                  <c:v>3575.04</c:v>
                </c:pt>
                <c:pt idx="1860">
                  <c:v>2076</c:v>
                </c:pt>
                <c:pt idx="1861">
                  <c:v>3305.25</c:v>
                </c:pt>
                <c:pt idx="1862">
                  <c:v>1538.55</c:v>
                </c:pt>
                <c:pt idx="1863">
                  <c:v>2400</c:v>
                </c:pt>
                <c:pt idx="1864">
                  <c:v>3662.5200000000004</c:v>
                </c:pt>
                <c:pt idx="1865">
                  <c:v>3478.6400000000003</c:v>
                </c:pt>
                <c:pt idx="1866">
                  <c:v>1057.29</c:v>
                </c:pt>
                <c:pt idx="1867">
                  <c:v>3385.8999999999996</c:v>
                </c:pt>
                <c:pt idx="1868">
                  <c:v>1892.1</c:v>
                </c:pt>
                <c:pt idx="1869">
                  <c:v>1707.14</c:v>
                </c:pt>
                <c:pt idx="1870">
                  <c:v>1785.5099999999998</c:v>
                </c:pt>
                <c:pt idx="1871">
                  <c:v>2057.4</c:v>
                </c:pt>
                <c:pt idx="1872">
                  <c:v>3490</c:v>
                </c:pt>
                <c:pt idx="1873">
                  <c:v>1707.14</c:v>
                </c:pt>
                <c:pt idx="1874">
                  <c:v>1506.9599999999998</c:v>
                </c:pt>
                <c:pt idx="1875">
                  <c:v>2880.48</c:v>
                </c:pt>
                <c:pt idx="1876">
                  <c:v>2206.6000000000004</c:v>
                </c:pt>
                <c:pt idx="1877">
                  <c:v>2351.04</c:v>
                </c:pt>
                <c:pt idx="1878">
                  <c:v>1205.04</c:v>
                </c:pt>
                <c:pt idx="1879">
                  <c:v>2935.15</c:v>
                </c:pt>
                <c:pt idx="1880">
                  <c:v>1263.8399999999999</c:v>
                </c:pt>
                <c:pt idx="1881">
                  <c:v>2935.15</c:v>
                </c:pt>
                <c:pt idx="1882">
                  <c:v>1224.5999999999999</c:v>
                </c:pt>
                <c:pt idx="1883">
                  <c:v>1359.4</c:v>
                </c:pt>
                <c:pt idx="1884">
                  <c:v>1822.18</c:v>
                </c:pt>
                <c:pt idx="1885">
                  <c:v>2163.7199999999998</c:v>
                </c:pt>
                <c:pt idx="1886">
                  <c:v>1591.98</c:v>
                </c:pt>
                <c:pt idx="1887">
                  <c:v>2500</c:v>
                </c:pt>
                <c:pt idx="1888">
                  <c:v>2997.6000000000004</c:v>
                </c:pt>
                <c:pt idx="1889">
                  <c:v>2747.8</c:v>
                </c:pt>
                <c:pt idx="1890">
                  <c:v>2100</c:v>
                </c:pt>
                <c:pt idx="1891">
                  <c:v>1910.84</c:v>
                </c:pt>
                <c:pt idx="1892">
                  <c:v>2430.6400000000003</c:v>
                </c:pt>
                <c:pt idx="1893">
                  <c:v>2896.2999999999997</c:v>
                </c:pt>
                <c:pt idx="1894">
                  <c:v>1630.6000000000001</c:v>
                </c:pt>
                <c:pt idx="1895">
                  <c:v>1459.6000000000001</c:v>
                </c:pt>
                <c:pt idx="1896">
                  <c:v>1716.22</c:v>
                </c:pt>
                <c:pt idx="1897">
                  <c:v>2560.4700000000003</c:v>
                </c:pt>
                <c:pt idx="1898">
                  <c:v>1900.26</c:v>
                </c:pt>
                <c:pt idx="1899">
                  <c:v>2019.84</c:v>
                </c:pt>
                <c:pt idx="1900">
                  <c:v>1988.28</c:v>
                </c:pt>
                <c:pt idx="1901">
                  <c:v>1449.8400000000001</c:v>
                </c:pt>
                <c:pt idx="1902">
                  <c:v>1935.0900000000001</c:v>
                </c:pt>
                <c:pt idx="1903">
                  <c:v>2793.2400000000002</c:v>
                </c:pt>
                <c:pt idx="1904">
                  <c:v>3025.0499999999997</c:v>
                </c:pt>
                <c:pt idx="1905">
                  <c:v>1742.5</c:v>
                </c:pt>
                <c:pt idx="1906">
                  <c:v>3236.1</c:v>
                </c:pt>
                <c:pt idx="1907">
                  <c:v>1735.92</c:v>
                </c:pt>
                <c:pt idx="1908">
                  <c:v>2795.13</c:v>
                </c:pt>
                <c:pt idx="1909">
                  <c:v>1671.52</c:v>
                </c:pt>
                <c:pt idx="1910">
                  <c:v>1576.74</c:v>
                </c:pt>
                <c:pt idx="1911">
                  <c:v>3615.7100000000005</c:v>
                </c:pt>
                <c:pt idx="1912">
                  <c:v>1459.6000000000001</c:v>
                </c:pt>
                <c:pt idx="1913">
                  <c:v>2891.0099999999998</c:v>
                </c:pt>
                <c:pt idx="1914">
                  <c:v>2598.4399999999996</c:v>
                </c:pt>
                <c:pt idx="1915">
                  <c:v>3400</c:v>
                </c:pt>
                <c:pt idx="1916">
                  <c:v>3036</c:v>
                </c:pt>
                <c:pt idx="1917">
                  <c:v>2231.6</c:v>
                </c:pt>
                <c:pt idx="1918">
                  <c:v>2436.7800000000002</c:v>
                </c:pt>
                <c:pt idx="1919">
                  <c:v>2173.6</c:v>
                </c:pt>
                <c:pt idx="1920">
                  <c:v>1254.6000000000001</c:v>
                </c:pt>
                <c:pt idx="1921">
                  <c:v>3700</c:v>
                </c:pt>
                <c:pt idx="1922">
                  <c:v>4300</c:v>
                </c:pt>
                <c:pt idx="1923">
                  <c:v>2700</c:v>
                </c:pt>
                <c:pt idx="1924">
                  <c:v>3000</c:v>
                </c:pt>
                <c:pt idx="1925">
                  <c:v>2167.2200000000003</c:v>
                </c:pt>
                <c:pt idx="1926">
                  <c:v>4900</c:v>
                </c:pt>
                <c:pt idx="1927">
                  <c:v>4600</c:v>
                </c:pt>
                <c:pt idx="1928">
                  <c:v>4368.96</c:v>
                </c:pt>
                <c:pt idx="1929">
                  <c:v>4039.26</c:v>
                </c:pt>
                <c:pt idx="1930">
                  <c:v>4420.32</c:v>
                </c:pt>
                <c:pt idx="1931">
                  <c:v>2341.71</c:v>
                </c:pt>
                <c:pt idx="1932">
                  <c:v>4300</c:v>
                </c:pt>
                <c:pt idx="1933">
                  <c:v>4800</c:v>
                </c:pt>
                <c:pt idx="1934">
                  <c:v>4100</c:v>
                </c:pt>
                <c:pt idx="1935">
                  <c:v>2120.1400000000003</c:v>
                </c:pt>
                <c:pt idx="1936">
                  <c:v>4236.1400000000003</c:v>
                </c:pt>
                <c:pt idx="1937">
                  <c:v>1888.95</c:v>
                </c:pt>
                <c:pt idx="1938">
                  <c:v>1152.58</c:v>
                </c:pt>
                <c:pt idx="1939">
                  <c:v>2492.88</c:v>
                </c:pt>
                <c:pt idx="1940">
                  <c:v>1991.6</c:v>
                </c:pt>
                <c:pt idx="1941">
                  <c:v>3400</c:v>
                </c:pt>
                <c:pt idx="1942">
                  <c:v>3729.3900000000003</c:v>
                </c:pt>
                <c:pt idx="1943">
                  <c:v>2600</c:v>
                </c:pt>
                <c:pt idx="1944">
                  <c:v>3983.5</c:v>
                </c:pt>
                <c:pt idx="1945">
                  <c:v>3169.95</c:v>
                </c:pt>
                <c:pt idx="1946">
                  <c:v>3899.4999999999995</c:v>
                </c:pt>
                <c:pt idx="1947">
                  <c:v>1851.73</c:v>
                </c:pt>
                <c:pt idx="1948">
                  <c:v>2513.4100000000003</c:v>
                </c:pt>
                <c:pt idx="1949">
                  <c:v>2431.94</c:v>
                </c:pt>
                <c:pt idx="1950">
                  <c:v>1514.52</c:v>
                </c:pt>
                <c:pt idx="1951">
                  <c:v>3079.44</c:v>
                </c:pt>
                <c:pt idx="1952">
                  <c:v>1900.36</c:v>
                </c:pt>
                <c:pt idx="1953">
                  <c:v>1974.0600000000002</c:v>
                </c:pt>
                <c:pt idx="1954">
                  <c:v>3703.46</c:v>
                </c:pt>
                <c:pt idx="1955">
                  <c:v>1755.13</c:v>
                </c:pt>
                <c:pt idx="1956">
                  <c:v>4273.29</c:v>
                </c:pt>
                <c:pt idx="1957">
                  <c:v>3984.96</c:v>
                </c:pt>
                <c:pt idx="1958">
                  <c:v>2407.6799999999998</c:v>
                </c:pt>
                <c:pt idx="1959">
                  <c:v>1697.3000000000002</c:v>
                </c:pt>
                <c:pt idx="1960">
                  <c:v>2011.02</c:v>
                </c:pt>
                <c:pt idx="1961">
                  <c:v>2306.25</c:v>
                </c:pt>
                <c:pt idx="1962">
                  <c:v>1845</c:v>
                </c:pt>
                <c:pt idx="1963">
                  <c:v>2493.12</c:v>
                </c:pt>
                <c:pt idx="1964">
                  <c:v>1508.5</c:v>
                </c:pt>
                <c:pt idx="1965">
                  <c:v>2300</c:v>
                </c:pt>
                <c:pt idx="1966">
                  <c:v>3164.98</c:v>
                </c:pt>
                <c:pt idx="1967">
                  <c:v>3351.0899999999997</c:v>
                </c:pt>
                <c:pt idx="1968">
                  <c:v>3064.3199999999997</c:v>
                </c:pt>
                <c:pt idx="1969">
                  <c:v>3891.81</c:v>
                </c:pt>
                <c:pt idx="1970">
                  <c:v>4000</c:v>
                </c:pt>
                <c:pt idx="1971">
                  <c:v>4300</c:v>
                </c:pt>
                <c:pt idx="1972">
                  <c:v>4700</c:v>
                </c:pt>
                <c:pt idx="1973">
                  <c:v>2300</c:v>
                </c:pt>
                <c:pt idx="1974">
                  <c:v>3500</c:v>
                </c:pt>
                <c:pt idx="1975">
                  <c:v>3400</c:v>
                </c:pt>
                <c:pt idx="1976">
                  <c:v>2500</c:v>
                </c:pt>
                <c:pt idx="1977">
                  <c:v>4500</c:v>
                </c:pt>
                <c:pt idx="1978">
                  <c:v>4700</c:v>
                </c:pt>
                <c:pt idx="1979">
                  <c:v>4900</c:v>
                </c:pt>
                <c:pt idx="1980">
                  <c:v>4000</c:v>
                </c:pt>
                <c:pt idx="1981">
                  <c:v>2900</c:v>
                </c:pt>
                <c:pt idx="1982">
                  <c:v>3900</c:v>
                </c:pt>
                <c:pt idx="1983">
                  <c:v>2400</c:v>
                </c:pt>
                <c:pt idx="1984">
                  <c:v>2500</c:v>
                </c:pt>
                <c:pt idx="1985">
                  <c:v>3600</c:v>
                </c:pt>
                <c:pt idx="1986">
                  <c:v>5000</c:v>
                </c:pt>
                <c:pt idx="1987">
                  <c:v>4500</c:v>
                </c:pt>
                <c:pt idx="1988">
                  <c:v>2600</c:v>
                </c:pt>
                <c:pt idx="1989">
                  <c:v>2100</c:v>
                </c:pt>
                <c:pt idx="1990">
                  <c:v>4200</c:v>
                </c:pt>
                <c:pt idx="1991">
                  <c:v>3200</c:v>
                </c:pt>
                <c:pt idx="1992">
                  <c:v>2931.98</c:v>
                </c:pt>
                <c:pt idx="1993">
                  <c:v>1757.91</c:v>
                </c:pt>
                <c:pt idx="1994">
                  <c:v>4500</c:v>
                </c:pt>
                <c:pt idx="1995">
                  <c:v>7600</c:v>
                </c:pt>
                <c:pt idx="1996">
                  <c:v>7000</c:v>
                </c:pt>
                <c:pt idx="1997">
                  <c:v>3241.5</c:v>
                </c:pt>
                <c:pt idx="1998">
                  <c:v>1968.1200000000001</c:v>
                </c:pt>
                <c:pt idx="1999">
                  <c:v>4094.5</c:v>
                </c:pt>
                <c:pt idx="2000">
                  <c:v>1853.32</c:v>
                </c:pt>
                <c:pt idx="2001">
                  <c:v>3392.84</c:v>
                </c:pt>
                <c:pt idx="2002">
                  <c:v>1971.54</c:v>
                </c:pt>
                <c:pt idx="2003">
                  <c:v>2169.9</c:v>
                </c:pt>
                <c:pt idx="2004">
                  <c:v>2846.17</c:v>
                </c:pt>
                <c:pt idx="2005">
                  <c:v>2018.3999999999999</c:v>
                </c:pt>
                <c:pt idx="2006">
                  <c:v>2718.7200000000003</c:v>
                </c:pt>
                <c:pt idx="2007">
                  <c:v>1981.6499999999999</c:v>
                </c:pt>
                <c:pt idx="2008">
                  <c:v>3002.4</c:v>
                </c:pt>
                <c:pt idx="2009">
                  <c:v>2948.16</c:v>
                </c:pt>
                <c:pt idx="2010">
                  <c:v>3357.4900000000002</c:v>
                </c:pt>
                <c:pt idx="2011">
                  <c:v>1175.1600000000001</c:v>
                </c:pt>
                <c:pt idx="2012">
                  <c:v>2292.8000000000002</c:v>
                </c:pt>
                <c:pt idx="2013">
                  <c:v>3286.4900000000002</c:v>
                </c:pt>
                <c:pt idx="2014">
                  <c:v>2333.7000000000003</c:v>
                </c:pt>
                <c:pt idx="2015">
                  <c:v>2675.05</c:v>
                </c:pt>
                <c:pt idx="2016">
                  <c:v>4361.3999999999996</c:v>
                </c:pt>
                <c:pt idx="2017">
                  <c:v>2018.58</c:v>
                </c:pt>
                <c:pt idx="2018">
                  <c:v>2600</c:v>
                </c:pt>
                <c:pt idx="2019">
                  <c:v>2847</c:v>
                </c:pt>
                <c:pt idx="2020">
                  <c:v>3006.12</c:v>
                </c:pt>
                <c:pt idx="2021">
                  <c:v>2797.8399999999997</c:v>
                </c:pt>
                <c:pt idx="2022">
                  <c:v>3843.2</c:v>
                </c:pt>
                <c:pt idx="2023">
                  <c:v>1351.08</c:v>
                </c:pt>
                <c:pt idx="2024">
                  <c:v>1689.03</c:v>
                </c:pt>
                <c:pt idx="2025">
                  <c:v>1654.56</c:v>
                </c:pt>
                <c:pt idx="2026">
                  <c:v>1528.58</c:v>
                </c:pt>
                <c:pt idx="2027">
                  <c:v>1013.4799999999999</c:v>
                </c:pt>
                <c:pt idx="2028">
                  <c:v>1442.26</c:v>
                </c:pt>
                <c:pt idx="2029">
                  <c:v>1163.05</c:v>
                </c:pt>
                <c:pt idx="2030">
                  <c:v>971.9799999999999</c:v>
                </c:pt>
                <c:pt idx="2031">
                  <c:v>902.66000000000008</c:v>
                </c:pt>
                <c:pt idx="2032">
                  <c:v>1295.9699999999998</c:v>
                </c:pt>
                <c:pt idx="2033">
                  <c:v>1534.72</c:v>
                </c:pt>
                <c:pt idx="2034">
                  <c:v>1185.3</c:v>
                </c:pt>
                <c:pt idx="2035">
                  <c:v>1698.78</c:v>
                </c:pt>
                <c:pt idx="2036">
                  <c:v>1381.05</c:v>
                </c:pt>
                <c:pt idx="2037">
                  <c:v>1340.4599999999998</c:v>
                </c:pt>
                <c:pt idx="2038">
                  <c:v>965.04</c:v>
                </c:pt>
                <c:pt idx="2039">
                  <c:v>1093.99</c:v>
                </c:pt>
                <c:pt idx="2040">
                  <c:v>3166.8399999999997</c:v>
                </c:pt>
                <c:pt idx="2041">
                  <c:v>2143.6799999999998</c:v>
                </c:pt>
                <c:pt idx="2042">
                  <c:v>1717.64</c:v>
                </c:pt>
                <c:pt idx="2043">
                  <c:v>4086.29</c:v>
                </c:pt>
                <c:pt idx="2044">
                  <c:v>553.95000000000005</c:v>
                </c:pt>
                <c:pt idx="2045">
                  <c:v>652.35</c:v>
                </c:pt>
                <c:pt idx="2046">
                  <c:v>2600</c:v>
                </c:pt>
                <c:pt idx="2047">
                  <c:v>4400</c:v>
                </c:pt>
                <c:pt idx="2048">
                  <c:v>1939.8</c:v>
                </c:pt>
                <c:pt idx="2049">
                  <c:v>3784.8</c:v>
                </c:pt>
                <c:pt idx="2050">
                  <c:v>2300</c:v>
                </c:pt>
                <c:pt idx="2051">
                  <c:v>2384.64</c:v>
                </c:pt>
                <c:pt idx="2052">
                  <c:v>2900</c:v>
                </c:pt>
                <c:pt idx="2053">
                  <c:v>4900</c:v>
                </c:pt>
                <c:pt idx="2054">
                  <c:v>3400</c:v>
                </c:pt>
                <c:pt idx="2055">
                  <c:v>2800</c:v>
                </c:pt>
                <c:pt idx="2056">
                  <c:v>3700</c:v>
                </c:pt>
                <c:pt idx="2057">
                  <c:v>4500</c:v>
                </c:pt>
                <c:pt idx="2058">
                  <c:v>4600</c:v>
                </c:pt>
                <c:pt idx="2059">
                  <c:v>2200</c:v>
                </c:pt>
                <c:pt idx="2060">
                  <c:v>3900</c:v>
                </c:pt>
                <c:pt idx="2061">
                  <c:v>2700</c:v>
                </c:pt>
                <c:pt idx="2062">
                  <c:v>3600</c:v>
                </c:pt>
                <c:pt idx="2063">
                  <c:v>3800</c:v>
                </c:pt>
                <c:pt idx="2064">
                  <c:v>4400</c:v>
                </c:pt>
                <c:pt idx="2065">
                  <c:v>3100</c:v>
                </c:pt>
                <c:pt idx="2066">
                  <c:v>2300</c:v>
                </c:pt>
                <c:pt idx="2067">
                  <c:v>2200</c:v>
                </c:pt>
                <c:pt idx="2068">
                  <c:v>1408.96</c:v>
                </c:pt>
                <c:pt idx="2069">
                  <c:v>1972.11</c:v>
                </c:pt>
                <c:pt idx="2070">
                  <c:v>3700</c:v>
                </c:pt>
                <c:pt idx="2071">
                  <c:v>3100</c:v>
                </c:pt>
                <c:pt idx="2072">
                  <c:v>2500</c:v>
                </c:pt>
                <c:pt idx="2073">
                  <c:v>2253.6800000000003</c:v>
                </c:pt>
                <c:pt idx="2074">
                  <c:v>3400</c:v>
                </c:pt>
                <c:pt idx="2075">
                  <c:v>2900</c:v>
                </c:pt>
                <c:pt idx="2076">
                  <c:v>1811.3999999999999</c:v>
                </c:pt>
                <c:pt idx="2077">
                  <c:v>3845.1</c:v>
                </c:pt>
                <c:pt idx="2078">
                  <c:v>2200</c:v>
                </c:pt>
                <c:pt idx="2079">
                  <c:v>4700</c:v>
                </c:pt>
                <c:pt idx="2080">
                  <c:v>2000</c:v>
                </c:pt>
                <c:pt idx="2081">
                  <c:v>3213.87</c:v>
                </c:pt>
                <c:pt idx="2082">
                  <c:v>3532.2299999999996</c:v>
                </c:pt>
                <c:pt idx="2083">
                  <c:v>3300</c:v>
                </c:pt>
                <c:pt idx="2084">
                  <c:v>3467.2000000000003</c:v>
                </c:pt>
                <c:pt idx="2085">
                  <c:v>3628.94</c:v>
                </c:pt>
                <c:pt idx="2086">
                  <c:v>4674.72</c:v>
                </c:pt>
                <c:pt idx="2087">
                  <c:v>1656.69</c:v>
                </c:pt>
                <c:pt idx="2088">
                  <c:v>4500</c:v>
                </c:pt>
                <c:pt idx="2089">
                  <c:v>3300</c:v>
                </c:pt>
                <c:pt idx="2090">
                  <c:v>4400</c:v>
                </c:pt>
                <c:pt idx="2091">
                  <c:v>3300</c:v>
                </c:pt>
                <c:pt idx="2092">
                  <c:v>3900</c:v>
                </c:pt>
                <c:pt idx="2093">
                  <c:v>1962.0900000000001</c:v>
                </c:pt>
                <c:pt idx="2094">
                  <c:v>4100</c:v>
                </c:pt>
                <c:pt idx="2095">
                  <c:v>3476.8</c:v>
                </c:pt>
                <c:pt idx="2096">
                  <c:v>3300</c:v>
                </c:pt>
                <c:pt idx="2097">
                  <c:v>2208.92</c:v>
                </c:pt>
                <c:pt idx="2098">
                  <c:v>1657.76</c:v>
                </c:pt>
                <c:pt idx="2099">
                  <c:v>2479.21</c:v>
                </c:pt>
                <c:pt idx="2100">
                  <c:v>3565.9199999999996</c:v>
                </c:pt>
                <c:pt idx="2101">
                  <c:v>2797.41</c:v>
                </c:pt>
                <c:pt idx="2102">
                  <c:v>3756</c:v>
                </c:pt>
                <c:pt idx="2103">
                  <c:v>2840</c:v>
                </c:pt>
                <c:pt idx="2104">
                  <c:v>1716.2600000000002</c:v>
                </c:pt>
                <c:pt idx="2105">
                  <c:v>3245.6</c:v>
                </c:pt>
                <c:pt idx="2106">
                  <c:v>2760.94</c:v>
                </c:pt>
                <c:pt idx="2107">
                  <c:v>1808.3999999999999</c:v>
                </c:pt>
                <c:pt idx="2108">
                  <c:v>1682.3700000000001</c:v>
                </c:pt>
                <c:pt idx="2109">
                  <c:v>1491</c:v>
                </c:pt>
                <c:pt idx="2110">
                  <c:v>1666.3500000000001</c:v>
                </c:pt>
                <c:pt idx="2111">
                  <c:v>3666.08</c:v>
                </c:pt>
                <c:pt idx="2112">
                  <c:v>2916.2</c:v>
                </c:pt>
                <c:pt idx="2113">
                  <c:v>2616.98</c:v>
                </c:pt>
                <c:pt idx="2114">
                  <c:v>3390.7999999999997</c:v>
                </c:pt>
                <c:pt idx="2115">
                  <c:v>3146.5</c:v>
                </c:pt>
                <c:pt idx="2116">
                  <c:v>1561.5</c:v>
                </c:pt>
                <c:pt idx="2117">
                  <c:v>4300</c:v>
                </c:pt>
                <c:pt idx="2118">
                  <c:v>3167</c:v>
                </c:pt>
                <c:pt idx="2119">
                  <c:v>3521.25</c:v>
                </c:pt>
                <c:pt idx="2120">
                  <c:v>4219.28</c:v>
                </c:pt>
                <c:pt idx="2121">
                  <c:v>3581.76</c:v>
                </c:pt>
                <c:pt idx="2122">
                  <c:v>2130.0099999999998</c:v>
                </c:pt>
                <c:pt idx="2123">
                  <c:v>2063.06</c:v>
                </c:pt>
                <c:pt idx="2124">
                  <c:v>2008.13</c:v>
                </c:pt>
                <c:pt idx="2125">
                  <c:v>2004.77</c:v>
                </c:pt>
                <c:pt idx="2126">
                  <c:v>1543.3</c:v>
                </c:pt>
                <c:pt idx="2127">
                  <c:v>2269.92</c:v>
                </c:pt>
                <c:pt idx="2128">
                  <c:v>1991.92</c:v>
                </c:pt>
                <c:pt idx="2129">
                  <c:v>2916.76</c:v>
                </c:pt>
                <c:pt idx="2130">
                  <c:v>2027.52</c:v>
                </c:pt>
                <c:pt idx="2131">
                  <c:v>3235.18</c:v>
                </c:pt>
                <c:pt idx="2132">
                  <c:v>2062.94</c:v>
                </c:pt>
                <c:pt idx="2133">
                  <c:v>3317.78</c:v>
                </c:pt>
                <c:pt idx="2134">
                  <c:v>3913.6899999999996</c:v>
                </c:pt>
                <c:pt idx="2135">
                  <c:v>3608.6400000000003</c:v>
                </c:pt>
                <c:pt idx="2136">
                  <c:v>3524.8</c:v>
                </c:pt>
                <c:pt idx="2137">
                  <c:v>2586.88</c:v>
                </c:pt>
                <c:pt idx="2138">
                  <c:v>4753.4900000000007</c:v>
                </c:pt>
                <c:pt idx="2139">
                  <c:v>3684.67</c:v>
                </c:pt>
                <c:pt idx="2140">
                  <c:v>4100</c:v>
                </c:pt>
                <c:pt idx="2141">
                  <c:v>3000</c:v>
                </c:pt>
                <c:pt idx="2142">
                  <c:v>2670.92</c:v>
                </c:pt>
                <c:pt idx="2143">
                  <c:v>4300</c:v>
                </c:pt>
                <c:pt idx="2144">
                  <c:v>4100</c:v>
                </c:pt>
                <c:pt idx="2145">
                  <c:v>2472.6</c:v>
                </c:pt>
                <c:pt idx="2146">
                  <c:v>3100</c:v>
                </c:pt>
                <c:pt idx="2147">
                  <c:v>3200</c:v>
                </c:pt>
                <c:pt idx="2148">
                  <c:v>4141.33</c:v>
                </c:pt>
                <c:pt idx="2149">
                  <c:v>2600</c:v>
                </c:pt>
                <c:pt idx="2150">
                  <c:v>2700</c:v>
                </c:pt>
                <c:pt idx="2151">
                  <c:v>2400</c:v>
                </c:pt>
                <c:pt idx="2152">
                  <c:v>2200</c:v>
                </c:pt>
                <c:pt idx="2153">
                  <c:v>4600</c:v>
                </c:pt>
                <c:pt idx="2154">
                  <c:v>3598.99</c:v>
                </c:pt>
                <c:pt idx="2155">
                  <c:v>3964.1000000000004</c:v>
                </c:pt>
                <c:pt idx="2156">
                  <c:v>2100</c:v>
                </c:pt>
                <c:pt idx="2157">
                  <c:v>2500</c:v>
                </c:pt>
                <c:pt idx="2158">
                  <c:v>3700</c:v>
                </c:pt>
                <c:pt idx="2159">
                  <c:v>3900.6000000000004</c:v>
                </c:pt>
                <c:pt idx="2160">
                  <c:v>2743.04</c:v>
                </c:pt>
                <c:pt idx="2161">
                  <c:v>2402.0700000000002</c:v>
                </c:pt>
                <c:pt idx="2162">
                  <c:v>2178.54</c:v>
                </c:pt>
                <c:pt idx="2163">
                  <c:v>2800</c:v>
                </c:pt>
                <c:pt idx="2164">
                  <c:v>2366.2800000000002</c:v>
                </c:pt>
                <c:pt idx="2165">
                  <c:v>1963.6000000000001</c:v>
                </c:pt>
                <c:pt idx="2166">
                  <c:v>4400</c:v>
                </c:pt>
                <c:pt idx="2167">
                  <c:v>4200</c:v>
                </c:pt>
                <c:pt idx="2168">
                  <c:v>4100</c:v>
                </c:pt>
                <c:pt idx="2169">
                  <c:v>2600</c:v>
                </c:pt>
                <c:pt idx="2170">
                  <c:v>2600</c:v>
                </c:pt>
                <c:pt idx="2171">
                  <c:v>2600</c:v>
                </c:pt>
                <c:pt idx="2172">
                  <c:v>3553.88</c:v>
                </c:pt>
                <c:pt idx="2173">
                  <c:v>1858</c:v>
                </c:pt>
                <c:pt idx="2174">
                  <c:v>2200</c:v>
                </c:pt>
                <c:pt idx="2175">
                  <c:v>2300</c:v>
                </c:pt>
                <c:pt idx="2176">
                  <c:v>3098.7000000000003</c:v>
                </c:pt>
                <c:pt idx="2177">
                  <c:v>2800</c:v>
                </c:pt>
                <c:pt idx="2178">
                  <c:v>4351.16</c:v>
                </c:pt>
                <c:pt idx="2179">
                  <c:v>3675.8599999999997</c:v>
                </c:pt>
                <c:pt idx="2180">
                  <c:v>2100</c:v>
                </c:pt>
                <c:pt idx="2181">
                  <c:v>4100</c:v>
                </c:pt>
                <c:pt idx="2182">
                  <c:v>3100</c:v>
                </c:pt>
                <c:pt idx="2183">
                  <c:v>2477.21</c:v>
                </c:pt>
                <c:pt idx="2184">
                  <c:v>1883.9299999999998</c:v>
                </c:pt>
                <c:pt idx="2185">
                  <c:v>3658.93</c:v>
                </c:pt>
                <c:pt idx="2186">
                  <c:v>2600</c:v>
                </c:pt>
                <c:pt idx="2187">
                  <c:v>1917.84</c:v>
                </c:pt>
                <c:pt idx="2188">
                  <c:v>4700</c:v>
                </c:pt>
                <c:pt idx="2189">
                  <c:v>2875.95</c:v>
                </c:pt>
                <c:pt idx="2190">
                  <c:v>5500</c:v>
                </c:pt>
                <c:pt idx="2191">
                  <c:v>3733.82</c:v>
                </c:pt>
                <c:pt idx="2192">
                  <c:v>5000</c:v>
                </c:pt>
                <c:pt idx="2193">
                  <c:v>3700</c:v>
                </c:pt>
                <c:pt idx="2194">
                  <c:v>4175.6000000000004</c:v>
                </c:pt>
                <c:pt idx="2195">
                  <c:v>4900</c:v>
                </c:pt>
                <c:pt idx="2196">
                  <c:v>4500</c:v>
                </c:pt>
                <c:pt idx="2197">
                  <c:v>1173.1500000000001</c:v>
                </c:pt>
                <c:pt idx="2198">
                  <c:v>1384.4599999999998</c:v>
                </c:pt>
                <c:pt idx="2199">
                  <c:v>1327.59</c:v>
                </c:pt>
                <c:pt idx="2200">
                  <c:v>1109.8</c:v>
                </c:pt>
                <c:pt idx="2201">
                  <c:v>1239</c:v>
                </c:pt>
                <c:pt idx="2202">
                  <c:v>1035.58</c:v>
                </c:pt>
                <c:pt idx="2203">
                  <c:v>1545.64</c:v>
                </c:pt>
                <c:pt idx="2204">
                  <c:v>1517.5400000000002</c:v>
                </c:pt>
                <c:pt idx="2205">
                  <c:v>1731.8400000000001</c:v>
                </c:pt>
                <c:pt idx="2206">
                  <c:v>1695.49</c:v>
                </c:pt>
                <c:pt idx="2207">
                  <c:v>1045.98</c:v>
                </c:pt>
                <c:pt idx="2208">
                  <c:v>1738.08</c:v>
                </c:pt>
                <c:pt idx="2209">
                  <c:v>651.80000000000007</c:v>
                </c:pt>
                <c:pt idx="2210">
                  <c:v>988.47</c:v>
                </c:pt>
                <c:pt idx="2211">
                  <c:v>1518.1100000000001</c:v>
                </c:pt>
                <c:pt idx="2212">
                  <c:v>1013.76</c:v>
                </c:pt>
                <c:pt idx="2213">
                  <c:v>1549.8</c:v>
                </c:pt>
                <c:pt idx="2214">
                  <c:v>1108.3799999999999</c:v>
                </c:pt>
                <c:pt idx="2215">
                  <c:v>2800</c:v>
                </c:pt>
                <c:pt idx="2216">
                  <c:v>2900</c:v>
                </c:pt>
                <c:pt idx="2217">
                  <c:v>1513.54</c:v>
                </c:pt>
                <c:pt idx="2218">
                  <c:v>2317.44</c:v>
                </c:pt>
                <c:pt idx="2219">
                  <c:v>3298.3999999999996</c:v>
                </c:pt>
                <c:pt idx="2220">
                  <c:v>1826.96</c:v>
                </c:pt>
                <c:pt idx="2221">
                  <c:v>1206.8999999999999</c:v>
                </c:pt>
                <c:pt idx="2222">
                  <c:v>1666.6999999999998</c:v>
                </c:pt>
                <c:pt idx="2223">
                  <c:v>1560.4399999999998</c:v>
                </c:pt>
                <c:pt idx="2224">
                  <c:v>2337.75</c:v>
                </c:pt>
                <c:pt idx="2225">
                  <c:v>1103.76</c:v>
                </c:pt>
                <c:pt idx="2226">
                  <c:v>2617.85</c:v>
                </c:pt>
                <c:pt idx="2227">
                  <c:v>2207.52</c:v>
                </c:pt>
                <c:pt idx="2228">
                  <c:v>3165.5</c:v>
                </c:pt>
                <c:pt idx="2229">
                  <c:v>2071.4100000000003</c:v>
                </c:pt>
                <c:pt idx="2230">
                  <c:v>1385.28</c:v>
                </c:pt>
                <c:pt idx="2231">
                  <c:v>1621.6200000000001</c:v>
                </c:pt>
                <c:pt idx="2232">
                  <c:v>1931.6499999999999</c:v>
                </c:pt>
                <c:pt idx="2233">
                  <c:v>1244.53</c:v>
                </c:pt>
                <c:pt idx="2234">
                  <c:v>1704.5</c:v>
                </c:pt>
                <c:pt idx="2235">
                  <c:v>1753.1999999999998</c:v>
                </c:pt>
                <c:pt idx="2236">
                  <c:v>1666.6999999999998</c:v>
                </c:pt>
                <c:pt idx="2237">
                  <c:v>1710.8899999999999</c:v>
                </c:pt>
                <c:pt idx="2238">
                  <c:v>2326.5</c:v>
                </c:pt>
                <c:pt idx="2239">
                  <c:v>2316</c:v>
                </c:pt>
                <c:pt idx="2240">
                  <c:v>1727.1000000000001</c:v>
                </c:pt>
                <c:pt idx="2241">
                  <c:v>3800</c:v>
                </c:pt>
                <c:pt idx="2242">
                  <c:v>2424</c:v>
                </c:pt>
                <c:pt idx="2243">
                  <c:v>1535.49</c:v>
                </c:pt>
                <c:pt idx="2244">
                  <c:v>3600</c:v>
                </c:pt>
                <c:pt idx="2245">
                  <c:v>1329.4</c:v>
                </c:pt>
                <c:pt idx="2246">
                  <c:v>1701.76</c:v>
                </c:pt>
                <c:pt idx="2247">
                  <c:v>2259.7200000000003</c:v>
                </c:pt>
                <c:pt idx="2248">
                  <c:v>925.30000000000007</c:v>
                </c:pt>
                <c:pt idx="2249">
                  <c:v>482.13</c:v>
                </c:pt>
                <c:pt idx="2250">
                  <c:v>3227.63</c:v>
                </c:pt>
                <c:pt idx="2251">
                  <c:v>1711.26</c:v>
                </c:pt>
                <c:pt idx="2252">
                  <c:v>2054.36</c:v>
                </c:pt>
                <c:pt idx="2253">
                  <c:v>3131.9399999999996</c:v>
                </c:pt>
                <c:pt idx="2254">
                  <c:v>1681.3500000000001</c:v>
                </c:pt>
                <c:pt idx="2255">
                  <c:v>2351.3599999999997</c:v>
                </c:pt>
                <c:pt idx="2256">
                  <c:v>1408</c:v>
                </c:pt>
                <c:pt idx="2257">
                  <c:v>2445.6000000000004</c:v>
                </c:pt>
                <c:pt idx="2258">
                  <c:v>1804.44</c:v>
                </c:pt>
                <c:pt idx="2259">
                  <c:v>2544.75</c:v>
                </c:pt>
                <c:pt idx="2260">
                  <c:v>1056.4000000000001</c:v>
                </c:pt>
                <c:pt idx="2261">
                  <c:v>2801.4</c:v>
                </c:pt>
                <c:pt idx="2262">
                  <c:v>1988.4</c:v>
                </c:pt>
                <c:pt idx="2263">
                  <c:v>2908.35</c:v>
                </c:pt>
                <c:pt idx="2264">
                  <c:v>2147.4</c:v>
                </c:pt>
                <c:pt idx="2265">
                  <c:v>2099.63</c:v>
                </c:pt>
                <c:pt idx="2266">
                  <c:v>2315.1799999999998</c:v>
                </c:pt>
                <c:pt idx="2267">
                  <c:v>2327.1499999999996</c:v>
                </c:pt>
                <c:pt idx="2268">
                  <c:v>2800</c:v>
                </c:pt>
                <c:pt idx="2269">
                  <c:v>2626.0099999999998</c:v>
                </c:pt>
                <c:pt idx="2270">
                  <c:v>2700</c:v>
                </c:pt>
                <c:pt idx="2271">
                  <c:v>2200</c:v>
                </c:pt>
                <c:pt idx="2272">
                  <c:v>2986.5</c:v>
                </c:pt>
                <c:pt idx="2273">
                  <c:v>1587.08</c:v>
                </c:pt>
                <c:pt idx="2274">
                  <c:v>1808.4</c:v>
                </c:pt>
                <c:pt idx="2275">
                  <c:v>1193.04</c:v>
                </c:pt>
                <c:pt idx="2276">
                  <c:v>3403.35</c:v>
                </c:pt>
                <c:pt idx="2277">
                  <c:v>1575.9599999999998</c:v>
                </c:pt>
                <c:pt idx="2278">
                  <c:v>1630.2</c:v>
                </c:pt>
                <c:pt idx="2279">
                  <c:v>1701.28</c:v>
                </c:pt>
                <c:pt idx="2280">
                  <c:v>2850.82</c:v>
                </c:pt>
                <c:pt idx="2281">
                  <c:v>2692.06</c:v>
                </c:pt>
                <c:pt idx="2282">
                  <c:v>2174.42</c:v>
                </c:pt>
                <c:pt idx="2283">
                  <c:v>3167.36</c:v>
                </c:pt>
                <c:pt idx="2284">
                  <c:v>2142.66</c:v>
                </c:pt>
                <c:pt idx="2285">
                  <c:v>2117.52</c:v>
                </c:pt>
                <c:pt idx="2286">
                  <c:v>2419.9499999999998</c:v>
                </c:pt>
                <c:pt idx="2287">
                  <c:v>2191.2000000000003</c:v>
                </c:pt>
                <c:pt idx="2288">
                  <c:v>3043.04</c:v>
                </c:pt>
                <c:pt idx="2289">
                  <c:v>1228.1999999999998</c:v>
                </c:pt>
                <c:pt idx="2290">
                  <c:v>1330.3500000000001</c:v>
                </c:pt>
                <c:pt idx="2291">
                  <c:v>2792.5199999999995</c:v>
                </c:pt>
                <c:pt idx="2292">
                  <c:v>2296</c:v>
                </c:pt>
                <c:pt idx="2293">
                  <c:v>2629.44</c:v>
                </c:pt>
                <c:pt idx="2294">
                  <c:v>1912.16</c:v>
                </c:pt>
                <c:pt idx="2295">
                  <c:v>4800</c:v>
                </c:pt>
                <c:pt idx="2296">
                  <c:v>2431.77</c:v>
                </c:pt>
                <c:pt idx="2297">
                  <c:v>3100</c:v>
                </c:pt>
                <c:pt idx="2298">
                  <c:v>3600</c:v>
                </c:pt>
                <c:pt idx="2299">
                  <c:v>2500</c:v>
                </c:pt>
                <c:pt idx="2300">
                  <c:v>4800</c:v>
                </c:pt>
                <c:pt idx="2301">
                  <c:v>1867.32</c:v>
                </c:pt>
                <c:pt idx="2302">
                  <c:v>2702.04</c:v>
                </c:pt>
                <c:pt idx="2303">
                  <c:v>2406.36</c:v>
                </c:pt>
                <c:pt idx="2304">
                  <c:v>2094.67</c:v>
                </c:pt>
                <c:pt idx="2305">
                  <c:v>2797.9</c:v>
                </c:pt>
                <c:pt idx="2306">
                  <c:v>1637.2</c:v>
                </c:pt>
                <c:pt idx="2307">
                  <c:v>2281.91</c:v>
                </c:pt>
                <c:pt idx="2308">
                  <c:v>2307.2399999999998</c:v>
                </c:pt>
                <c:pt idx="2309">
                  <c:v>1320.8000000000002</c:v>
                </c:pt>
                <c:pt idx="2310">
                  <c:v>2642.82</c:v>
                </c:pt>
                <c:pt idx="2311">
                  <c:v>3061</c:v>
                </c:pt>
                <c:pt idx="2312">
                  <c:v>3164.4</c:v>
                </c:pt>
                <c:pt idx="2313">
                  <c:v>1791.1599999999999</c:v>
                </c:pt>
                <c:pt idx="2314">
                  <c:v>4093</c:v>
                </c:pt>
                <c:pt idx="2315">
                  <c:v>2234.4</c:v>
                </c:pt>
                <c:pt idx="2316">
                  <c:v>3037.84</c:v>
                </c:pt>
                <c:pt idx="2317">
                  <c:v>1419.84</c:v>
                </c:pt>
                <c:pt idx="2318">
                  <c:v>1948.08</c:v>
                </c:pt>
                <c:pt idx="2319">
                  <c:v>2307.2399999999998</c:v>
                </c:pt>
                <c:pt idx="2320">
                  <c:v>1780.3999999999999</c:v>
                </c:pt>
                <c:pt idx="2321">
                  <c:v>3544.17</c:v>
                </c:pt>
                <c:pt idx="2322">
                  <c:v>3619.44</c:v>
                </c:pt>
                <c:pt idx="2323">
                  <c:v>3500</c:v>
                </c:pt>
                <c:pt idx="2324">
                  <c:v>1483.02</c:v>
                </c:pt>
                <c:pt idx="2325">
                  <c:v>4819.26</c:v>
                </c:pt>
                <c:pt idx="2326">
                  <c:v>1591.72</c:v>
                </c:pt>
                <c:pt idx="2327">
                  <c:v>3100</c:v>
                </c:pt>
                <c:pt idx="2328">
                  <c:v>2168.5</c:v>
                </c:pt>
                <c:pt idx="2329">
                  <c:v>2694</c:v>
                </c:pt>
                <c:pt idx="2330">
                  <c:v>2700</c:v>
                </c:pt>
                <c:pt idx="2331">
                  <c:v>2300</c:v>
                </c:pt>
                <c:pt idx="2332">
                  <c:v>3400</c:v>
                </c:pt>
                <c:pt idx="2333">
                  <c:v>2200</c:v>
                </c:pt>
                <c:pt idx="2334">
                  <c:v>3600.24</c:v>
                </c:pt>
                <c:pt idx="2335">
                  <c:v>3700</c:v>
                </c:pt>
                <c:pt idx="2336">
                  <c:v>3000</c:v>
                </c:pt>
                <c:pt idx="2337">
                  <c:v>2700</c:v>
                </c:pt>
                <c:pt idx="2338">
                  <c:v>2500</c:v>
                </c:pt>
                <c:pt idx="2339">
                  <c:v>3330.98</c:v>
                </c:pt>
                <c:pt idx="2340">
                  <c:v>3800</c:v>
                </c:pt>
                <c:pt idx="2341">
                  <c:v>2600</c:v>
                </c:pt>
                <c:pt idx="2342">
                  <c:v>3800</c:v>
                </c:pt>
                <c:pt idx="2343">
                  <c:v>4235</c:v>
                </c:pt>
                <c:pt idx="2344">
                  <c:v>2200</c:v>
                </c:pt>
                <c:pt idx="2345">
                  <c:v>3200</c:v>
                </c:pt>
                <c:pt idx="2346">
                  <c:v>2201.62</c:v>
                </c:pt>
                <c:pt idx="2347">
                  <c:v>4000</c:v>
                </c:pt>
                <c:pt idx="2348">
                  <c:v>2200</c:v>
                </c:pt>
                <c:pt idx="2349">
                  <c:v>4100</c:v>
                </c:pt>
                <c:pt idx="2350">
                  <c:v>2204.1</c:v>
                </c:pt>
                <c:pt idx="2351">
                  <c:v>4500</c:v>
                </c:pt>
                <c:pt idx="2352">
                  <c:v>1565.85</c:v>
                </c:pt>
                <c:pt idx="2353">
                  <c:v>2480.3799999999997</c:v>
                </c:pt>
                <c:pt idx="2354">
                  <c:v>1355.1299999999999</c:v>
                </c:pt>
                <c:pt idx="2355">
                  <c:v>1246.4399999999998</c:v>
                </c:pt>
                <c:pt idx="2356">
                  <c:v>820.40000000000009</c:v>
                </c:pt>
                <c:pt idx="2357">
                  <c:v>2492.64</c:v>
                </c:pt>
                <c:pt idx="2358">
                  <c:v>1113.5999999999999</c:v>
                </c:pt>
                <c:pt idx="2359">
                  <c:v>1763.8600000000001</c:v>
                </c:pt>
                <c:pt idx="2360">
                  <c:v>1896.6599999999999</c:v>
                </c:pt>
                <c:pt idx="2361">
                  <c:v>1449.3500000000001</c:v>
                </c:pt>
                <c:pt idx="2362">
                  <c:v>1869.48</c:v>
                </c:pt>
                <c:pt idx="2363">
                  <c:v>1860.53</c:v>
                </c:pt>
                <c:pt idx="2364">
                  <c:v>1724.82</c:v>
                </c:pt>
                <c:pt idx="2365">
                  <c:v>1713.69</c:v>
                </c:pt>
                <c:pt idx="2366">
                  <c:v>1259.44</c:v>
                </c:pt>
                <c:pt idx="2367">
                  <c:v>2051.08</c:v>
                </c:pt>
                <c:pt idx="2368">
                  <c:v>1617.38</c:v>
                </c:pt>
                <c:pt idx="2369">
                  <c:v>1765.62</c:v>
                </c:pt>
                <c:pt idx="2370">
                  <c:v>2024.8</c:v>
                </c:pt>
                <c:pt idx="2371">
                  <c:v>3288.3999999999996</c:v>
                </c:pt>
                <c:pt idx="2372">
                  <c:v>2725.4700000000003</c:v>
                </c:pt>
                <c:pt idx="2373">
                  <c:v>3224.2</c:v>
                </c:pt>
                <c:pt idx="2374">
                  <c:v>2700</c:v>
                </c:pt>
                <c:pt idx="2375">
                  <c:v>1796.34</c:v>
                </c:pt>
                <c:pt idx="2376">
                  <c:v>1979.6000000000001</c:v>
                </c:pt>
                <c:pt idx="2377">
                  <c:v>1921.41</c:v>
                </c:pt>
                <c:pt idx="2378">
                  <c:v>3300</c:v>
                </c:pt>
                <c:pt idx="2379">
                  <c:v>2700</c:v>
                </c:pt>
                <c:pt idx="2380">
                  <c:v>4600</c:v>
                </c:pt>
                <c:pt idx="2381">
                  <c:v>4400</c:v>
                </c:pt>
                <c:pt idx="2382">
                  <c:v>2600</c:v>
                </c:pt>
                <c:pt idx="2383">
                  <c:v>4556.16</c:v>
                </c:pt>
                <c:pt idx="2384">
                  <c:v>2300</c:v>
                </c:pt>
                <c:pt idx="2385">
                  <c:v>4500</c:v>
                </c:pt>
                <c:pt idx="2386">
                  <c:v>4900</c:v>
                </c:pt>
                <c:pt idx="2387">
                  <c:v>2657.76</c:v>
                </c:pt>
                <c:pt idx="2388">
                  <c:v>3700</c:v>
                </c:pt>
                <c:pt idx="2389">
                  <c:v>3400</c:v>
                </c:pt>
                <c:pt idx="2390">
                  <c:v>2200</c:v>
                </c:pt>
                <c:pt idx="2391">
                  <c:v>2900</c:v>
                </c:pt>
                <c:pt idx="2392">
                  <c:v>3345.26</c:v>
                </c:pt>
                <c:pt idx="2393">
                  <c:v>3800</c:v>
                </c:pt>
                <c:pt idx="2394">
                  <c:v>4100</c:v>
                </c:pt>
                <c:pt idx="2395">
                  <c:v>4200</c:v>
                </c:pt>
                <c:pt idx="2396">
                  <c:v>2800</c:v>
                </c:pt>
                <c:pt idx="2397">
                  <c:v>3800</c:v>
                </c:pt>
                <c:pt idx="2398">
                  <c:v>2300</c:v>
                </c:pt>
                <c:pt idx="2399">
                  <c:v>2213.4</c:v>
                </c:pt>
                <c:pt idx="2400">
                  <c:v>4600</c:v>
                </c:pt>
                <c:pt idx="2401">
                  <c:v>2714.3999999999996</c:v>
                </c:pt>
                <c:pt idx="2402">
                  <c:v>2900</c:v>
                </c:pt>
                <c:pt idx="2403">
                  <c:v>4600</c:v>
                </c:pt>
                <c:pt idx="2404">
                  <c:v>2600</c:v>
                </c:pt>
                <c:pt idx="2405">
                  <c:v>1800</c:v>
                </c:pt>
                <c:pt idx="2406">
                  <c:v>1705.92</c:v>
                </c:pt>
                <c:pt idx="2407">
                  <c:v>1033.4100000000001</c:v>
                </c:pt>
                <c:pt idx="2408">
                  <c:v>3179.5200000000004</c:v>
                </c:pt>
                <c:pt idx="2409">
                  <c:v>2091.1799999999998</c:v>
                </c:pt>
                <c:pt idx="2410">
                  <c:v>1779.7099999999998</c:v>
                </c:pt>
                <c:pt idx="2411">
                  <c:v>2537.64</c:v>
                </c:pt>
                <c:pt idx="2412">
                  <c:v>2448.7199999999998</c:v>
                </c:pt>
                <c:pt idx="2413">
                  <c:v>972.4</c:v>
                </c:pt>
                <c:pt idx="2414">
                  <c:v>2856.1400000000003</c:v>
                </c:pt>
                <c:pt idx="2415">
                  <c:v>1968.3</c:v>
                </c:pt>
                <c:pt idx="2416">
                  <c:v>2056.2000000000003</c:v>
                </c:pt>
                <c:pt idx="2417">
                  <c:v>2242.02</c:v>
                </c:pt>
                <c:pt idx="2418">
                  <c:v>3128.65</c:v>
                </c:pt>
                <c:pt idx="2419">
                  <c:v>2443.2600000000002</c:v>
                </c:pt>
                <c:pt idx="2420">
                  <c:v>2470.86</c:v>
                </c:pt>
                <c:pt idx="2421">
                  <c:v>1927.45</c:v>
                </c:pt>
                <c:pt idx="2422">
                  <c:v>2051.56</c:v>
                </c:pt>
                <c:pt idx="2423">
                  <c:v>2337.38</c:v>
                </c:pt>
                <c:pt idx="2424">
                  <c:v>4400</c:v>
                </c:pt>
                <c:pt idx="2425">
                  <c:v>2100</c:v>
                </c:pt>
                <c:pt idx="2426">
                  <c:v>4400</c:v>
                </c:pt>
                <c:pt idx="2427">
                  <c:v>1623.2500000000002</c:v>
                </c:pt>
                <c:pt idx="2428">
                  <c:v>1405.92</c:v>
                </c:pt>
                <c:pt idx="2429">
                  <c:v>2282.2800000000002</c:v>
                </c:pt>
                <c:pt idx="2430">
                  <c:v>4500</c:v>
                </c:pt>
                <c:pt idx="2431">
                  <c:v>3256.35</c:v>
                </c:pt>
                <c:pt idx="2432">
                  <c:v>2821.66</c:v>
                </c:pt>
                <c:pt idx="2433">
                  <c:v>3293.3999999999996</c:v>
                </c:pt>
                <c:pt idx="2434">
                  <c:v>4224</c:v>
                </c:pt>
                <c:pt idx="2435">
                  <c:v>3091.68</c:v>
                </c:pt>
                <c:pt idx="2436">
                  <c:v>2219.6</c:v>
                </c:pt>
                <c:pt idx="2437">
                  <c:v>3866.3999999999996</c:v>
                </c:pt>
                <c:pt idx="2438">
                  <c:v>1964.76</c:v>
                </c:pt>
                <c:pt idx="2439">
                  <c:v>2668.8</c:v>
                </c:pt>
                <c:pt idx="2440">
                  <c:v>3222</c:v>
                </c:pt>
                <c:pt idx="2441">
                  <c:v>3864.5000000000005</c:v>
                </c:pt>
                <c:pt idx="2442">
                  <c:v>1366.8000000000002</c:v>
                </c:pt>
                <c:pt idx="2443">
                  <c:v>3475.68</c:v>
                </c:pt>
                <c:pt idx="2444">
                  <c:v>4206.5</c:v>
                </c:pt>
                <c:pt idx="2445">
                  <c:v>1486.38</c:v>
                </c:pt>
                <c:pt idx="2446">
                  <c:v>3077.88</c:v>
                </c:pt>
                <c:pt idx="2447">
                  <c:v>3544.2</c:v>
                </c:pt>
                <c:pt idx="2448">
                  <c:v>2483.04</c:v>
                </c:pt>
                <c:pt idx="2449">
                  <c:v>3478.05</c:v>
                </c:pt>
                <c:pt idx="2450">
                  <c:v>2000</c:v>
                </c:pt>
                <c:pt idx="2451">
                  <c:v>3800</c:v>
                </c:pt>
                <c:pt idx="2452">
                  <c:v>2600</c:v>
                </c:pt>
                <c:pt idx="2453">
                  <c:v>4400</c:v>
                </c:pt>
                <c:pt idx="2454">
                  <c:v>4900</c:v>
                </c:pt>
                <c:pt idx="2455">
                  <c:v>2200</c:v>
                </c:pt>
                <c:pt idx="2456">
                  <c:v>2118.54</c:v>
                </c:pt>
                <c:pt idx="2457">
                  <c:v>2897.4700000000003</c:v>
                </c:pt>
                <c:pt idx="2458">
                  <c:v>1916.75</c:v>
                </c:pt>
                <c:pt idx="2459">
                  <c:v>1860</c:v>
                </c:pt>
                <c:pt idx="2460">
                  <c:v>2624</c:v>
                </c:pt>
                <c:pt idx="2461">
                  <c:v>2780.81</c:v>
                </c:pt>
                <c:pt idx="2462">
                  <c:v>3239.6200000000003</c:v>
                </c:pt>
                <c:pt idx="2463">
                  <c:v>1824</c:v>
                </c:pt>
                <c:pt idx="2464">
                  <c:v>1134</c:v>
                </c:pt>
                <c:pt idx="2465">
                  <c:v>1487.41</c:v>
                </c:pt>
                <c:pt idx="2466">
                  <c:v>2837.46</c:v>
                </c:pt>
                <c:pt idx="2467">
                  <c:v>1942.77</c:v>
                </c:pt>
                <c:pt idx="2468">
                  <c:v>2544.12</c:v>
                </c:pt>
                <c:pt idx="2469">
                  <c:v>2568.2400000000002</c:v>
                </c:pt>
                <c:pt idx="2470">
                  <c:v>2108</c:v>
                </c:pt>
                <c:pt idx="2471">
                  <c:v>1372.14</c:v>
                </c:pt>
                <c:pt idx="2472">
                  <c:v>3540.15</c:v>
                </c:pt>
                <c:pt idx="2473">
                  <c:v>1958.8400000000001</c:v>
                </c:pt>
                <c:pt idx="2474">
                  <c:v>2700</c:v>
                </c:pt>
                <c:pt idx="2475">
                  <c:v>2542</c:v>
                </c:pt>
                <c:pt idx="2476">
                  <c:v>2340</c:v>
                </c:pt>
                <c:pt idx="2477">
                  <c:v>2200</c:v>
                </c:pt>
                <c:pt idx="2478">
                  <c:v>3526.82</c:v>
                </c:pt>
                <c:pt idx="2479">
                  <c:v>4400</c:v>
                </c:pt>
                <c:pt idx="2480">
                  <c:v>1933.5</c:v>
                </c:pt>
                <c:pt idx="2481">
                  <c:v>2600.13</c:v>
                </c:pt>
                <c:pt idx="2482">
                  <c:v>2639.58</c:v>
                </c:pt>
                <c:pt idx="2483">
                  <c:v>3100</c:v>
                </c:pt>
                <c:pt idx="2484">
                  <c:v>3863.87</c:v>
                </c:pt>
                <c:pt idx="2485">
                  <c:v>1863.3600000000001</c:v>
                </c:pt>
                <c:pt idx="2486">
                  <c:v>3600</c:v>
                </c:pt>
                <c:pt idx="2487">
                  <c:v>4800</c:v>
                </c:pt>
                <c:pt idx="2488">
                  <c:v>2762.2000000000003</c:v>
                </c:pt>
                <c:pt idx="2489">
                  <c:v>3989.76</c:v>
                </c:pt>
                <c:pt idx="2490">
                  <c:v>1649.55</c:v>
                </c:pt>
                <c:pt idx="2491">
                  <c:v>2500</c:v>
                </c:pt>
                <c:pt idx="2492">
                  <c:v>2500</c:v>
                </c:pt>
                <c:pt idx="2493">
                  <c:v>2831.54</c:v>
                </c:pt>
                <c:pt idx="2494">
                  <c:v>3361.2</c:v>
                </c:pt>
                <c:pt idx="2495">
                  <c:v>2864.32</c:v>
                </c:pt>
                <c:pt idx="2496">
                  <c:v>1994.88</c:v>
                </c:pt>
                <c:pt idx="2497">
                  <c:v>4200</c:v>
                </c:pt>
                <c:pt idx="2498">
                  <c:v>2100</c:v>
                </c:pt>
                <c:pt idx="2499">
                  <c:v>2795.14</c:v>
                </c:pt>
                <c:pt idx="2500">
                  <c:v>2700</c:v>
                </c:pt>
                <c:pt idx="2501">
                  <c:v>2658</c:v>
                </c:pt>
                <c:pt idx="2502">
                  <c:v>3900</c:v>
                </c:pt>
                <c:pt idx="2503">
                  <c:v>1210.8</c:v>
                </c:pt>
                <c:pt idx="2504">
                  <c:v>3029.19</c:v>
                </c:pt>
                <c:pt idx="2505">
                  <c:v>4600</c:v>
                </c:pt>
                <c:pt idx="2506">
                  <c:v>4121.43</c:v>
                </c:pt>
                <c:pt idx="2507">
                  <c:v>1100</c:v>
                </c:pt>
                <c:pt idx="2508">
                  <c:v>2100.8200000000002</c:v>
                </c:pt>
                <c:pt idx="2509">
                  <c:v>2034.3500000000001</c:v>
                </c:pt>
                <c:pt idx="2510">
                  <c:v>3027.84</c:v>
                </c:pt>
                <c:pt idx="2511">
                  <c:v>3104</c:v>
                </c:pt>
                <c:pt idx="2512">
                  <c:v>3612.4300000000003</c:v>
                </c:pt>
                <c:pt idx="2513">
                  <c:v>2711.88</c:v>
                </c:pt>
                <c:pt idx="2514">
                  <c:v>2900</c:v>
                </c:pt>
                <c:pt idx="2515">
                  <c:v>2738.54</c:v>
                </c:pt>
                <c:pt idx="2516">
                  <c:v>2832</c:v>
                </c:pt>
                <c:pt idx="2517">
                  <c:v>4720</c:v>
                </c:pt>
                <c:pt idx="2518">
                  <c:v>3222</c:v>
                </c:pt>
                <c:pt idx="2519">
                  <c:v>2231</c:v>
                </c:pt>
                <c:pt idx="2520">
                  <c:v>2296.84</c:v>
                </c:pt>
                <c:pt idx="2521">
                  <c:v>4000</c:v>
                </c:pt>
                <c:pt idx="2522">
                  <c:v>2100</c:v>
                </c:pt>
                <c:pt idx="2523">
                  <c:v>3724.23</c:v>
                </c:pt>
                <c:pt idx="2524">
                  <c:v>2084.81</c:v>
                </c:pt>
                <c:pt idx="2525">
                  <c:v>3488.78</c:v>
                </c:pt>
                <c:pt idx="2526">
                  <c:v>1753.06</c:v>
                </c:pt>
                <c:pt idx="2527">
                  <c:v>2000</c:v>
                </c:pt>
                <c:pt idx="2528">
                  <c:v>2530.7999999999997</c:v>
                </c:pt>
                <c:pt idx="2529">
                  <c:v>2800</c:v>
                </c:pt>
                <c:pt idx="2530">
                  <c:v>4400</c:v>
                </c:pt>
                <c:pt idx="2531">
                  <c:v>4900</c:v>
                </c:pt>
                <c:pt idx="2532">
                  <c:v>2577.6</c:v>
                </c:pt>
                <c:pt idx="2533">
                  <c:v>3400</c:v>
                </c:pt>
                <c:pt idx="2534">
                  <c:v>3000</c:v>
                </c:pt>
                <c:pt idx="2535">
                  <c:v>2730.06</c:v>
                </c:pt>
                <c:pt idx="2536">
                  <c:v>1891.78</c:v>
                </c:pt>
                <c:pt idx="2537">
                  <c:v>2600</c:v>
                </c:pt>
                <c:pt idx="2538">
                  <c:v>2925.76</c:v>
                </c:pt>
                <c:pt idx="2539">
                  <c:v>2900</c:v>
                </c:pt>
                <c:pt idx="2540">
                  <c:v>3293.24</c:v>
                </c:pt>
                <c:pt idx="2541">
                  <c:v>2389.6799999999998</c:v>
                </c:pt>
                <c:pt idx="2542">
                  <c:v>2172.48</c:v>
                </c:pt>
                <c:pt idx="2543">
                  <c:v>2927.43</c:v>
                </c:pt>
                <c:pt idx="2544">
                  <c:v>2600</c:v>
                </c:pt>
                <c:pt idx="2545">
                  <c:v>3838</c:v>
                </c:pt>
                <c:pt idx="2546">
                  <c:v>4142.16</c:v>
                </c:pt>
                <c:pt idx="2547">
                  <c:v>2172.48</c:v>
                </c:pt>
                <c:pt idx="2548">
                  <c:v>1882.8</c:v>
                </c:pt>
                <c:pt idx="2549">
                  <c:v>3400</c:v>
                </c:pt>
                <c:pt idx="2550">
                  <c:v>3323.84</c:v>
                </c:pt>
                <c:pt idx="2551">
                  <c:v>4195.8</c:v>
                </c:pt>
                <c:pt idx="2552">
                  <c:v>4100</c:v>
                </c:pt>
                <c:pt idx="2553">
                  <c:v>3918.75</c:v>
                </c:pt>
                <c:pt idx="2554">
                  <c:v>2300</c:v>
                </c:pt>
                <c:pt idx="2555">
                  <c:v>1089.3600000000001</c:v>
                </c:pt>
                <c:pt idx="2556">
                  <c:v>2701.12</c:v>
                </c:pt>
                <c:pt idx="2557">
                  <c:v>2487.04</c:v>
                </c:pt>
                <c:pt idx="2558">
                  <c:v>3600</c:v>
                </c:pt>
                <c:pt idx="2559">
                  <c:v>4038.7999999999997</c:v>
                </c:pt>
                <c:pt idx="2560">
                  <c:v>3070.4</c:v>
                </c:pt>
                <c:pt idx="2561">
                  <c:v>3400</c:v>
                </c:pt>
                <c:pt idx="2562">
                  <c:v>2400</c:v>
                </c:pt>
                <c:pt idx="2563">
                  <c:v>4000</c:v>
                </c:pt>
                <c:pt idx="2564">
                  <c:v>2152.02</c:v>
                </c:pt>
                <c:pt idx="2565">
                  <c:v>2000</c:v>
                </c:pt>
                <c:pt idx="2566">
                  <c:v>3100</c:v>
                </c:pt>
                <c:pt idx="2567">
                  <c:v>1930.5</c:v>
                </c:pt>
                <c:pt idx="2568">
                  <c:v>4200</c:v>
                </c:pt>
                <c:pt idx="2569">
                  <c:v>2592.7199999999998</c:v>
                </c:pt>
                <c:pt idx="2570">
                  <c:v>3246.75</c:v>
                </c:pt>
                <c:pt idx="2571">
                  <c:v>3372.5</c:v>
                </c:pt>
                <c:pt idx="2572">
                  <c:v>3500</c:v>
                </c:pt>
                <c:pt idx="2573">
                  <c:v>2994.75</c:v>
                </c:pt>
                <c:pt idx="2574">
                  <c:v>3900</c:v>
                </c:pt>
                <c:pt idx="2575">
                  <c:v>4500</c:v>
                </c:pt>
                <c:pt idx="2576">
                  <c:v>2400</c:v>
                </c:pt>
                <c:pt idx="2577">
                  <c:v>3106.25</c:v>
                </c:pt>
                <c:pt idx="2578">
                  <c:v>2300</c:v>
                </c:pt>
                <c:pt idx="2579">
                  <c:v>3700</c:v>
                </c:pt>
                <c:pt idx="2580">
                  <c:v>4826.25</c:v>
                </c:pt>
                <c:pt idx="2581">
                  <c:v>4900</c:v>
                </c:pt>
                <c:pt idx="2582">
                  <c:v>2600</c:v>
                </c:pt>
                <c:pt idx="2583">
                  <c:v>3300</c:v>
                </c:pt>
                <c:pt idx="2584">
                  <c:v>3102.08</c:v>
                </c:pt>
                <c:pt idx="2585">
                  <c:v>1908.72</c:v>
                </c:pt>
                <c:pt idx="2586">
                  <c:v>7543.75</c:v>
                </c:pt>
                <c:pt idx="2587">
                  <c:v>2200</c:v>
                </c:pt>
                <c:pt idx="2588">
                  <c:v>2038.87</c:v>
                </c:pt>
                <c:pt idx="2589">
                  <c:v>2499.2599999999998</c:v>
                </c:pt>
                <c:pt idx="2590">
                  <c:v>3838.05</c:v>
                </c:pt>
                <c:pt idx="2591">
                  <c:v>2643.9900000000002</c:v>
                </c:pt>
                <c:pt idx="2592">
                  <c:v>2315.88</c:v>
                </c:pt>
                <c:pt idx="2593">
                  <c:v>3225.06</c:v>
                </c:pt>
                <c:pt idx="2594">
                  <c:v>2451.84</c:v>
                </c:pt>
                <c:pt idx="2595">
                  <c:v>2254.98</c:v>
                </c:pt>
                <c:pt idx="2596">
                  <c:v>3939.5000000000005</c:v>
                </c:pt>
                <c:pt idx="2597">
                  <c:v>3424.7000000000003</c:v>
                </c:pt>
                <c:pt idx="2598">
                  <c:v>2914.2000000000003</c:v>
                </c:pt>
                <c:pt idx="2599">
                  <c:v>2389.6000000000004</c:v>
                </c:pt>
                <c:pt idx="2600">
                  <c:v>2428.48</c:v>
                </c:pt>
                <c:pt idx="2601">
                  <c:v>3021.48</c:v>
                </c:pt>
                <c:pt idx="2602">
                  <c:v>2610.7199999999998</c:v>
                </c:pt>
                <c:pt idx="2603">
                  <c:v>3091.1899999999996</c:v>
                </c:pt>
                <c:pt idx="2604">
                  <c:v>2576.1999999999998</c:v>
                </c:pt>
                <c:pt idx="2605">
                  <c:v>3232.31</c:v>
                </c:pt>
                <c:pt idx="2606">
                  <c:v>3573.6000000000004</c:v>
                </c:pt>
                <c:pt idx="2607">
                  <c:v>2022.51</c:v>
                </c:pt>
                <c:pt idx="2608">
                  <c:v>3717.4999999999995</c:v>
                </c:pt>
                <c:pt idx="2609">
                  <c:v>2185.1499999999996</c:v>
                </c:pt>
                <c:pt idx="2610">
                  <c:v>2883.5299999999997</c:v>
                </c:pt>
                <c:pt idx="2611">
                  <c:v>3700</c:v>
                </c:pt>
                <c:pt idx="2612">
                  <c:v>1463</c:v>
                </c:pt>
                <c:pt idx="2613">
                  <c:v>2352.59</c:v>
                </c:pt>
                <c:pt idx="2614">
                  <c:v>4200</c:v>
                </c:pt>
                <c:pt idx="2615">
                  <c:v>4200</c:v>
                </c:pt>
                <c:pt idx="2616">
                  <c:v>4500</c:v>
                </c:pt>
                <c:pt idx="2617">
                  <c:v>3600</c:v>
                </c:pt>
                <c:pt idx="2618">
                  <c:v>2000</c:v>
                </c:pt>
                <c:pt idx="2619">
                  <c:v>3195.2700000000004</c:v>
                </c:pt>
                <c:pt idx="2620">
                  <c:v>3611.1600000000003</c:v>
                </c:pt>
                <c:pt idx="2621">
                  <c:v>2000.77</c:v>
                </c:pt>
                <c:pt idx="2622">
                  <c:v>2314.2600000000002</c:v>
                </c:pt>
                <c:pt idx="2623">
                  <c:v>3300</c:v>
                </c:pt>
                <c:pt idx="2624">
                  <c:v>2728</c:v>
                </c:pt>
                <c:pt idx="2625">
                  <c:v>5000</c:v>
                </c:pt>
                <c:pt idx="2626">
                  <c:v>4400</c:v>
                </c:pt>
                <c:pt idx="2627">
                  <c:v>3641.4</c:v>
                </c:pt>
                <c:pt idx="2628">
                  <c:v>4048</c:v>
                </c:pt>
                <c:pt idx="2629">
                  <c:v>2321.46</c:v>
                </c:pt>
                <c:pt idx="2630">
                  <c:v>2800</c:v>
                </c:pt>
                <c:pt idx="2631">
                  <c:v>4000</c:v>
                </c:pt>
                <c:pt idx="2632">
                  <c:v>2973.8999999999996</c:v>
                </c:pt>
                <c:pt idx="2633">
                  <c:v>3400</c:v>
                </c:pt>
                <c:pt idx="2634">
                  <c:v>4600</c:v>
                </c:pt>
                <c:pt idx="2635">
                  <c:v>2650.56</c:v>
                </c:pt>
                <c:pt idx="2636">
                  <c:v>2700</c:v>
                </c:pt>
                <c:pt idx="2637">
                  <c:v>3400</c:v>
                </c:pt>
                <c:pt idx="2638">
                  <c:v>1864.5600000000002</c:v>
                </c:pt>
                <c:pt idx="2639">
                  <c:v>3400</c:v>
                </c:pt>
                <c:pt idx="2640">
                  <c:v>3722.32</c:v>
                </c:pt>
                <c:pt idx="2641">
                  <c:v>3200</c:v>
                </c:pt>
                <c:pt idx="2642">
                  <c:v>2400</c:v>
                </c:pt>
                <c:pt idx="2643">
                  <c:v>2691.09</c:v>
                </c:pt>
                <c:pt idx="2644">
                  <c:v>2000</c:v>
                </c:pt>
                <c:pt idx="2645">
                  <c:v>3600</c:v>
                </c:pt>
                <c:pt idx="2646">
                  <c:v>2900</c:v>
                </c:pt>
                <c:pt idx="2647">
                  <c:v>2500</c:v>
                </c:pt>
                <c:pt idx="2648">
                  <c:v>2900</c:v>
                </c:pt>
                <c:pt idx="2649">
                  <c:v>2402.75</c:v>
                </c:pt>
                <c:pt idx="2650">
                  <c:v>4400</c:v>
                </c:pt>
                <c:pt idx="2651">
                  <c:v>4700</c:v>
                </c:pt>
                <c:pt idx="2652">
                  <c:v>4800</c:v>
                </c:pt>
                <c:pt idx="2653">
                  <c:v>4500</c:v>
                </c:pt>
                <c:pt idx="2654">
                  <c:v>3500</c:v>
                </c:pt>
                <c:pt idx="2655">
                  <c:v>3100</c:v>
                </c:pt>
                <c:pt idx="2656">
                  <c:v>5000</c:v>
                </c:pt>
                <c:pt idx="2657">
                  <c:v>3300</c:v>
                </c:pt>
                <c:pt idx="2658">
                  <c:v>2900</c:v>
                </c:pt>
                <c:pt idx="2659">
                  <c:v>3302.3999999999996</c:v>
                </c:pt>
                <c:pt idx="2660">
                  <c:v>3186.48</c:v>
                </c:pt>
                <c:pt idx="2661">
                  <c:v>1668.25</c:v>
                </c:pt>
                <c:pt idx="2662">
                  <c:v>5000</c:v>
                </c:pt>
                <c:pt idx="2663">
                  <c:v>2300</c:v>
                </c:pt>
                <c:pt idx="2664">
                  <c:v>2018.31</c:v>
                </c:pt>
                <c:pt idx="2665">
                  <c:v>4100</c:v>
                </c:pt>
                <c:pt idx="2666">
                  <c:v>3273.6000000000004</c:v>
                </c:pt>
                <c:pt idx="2667">
                  <c:v>3268</c:v>
                </c:pt>
                <c:pt idx="2668">
                  <c:v>2688</c:v>
                </c:pt>
                <c:pt idx="2669">
                  <c:v>3715.2000000000003</c:v>
                </c:pt>
                <c:pt idx="2670">
                  <c:v>4608</c:v>
                </c:pt>
                <c:pt idx="2671">
                  <c:v>3131.2000000000003</c:v>
                </c:pt>
                <c:pt idx="2672">
                  <c:v>2678.4</c:v>
                </c:pt>
                <c:pt idx="2673">
                  <c:v>1747.2</c:v>
                </c:pt>
                <c:pt idx="2674">
                  <c:v>2944</c:v>
                </c:pt>
                <c:pt idx="2675">
                  <c:v>2956.8</c:v>
                </c:pt>
                <c:pt idx="2676">
                  <c:v>2052</c:v>
                </c:pt>
                <c:pt idx="2677">
                  <c:v>3164.7999999999997</c:v>
                </c:pt>
                <c:pt idx="2678">
                  <c:v>1739.9999999999998</c:v>
                </c:pt>
                <c:pt idx="2679">
                  <c:v>1777.6</c:v>
                </c:pt>
                <c:pt idx="2680">
                  <c:v>1831.2</c:v>
                </c:pt>
                <c:pt idx="2681">
                  <c:v>3609.6000000000004</c:v>
                </c:pt>
                <c:pt idx="2682">
                  <c:v>2112</c:v>
                </c:pt>
                <c:pt idx="2683">
                  <c:v>3400</c:v>
                </c:pt>
                <c:pt idx="2684">
                  <c:v>3523.85</c:v>
                </c:pt>
                <c:pt idx="2685">
                  <c:v>4400</c:v>
                </c:pt>
                <c:pt idx="2686">
                  <c:v>4400</c:v>
                </c:pt>
                <c:pt idx="2687">
                  <c:v>3018.88</c:v>
                </c:pt>
                <c:pt idx="2688">
                  <c:v>1902.3999999999999</c:v>
                </c:pt>
                <c:pt idx="2689">
                  <c:v>7084</c:v>
                </c:pt>
                <c:pt idx="2690">
                  <c:v>2620.8000000000002</c:v>
                </c:pt>
                <c:pt idx="2691">
                  <c:v>3164.46</c:v>
                </c:pt>
                <c:pt idx="2692">
                  <c:v>3600</c:v>
                </c:pt>
                <c:pt idx="2693">
                  <c:v>3828.3</c:v>
                </c:pt>
                <c:pt idx="2694">
                  <c:v>2100</c:v>
                </c:pt>
                <c:pt idx="2695">
                  <c:v>4407.5</c:v>
                </c:pt>
                <c:pt idx="2696">
                  <c:v>2400</c:v>
                </c:pt>
                <c:pt idx="2697">
                  <c:v>4055.04</c:v>
                </c:pt>
                <c:pt idx="2698">
                  <c:v>3700</c:v>
                </c:pt>
                <c:pt idx="2699">
                  <c:v>2488.3199999999997</c:v>
                </c:pt>
                <c:pt idx="2700">
                  <c:v>3700</c:v>
                </c:pt>
                <c:pt idx="2701">
                  <c:v>3800</c:v>
                </c:pt>
                <c:pt idx="2702">
                  <c:v>4615.68</c:v>
                </c:pt>
                <c:pt idx="2703">
                  <c:v>3000</c:v>
                </c:pt>
                <c:pt idx="2704">
                  <c:v>2203.75</c:v>
                </c:pt>
                <c:pt idx="2705">
                  <c:v>3446</c:v>
                </c:pt>
                <c:pt idx="2706">
                  <c:v>1939.3000000000002</c:v>
                </c:pt>
                <c:pt idx="2707">
                  <c:v>3400</c:v>
                </c:pt>
                <c:pt idx="2708">
                  <c:v>2884.8</c:v>
                </c:pt>
                <c:pt idx="2709">
                  <c:v>2670.65</c:v>
                </c:pt>
                <c:pt idx="2710">
                  <c:v>3440</c:v>
                </c:pt>
                <c:pt idx="2711">
                  <c:v>2770.7799999999997</c:v>
                </c:pt>
                <c:pt idx="2712">
                  <c:v>2397.54</c:v>
                </c:pt>
                <c:pt idx="2713">
                  <c:v>3275.56</c:v>
                </c:pt>
                <c:pt idx="2714">
                  <c:v>4143.6000000000004</c:v>
                </c:pt>
                <c:pt idx="2715">
                  <c:v>4800</c:v>
                </c:pt>
                <c:pt idx="2716">
                  <c:v>2800</c:v>
                </c:pt>
                <c:pt idx="2717">
                  <c:v>2200</c:v>
                </c:pt>
                <c:pt idx="2718">
                  <c:v>3753.9</c:v>
                </c:pt>
                <c:pt idx="2719">
                  <c:v>2562.2999999999997</c:v>
                </c:pt>
                <c:pt idx="2720">
                  <c:v>3245.58</c:v>
                </c:pt>
                <c:pt idx="2721">
                  <c:v>2000</c:v>
                </c:pt>
                <c:pt idx="2722">
                  <c:v>2800</c:v>
                </c:pt>
                <c:pt idx="2723">
                  <c:v>2400</c:v>
                </c:pt>
                <c:pt idx="2724">
                  <c:v>1747.9</c:v>
                </c:pt>
                <c:pt idx="2725">
                  <c:v>3267.25</c:v>
                </c:pt>
                <c:pt idx="2726">
                  <c:v>2818.5299999999997</c:v>
                </c:pt>
                <c:pt idx="2727">
                  <c:v>2955.54</c:v>
                </c:pt>
                <c:pt idx="2728">
                  <c:v>2885.05</c:v>
                </c:pt>
                <c:pt idx="2729">
                  <c:v>3162.9500000000003</c:v>
                </c:pt>
                <c:pt idx="2730">
                  <c:v>4071.5000000000005</c:v>
                </c:pt>
                <c:pt idx="2731">
                  <c:v>2600</c:v>
                </c:pt>
                <c:pt idx="2732">
                  <c:v>3396.4399999999996</c:v>
                </c:pt>
                <c:pt idx="2733">
                  <c:v>4500</c:v>
                </c:pt>
                <c:pt idx="2734">
                  <c:v>3000</c:v>
                </c:pt>
                <c:pt idx="2735">
                  <c:v>3380.69</c:v>
                </c:pt>
                <c:pt idx="2736">
                  <c:v>3204.57</c:v>
                </c:pt>
                <c:pt idx="2737">
                  <c:v>2588.04</c:v>
                </c:pt>
                <c:pt idx="2738">
                  <c:v>2500</c:v>
                </c:pt>
                <c:pt idx="2739">
                  <c:v>3700</c:v>
                </c:pt>
                <c:pt idx="2740">
                  <c:v>2864.4</c:v>
                </c:pt>
                <c:pt idx="2741">
                  <c:v>3600</c:v>
                </c:pt>
                <c:pt idx="2742">
                  <c:v>2439.9900000000002</c:v>
                </c:pt>
                <c:pt idx="2743">
                  <c:v>2949.12</c:v>
                </c:pt>
                <c:pt idx="2744">
                  <c:v>1539.72</c:v>
                </c:pt>
                <c:pt idx="2745">
                  <c:v>2213.38</c:v>
                </c:pt>
                <c:pt idx="2746">
                  <c:v>2919.58</c:v>
                </c:pt>
                <c:pt idx="2747">
                  <c:v>3778.28</c:v>
                </c:pt>
                <c:pt idx="2748">
                  <c:v>3233.49</c:v>
                </c:pt>
                <c:pt idx="2749">
                  <c:v>3431.25</c:v>
                </c:pt>
                <c:pt idx="2750">
                  <c:v>2546.8000000000002</c:v>
                </c:pt>
                <c:pt idx="2751">
                  <c:v>2953.86</c:v>
                </c:pt>
                <c:pt idx="2752">
                  <c:v>3183.29</c:v>
                </c:pt>
                <c:pt idx="2753">
                  <c:v>2466.6999999999998</c:v>
                </c:pt>
                <c:pt idx="2754">
                  <c:v>2363.2199999999998</c:v>
                </c:pt>
                <c:pt idx="2755">
                  <c:v>2487.4499999999998</c:v>
                </c:pt>
                <c:pt idx="2756">
                  <c:v>2249.0499999999997</c:v>
                </c:pt>
                <c:pt idx="2757">
                  <c:v>2061.12</c:v>
                </c:pt>
                <c:pt idx="2758">
                  <c:v>4071.1400000000003</c:v>
                </c:pt>
                <c:pt idx="2759">
                  <c:v>2656.29</c:v>
                </c:pt>
                <c:pt idx="2760">
                  <c:v>2736.3599999999997</c:v>
                </c:pt>
                <c:pt idx="2761">
                  <c:v>3348.9300000000003</c:v>
                </c:pt>
                <c:pt idx="2762">
                  <c:v>2893</c:v>
                </c:pt>
                <c:pt idx="2763">
                  <c:v>1661.22</c:v>
                </c:pt>
                <c:pt idx="2764">
                  <c:v>3500</c:v>
                </c:pt>
                <c:pt idx="2765">
                  <c:v>2502.9</c:v>
                </c:pt>
                <c:pt idx="2766">
                  <c:v>3801.6000000000004</c:v>
                </c:pt>
                <c:pt idx="2767">
                  <c:v>3144.96</c:v>
                </c:pt>
                <c:pt idx="2768">
                  <c:v>2031.3999999999999</c:v>
                </c:pt>
                <c:pt idx="2769">
                  <c:v>2674.17</c:v>
                </c:pt>
                <c:pt idx="2770">
                  <c:v>2526.7200000000003</c:v>
                </c:pt>
                <c:pt idx="2771">
                  <c:v>1348.76</c:v>
                </c:pt>
                <c:pt idx="2772">
                  <c:v>875.91</c:v>
                </c:pt>
                <c:pt idx="2773">
                  <c:v>1874.05</c:v>
                </c:pt>
                <c:pt idx="2774">
                  <c:v>1671.4399999999998</c:v>
                </c:pt>
                <c:pt idx="2775">
                  <c:v>1668.4</c:v>
                </c:pt>
                <c:pt idx="2776">
                  <c:v>2301.75</c:v>
                </c:pt>
                <c:pt idx="2777">
                  <c:v>1459.92</c:v>
                </c:pt>
                <c:pt idx="2778">
                  <c:v>1209.5899999999999</c:v>
                </c:pt>
                <c:pt idx="2779">
                  <c:v>2145.12</c:v>
                </c:pt>
                <c:pt idx="2780">
                  <c:v>1416.3899999999999</c:v>
                </c:pt>
                <c:pt idx="2781">
                  <c:v>1843.52</c:v>
                </c:pt>
                <c:pt idx="2782">
                  <c:v>1199.31</c:v>
                </c:pt>
                <c:pt idx="2783">
                  <c:v>1875.2</c:v>
                </c:pt>
                <c:pt idx="2784">
                  <c:v>2477.23</c:v>
                </c:pt>
                <c:pt idx="2785">
                  <c:v>948.99</c:v>
                </c:pt>
                <c:pt idx="2786">
                  <c:v>1823.42</c:v>
                </c:pt>
                <c:pt idx="2787">
                  <c:v>1485.8000000000002</c:v>
                </c:pt>
                <c:pt idx="2788">
                  <c:v>3789.72</c:v>
                </c:pt>
                <c:pt idx="2789">
                  <c:v>2060.37</c:v>
                </c:pt>
                <c:pt idx="2790">
                  <c:v>2579.36</c:v>
                </c:pt>
                <c:pt idx="2791">
                  <c:v>2189.6</c:v>
                </c:pt>
                <c:pt idx="2792">
                  <c:v>1624.25</c:v>
                </c:pt>
                <c:pt idx="2793">
                  <c:v>4357.5</c:v>
                </c:pt>
                <c:pt idx="2794">
                  <c:v>1367.48</c:v>
                </c:pt>
                <c:pt idx="2795">
                  <c:v>1122.3999999999999</c:v>
                </c:pt>
                <c:pt idx="2796">
                  <c:v>2419.62</c:v>
                </c:pt>
                <c:pt idx="2797">
                  <c:v>1419.5</c:v>
                </c:pt>
                <c:pt idx="2798">
                  <c:v>2184</c:v>
                </c:pt>
                <c:pt idx="2799">
                  <c:v>2079.04</c:v>
                </c:pt>
                <c:pt idx="2800">
                  <c:v>1724.9699999999998</c:v>
                </c:pt>
                <c:pt idx="2801">
                  <c:v>3003</c:v>
                </c:pt>
                <c:pt idx="2802">
                  <c:v>1846.42</c:v>
                </c:pt>
                <c:pt idx="2803">
                  <c:v>2009.1999999999998</c:v>
                </c:pt>
                <c:pt idx="2804">
                  <c:v>1804.0400000000002</c:v>
                </c:pt>
                <c:pt idx="2805">
                  <c:v>2109.66</c:v>
                </c:pt>
                <c:pt idx="2806">
                  <c:v>2682.96</c:v>
                </c:pt>
                <c:pt idx="2807">
                  <c:v>2280.2400000000002</c:v>
                </c:pt>
                <c:pt idx="2808">
                  <c:v>1192.56</c:v>
                </c:pt>
                <c:pt idx="2809">
                  <c:v>1506.9599999999998</c:v>
                </c:pt>
                <c:pt idx="2810">
                  <c:v>1472.6200000000001</c:v>
                </c:pt>
                <c:pt idx="2811">
                  <c:v>1696.82</c:v>
                </c:pt>
                <c:pt idx="2812">
                  <c:v>1693.56</c:v>
                </c:pt>
                <c:pt idx="2813">
                  <c:v>1921.92</c:v>
                </c:pt>
                <c:pt idx="2814">
                  <c:v>2082.85</c:v>
                </c:pt>
                <c:pt idx="2815">
                  <c:v>2227.6</c:v>
                </c:pt>
                <c:pt idx="2816">
                  <c:v>3209.3799999999997</c:v>
                </c:pt>
                <c:pt idx="2817">
                  <c:v>4080.72</c:v>
                </c:pt>
                <c:pt idx="2818">
                  <c:v>2000</c:v>
                </c:pt>
                <c:pt idx="2819">
                  <c:v>2900</c:v>
                </c:pt>
                <c:pt idx="2820">
                  <c:v>4300</c:v>
                </c:pt>
                <c:pt idx="2821">
                  <c:v>2116.16</c:v>
                </c:pt>
                <c:pt idx="2822">
                  <c:v>3079.4399999999996</c:v>
                </c:pt>
              </c:numCache>
            </c:numRef>
          </c:yVal>
          <c:smooth val="0"/>
          <c:extLst>
            <c:ext xmlns:c16="http://schemas.microsoft.com/office/drawing/2014/chart" uri="{C3380CC4-5D6E-409C-BE32-E72D297353CC}">
              <c16:uniqueId val="{00000001-3719-46F7-8842-46AE86AF2835}"/>
            </c:ext>
          </c:extLst>
        </c:ser>
        <c:dLbls>
          <c:showLegendKey val="0"/>
          <c:showVal val="0"/>
          <c:showCatName val="0"/>
          <c:showSerName val="0"/>
          <c:showPercent val="0"/>
          <c:showBubbleSize val="0"/>
        </c:dLbls>
        <c:axId val="668967320"/>
        <c:axId val="668976680"/>
      </c:scatterChart>
      <c:valAx>
        <c:axId val="66896732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4AB0D9"/>
                </a:solidFill>
                <a:latin typeface="+mn-lt"/>
                <a:ea typeface="+mn-ea"/>
                <a:cs typeface="+mn-cs"/>
              </a:defRPr>
            </a:pPr>
            <a:endParaRPr lang="en-US"/>
          </a:p>
        </c:txPr>
        <c:crossAx val="668976680"/>
        <c:crosses val="autoZero"/>
        <c:crossBetween val="midCat"/>
      </c:valAx>
      <c:valAx>
        <c:axId val="668976680"/>
        <c:scaling>
          <c:orientation val="minMax"/>
        </c:scaling>
        <c:delete val="0"/>
        <c:axPos val="l"/>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4AB0D9"/>
                </a:solidFill>
                <a:latin typeface="+mn-lt"/>
                <a:ea typeface="+mn-ea"/>
                <a:cs typeface="+mn-cs"/>
              </a:defRPr>
            </a:pPr>
            <a:endParaRPr lang="en-US"/>
          </a:p>
        </c:txPr>
        <c:crossAx val="668967320"/>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B0D"/>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4AB0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tables'!$AK$4</c:f>
              <c:strCache>
                <c:ptCount val="1"/>
                <c:pt idx="0">
                  <c:v>Total</c:v>
                </c:pt>
              </c:strCache>
            </c:strRef>
          </c:tx>
          <c:spPr>
            <a:solidFill>
              <a:schemeClr val="accent1"/>
            </a:solidFill>
            <a:ln>
              <a:noFill/>
            </a:ln>
            <a:effectLst/>
          </c:spPr>
          <c:invertIfNegative val="0"/>
          <c:cat>
            <c:strRef>
              <c:f>'Pivot tables'!$AJ$5:$AJ$12</c:f>
              <c:strCache>
                <c:ptCount val="7"/>
                <c:pt idx="0">
                  <c:v>+20%</c:v>
                </c:pt>
                <c:pt idx="1">
                  <c:v>0%</c:v>
                </c:pt>
                <c:pt idx="2">
                  <c:v>0%-5%</c:v>
                </c:pt>
                <c:pt idx="3">
                  <c:v>10%-15%</c:v>
                </c:pt>
                <c:pt idx="4">
                  <c:v>15%-20%</c:v>
                </c:pt>
                <c:pt idx="5">
                  <c:v>5%-10%</c:v>
                </c:pt>
                <c:pt idx="6">
                  <c:v>Below 0%</c:v>
                </c:pt>
              </c:strCache>
            </c:strRef>
          </c:cat>
          <c:val>
            <c:numRef>
              <c:f>'Pivot tables'!$AK$5:$AK$12</c:f>
              <c:numCache>
                <c:formatCode>"$"#,##0</c:formatCode>
                <c:ptCount val="7"/>
                <c:pt idx="0">
                  <c:v>2571729.7199999983</c:v>
                </c:pt>
                <c:pt idx="1">
                  <c:v>173545.19</c:v>
                </c:pt>
                <c:pt idx="2">
                  <c:v>757938.06000000075</c:v>
                </c:pt>
                <c:pt idx="3">
                  <c:v>1154373.1800000006</c:v>
                </c:pt>
                <c:pt idx="4">
                  <c:v>859087.03000000026</c:v>
                </c:pt>
                <c:pt idx="5">
                  <c:v>485914.22999999986</c:v>
                </c:pt>
                <c:pt idx="6">
                  <c:v>2288299.3800000018</c:v>
                </c:pt>
              </c:numCache>
            </c:numRef>
          </c:val>
          <c:extLst>
            <c:ext xmlns:c16="http://schemas.microsoft.com/office/drawing/2014/chart" uri="{C3380CC4-5D6E-409C-BE32-E72D297353CC}">
              <c16:uniqueId val="{00000000-2E59-4E67-B5A2-EB3F94DA79F1}"/>
            </c:ext>
          </c:extLst>
        </c:ser>
        <c:dLbls>
          <c:showLegendKey val="0"/>
          <c:showVal val="0"/>
          <c:showCatName val="0"/>
          <c:showSerName val="0"/>
          <c:showPercent val="0"/>
          <c:showBubbleSize val="0"/>
        </c:dLbls>
        <c:gapWidth val="219"/>
        <c:overlap val="-27"/>
        <c:axId val="1043328816"/>
        <c:axId val="1043320536"/>
      </c:barChart>
      <c:catAx>
        <c:axId val="1043328816"/>
        <c:scaling>
          <c:orientation val="minMax"/>
        </c:scaling>
        <c:delete val="0"/>
        <c:axPos val="b"/>
        <c:numFmt formatCode="General" sourceLinked="1"/>
        <c:majorTickMark val="none"/>
        <c:minorTickMark val="none"/>
        <c:tickLblPos val="nextTo"/>
        <c:spPr>
          <a:solidFill>
            <a:srgbClr val="0B0B0D"/>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4AB0D9"/>
                </a:solidFill>
                <a:latin typeface="+mn-lt"/>
                <a:ea typeface="+mn-ea"/>
                <a:cs typeface="+mn-cs"/>
              </a:defRPr>
            </a:pPr>
            <a:endParaRPr lang="en-US"/>
          </a:p>
        </c:txPr>
        <c:crossAx val="1043320536"/>
        <c:crosses val="autoZero"/>
        <c:auto val="1"/>
        <c:lblAlgn val="ctr"/>
        <c:lblOffset val="100"/>
        <c:noMultiLvlLbl val="0"/>
      </c:catAx>
      <c:valAx>
        <c:axId val="1043320536"/>
        <c:scaling>
          <c:orientation val="minMax"/>
        </c:scaling>
        <c:delete val="0"/>
        <c:axPos val="l"/>
        <c:numFmt formatCode="&quot;$&quot;#,##0" sourceLinked="1"/>
        <c:majorTickMark val="none"/>
        <c:minorTickMark val="none"/>
        <c:tickLblPos val="nextTo"/>
        <c:spPr>
          <a:solidFill>
            <a:srgbClr val="0B0B0D"/>
          </a:solidFill>
          <a:ln>
            <a:noFill/>
          </a:ln>
          <a:effectLst/>
        </c:spPr>
        <c:txPr>
          <a:bodyPr rot="-60000000" spcFirstLastPara="1" vertOverflow="ellipsis" vert="horz" wrap="square" anchor="ctr" anchorCtr="1"/>
          <a:lstStyle/>
          <a:p>
            <a:pPr>
              <a:defRPr lang="en-US" sz="1000" b="0" i="0" u="none" strike="noStrike" kern="1200" baseline="0">
                <a:solidFill>
                  <a:srgbClr val="4AB0D9"/>
                </a:solidFill>
                <a:latin typeface="+mn-lt"/>
                <a:ea typeface="+mn-ea"/>
                <a:cs typeface="+mn-cs"/>
              </a:defRPr>
            </a:pPr>
            <a:endParaRPr lang="en-US"/>
          </a:p>
        </c:txPr>
        <c:crossAx val="1043328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B0D"/>
    </a:solidFill>
    <a:ln w="9525" cap="flat" cmpd="sng" algn="ctr">
      <a:noFill/>
      <a:round/>
    </a:ln>
    <a:effectLst/>
  </c:spPr>
  <c:txPr>
    <a:bodyPr/>
    <a:lstStyle/>
    <a:p>
      <a:pPr>
        <a:defRPr lang="en-US" sz="1000" b="0" i="0" u="none" strike="noStrike" kern="1200" baseline="0">
          <a:solidFill>
            <a:srgbClr val="4AB0D9"/>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51435</xdr:rowOff>
    </xdr:from>
    <xdr:to>
      <xdr:col>25</xdr:col>
      <xdr:colOff>104775</xdr:colOff>
      <xdr:row>4</xdr:row>
      <xdr:rowOff>108585</xdr:rowOff>
    </xdr:to>
    <xdr:sp macro="" textlink="">
      <xdr:nvSpPr>
        <xdr:cNvPr id="2" name="Rectangle: Rounded Corners 1">
          <a:extLst>
            <a:ext uri="{FF2B5EF4-FFF2-40B4-BE49-F238E27FC236}">
              <a16:creationId xmlns:a16="http://schemas.microsoft.com/office/drawing/2014/main" id="{030707EF-BEC0-1F16-C7CF-0F0EDFBEC28D}"/>
            </a:ext>
          </a:extLst>
        </xdr:cNvPr>
        <xdr:cNvSpPr/>
      </xdr:nvSpPr>
      <xdr:spPr>
        <a:xfrm>
          <a:off x="28575" y="51435"/>
          <a:ext cx="15316200" cy="781050"/>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B0B0D"/>
            </a:solidFill>
          </a:endParaRPr>
        </a:p>
      </xdr:txBody>
    </xdr:sp>
    <xdr:clientData/>
  </xdr:twoCellAnchor>
  <xdr:twoCellAnchor>
    <xdr:from>
      <xdr:col>5</xdr:col>
      <xdr:colOff>30098</xdr:colOff>
      <xdr:row>4</xdr:row>
      <xdr:rowOff>161925</xdr:rowOff>
    </xdr:from>
    <xdr:to>
      <xdr:col>9</xdr:col>
      <xdr:colOff>365378</xdr:colOff>
      <xdr:row>18</xdr:row>
      <xdr:rowOff>142875</xdr:rowOff>
    </xdr:to>
    <xdr:sp macro="" textlink="">
      <xdr:nvSpPr>
        <xdr:cNvPr id="5" name="Rectangle: Rounded Corners 4">
          <a:extLst>
            <a:ext uri="{FF2B5EF4-FFF2-40B4-BE49-F238E27FC236}">
              <a16:creationId xmlns:a16="http://schemas.microsoft.com/office/drawing/2014/main" id="{DB33A907-6FFE-4FCD-9694-D5AFC694E45E}"/>
            </a:ext>
          </a:extLst>
        </xdr:cNvPr>
        <xdr:cNvSpPr/>
      </xdr:nvSpPr>
      <xdr:spPr>
        <a:xfrm>
          <a:off x="3078098" y="885825"/>
          <a:ext cx="2773680" cy="2514600"/>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9</xdr:col>
      <xdr:colOff>605027</xdr:colOff>
      <xdr:row>4</xdr:row>
      <xdr:rowOff>161925</xdr:rowOff>
    </xdr:from>
    <xdr:to>
      <xdr:col>14</xdr:col>
      <xdr:colOff>330707</xdr:colOff>
      <xdr:row>18</xdr:row>
      <xdr:rowOff>123826</xdr:rowOff>
    </xdr:to>
    <xdr:sp macro="" textlink="">
      <xdr:nvSpPr>
        <xdr:cNvPr id="6" name="Rectangle: Rounded Corners 5">
          <a:extLst>
            <a:ext uri="{FF2B5EF4-FFF2-40B4-BE49-F238E27FC236}">
              <a16:creationId xmlns:a16="http://schemas.microsoft.com/office/drawing/2014/main" id="{21F1FF33-177C-4F8C-9998-752075BE550D}"/>
            </a:ext>
          </a:extLst>
        </xdr:cNvPr>
        <xdr:cNvSpPr/>
      </xdr:nvSpPr>
      <xdr:spPr>
        <a:xfrm>
          <a:off x="6091427" y="885825"/>
          <a:ext cx="2773680" cy="2495551"/>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25</xdr:col>
      <xdr:colOff>373380</xdr:colOff>
      <xdr:row>0</xdr:row>
      <xdr:rowOff>51435</xdr:rowOff>
    </xdr:from>
    <xdr:to>
      <xdr:col>29</xdr:col>
      <xdr:colOff>182880</xdr:colOff>
      <xdr:row>32</xdr:row>
      <xdr:rowOff>123825</xdr:rowOff>
    </xdr:to>
    <xdr:sp macro="" textlink="">
      <xdr:nvSpPr>
        <xdr:cNvPr id="7" name="Rectangle: Rounded Corners 6">
          <a:extLst>
            <a:ext uri="{FF2B5EF4-FFF2-40B4-BE49-F238E27FC236}">
              <a16:creationId xmlns:a16="http://schemas.microsoft.com/office/drawing/2014/main" id="{CD340F33-9A42-4E57-A9A7-F24EA04B8D45}"/>
            </a:ext>
          </a:extLst>
        </xdr:cNvPr>
        <xdr:cNvSpPr/>
      </xdr:nvSpPr>
      <xdr:spPr>
        <a:xfrm>
          <a:off x="15613380" y="51435"/>
          <a:ext cx="2247900" cy="5863590"/>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51434</xdr:colOff>
      <xdr:row>4</xdr:row>
      <xdr:rowOff>161925</xdr:rowOff>
    </xdr:from>
    <xdr:to>
      <xdr:col>4</xdr:col>
      <xdr:colOff>400049</xdr:colOff>
      <xdr:row>11</xdr:row>
      <xdr:rowOff>85726</xdr:rowOff>
    </xdr:to>
    <xdr:sp macro="" textlink="">
      <xdr:nvSpPr>
        <xdr:cNvPr id="10" name="Rectangle: Rounded Corners 9">
          <a:extLst>
            <a:ext uri="{FF2B5EF4-FFF2-40B4-BE49-F238E27FC236}">
              <a16:creationId xmlns:a16="http://schemas.microsoft.com/office/drawing/2014/main" id="{3D6515F3-3C03-46EC-8908-BA0F8520B497}"/>
            </a:ext>
          </a:extLst>
        </xdr:cNvPr>
        <xdr:cNvSpPr/>
      </xdr:nvSpPr>
      <xdr:spPr>
        <a:xfrm>
          <a:off x="51434" y="885825"/>
          <a:ext cx="2787015" cy="1190626"/>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545306</xdr:colOff>
      <xdr:row>19</xdr:row>
      <xdr:rowOff>30481</xdr:rowOff>
    </xdr:from>
    <xdr:to>
      <xdr:col>14</xdr:col>
      <xdr:colOff>471011</xdr:colOff>
      <xdr:row>25</xdr:row>
      <xdr:rowOff>106681</xdr:rowOff>
    </xdr:to>
    <xdr:sp macro="" textlink="">
      <xdr:nvSpPr>
        <xdr:cNvPr id="11" name="Rectangle: Rounded Corners 10">
          <a:extLst>
            <a:ext uri="{FF2B5EF4-FFF2-40B4-BE49-F238E27FC236}">
              <a16:creationId xmlns:a16="http://schemas.microsoft.com/office/drawing/2014/main" id="{7F42B748-9580-4B3B-AF3F-6BD998B761B7}"/>
            </a:ext>
          </a:extLst>
        </xdr:cNvPr>
        <xdr:cNvSpPr/>
      </xdr:nvSpPr>
      <xdr:spPr>
        <a:xfrm>
          <a:off x="2983706" y="3469006"/>
          <a:ext cx="6021705" cy="1162050"/>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9</xdr:col>
      <xdr:colOff>45720</xdr:colOff>
      <xdr:row>0</xdr:row>
      <xdr:rowOff>85724</xdr:rowOff>
    </xdr:from>
    <xdr:to>
      <xdr:col>16</xdr:col>
      <xdr:colOff>510540</xdr:colOff>
      <xdr:row>3</xdr:row>
      <xdr:rowOff>169544</xdr:rowOff>
    </xdr:to>
    <xdr:sp macro="" textlink="">
      <xdr:nvSpPr>
        <xdr:cNvPr id="20" name="TextBox 19">
          <a:extLst>
            <a:ext uri="{FF2B5EF4-FFF2-40B4-BE49-F238E27FC236}">
              <a16:creationId xmlns:a16="http://schemas.microsoft.com/office/drawing/2014/main" id="{4683B112-CA49-0805-243A-1B565CC799DD}"/>
            </a:ext>
          </a:extLst>
        </xdr:cNvPr>
        <xdr:cNvSpPr txBox="1"/>
      </xdr:nvSpPr>
      <xdr:spPr>
        <a:xfrm>
          <a:off x="5532120" y="85724"/>
          <a:ext cx="4732020" cy="62674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rgbClr val="13F235"/>
              </a:solidFill>
            </a:rPr>
            <a:t>Sales</a:t>
          </a:r>
          <a:r>
            <a:rPr lang="en-US" sz="4000" baseline="0">
              <a:solidFill>
                <a:srgbClr val="13F235"/>
              </a:solidFill>
            </a:rPr>
            <a:t> Performance</a:t>
          </a:r>
          <a:endParaRPr lang="en-US" sz="4000">
            <a:solidFill>
              <a:srgbClr val="13F235"/>
            </a:solidFill>
          </a:endParaRPr>
        </a:p>
      </xdr:txBody>
    </xdr:sp>
    <xdr:clientData/>
  </xdr:twoCellAnchor>
  <xdr:twoCellAnchor>
    <xdr:from>
      <xdr:col>21</xdr:col>
      <xdr:colOff>451485</xdr:colOff>
      <xdr:row>2</xdr:row>
      <xdr:rowOff>17145</xdr:rowOff>
    </xdr:from>
    <xdr:to>
      <xdr:col>24</xdr:col>
      <xdr:colOff>299085</xdr:colOff>
      <xdr:row>4</xdr:row>
      <xdr:rowOff>9525</xdr:rowOff>
    </xdr:to>
    <xdr:sp macro="" textlink="">
      <xdr:nvSpPr>
        <xdr:cNvPr id="21" name="TextBox 20">
          <a:extLst>
            <a:ext uri="{FF2B5EF4-FFF2-40B4-BE49-F238E27FC236}">
              <a16:creationId xmlns:a16="http://schemas.microsoft.com/office/drawing/2014/main" id="{4C6DB22C-8E7E-93BE-00C4-5395AF0738BF}"/>
            </a:ext>
          </a:extLst>
        </xdr:cNvPr>
        <xdr:cNvSpPr txBox="1"/>
      </xdr:nvSpPr>
      <xdr:spPr>
        <a:xfrm>
          <a:off x="13253085" y="379095"/>
          <a:ext cx="1676400" cy="354330"/>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13F235"/>
              </a:solidFill>
            </a:rPr>
            <a:t>DASHBOARD</a:t>
          </a:r>
        </a:p>
      </xdr:txBody>
    </xdr:sp>
    <xdr:clientData/>
  </xdr:twoCellAnchor>
  <xdr:twoCellAnchor>
    <xdr:from>
      <xdr:col>1</xdr:col>
      <xdr:colOff>171450</xdr:colOff>
      <xdr:row>5</xdr:row>
      <xdr:rowOff>28575</xdr:rowOff>
    </xdr:from>
    <xdr:to>
      <xdr:col>3</xdr:col>
      <xdr:colOff>361950</xdr:colOff>
      <xdr:row>7</xdr:row>
      <xdr:rowOff>57149</xdr:rowOff>
    </xdr:to>
    <xdr:sp macro="" textlink="">
      <xdr:nvSpPr>
        <xdr:cNvPr id="22" name="TextBox 21">
          <a:extLst>
            <a:ext uri="{FF2B5EF4-FFF2-40B4-BE49-F238E27FC236}">
              <a16:creationId xmlns:a16="http://schemas.microsoft.com/office/drawing/2014/main" id="{52339A4E-FAC1-1766-058C-6DA19F6F6EC6}"/>
            </a:ext>
          </a:extLst>
        </xdr:cNvPr>
        <xdr:cNvSpPr txBox="1"/>
      </xdr:nvSpPr>
      <xdr:spPr>
        <a:xfrm>
          <a:off x="781050" y="933450"/>
          <a:ext cx="1409700" cy="390524"/>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Total</a:t>
          </a:r>
          <a:r>
            <a:rPr lang="en-US" sz="2400" b="0" i="0" u="none" strike="noStrike">
              <a:solidFill>
                <a:srgbClr val="13F235"/>
              </a:solidFill>
              <a:effectLst/>
              <a:latin typeface="+mn-lt"/>
              <a:ea typeface="+mn-ea"/>
              <a:cs typeface="+mn-cs"/>
            </a:rPr>
            <a:t> </a:t>
          </a:r>
          <a:r>
            <a:rPr lang="en-US" sz="1800" b="0" i="0" u="none" strike="noStrike">
              <a:solidFill>
                <a:srgbClr val="13F235"/>
              </a:solidFill>
              <a:effectLst/>
              <a:latin typeface="+mn-lt"/>
              <a:ea typeface="+mn-ea"/>
              <a:cs typeface="+mn-cs"/>
            </a:rPr>
            <a:t>Sales</a:t>
          </a:r>
          <a:r>
            <a:rPr lang="en-US" sz="2400">
              <a:solidFill>
                <a:srgbClr val="13F235"/>
              </a:solidFill>
              <a:effectLst/>
            </a:rPr>
            <a:t> </a:t>
          </a:r>
          <a:endParaRPr lang="en-US" sz="2400">
            <a:solidFill>
              <a:srgbClr val="13F235"/>
            </a:solidFill>
          </a:endParaRPr>
        </a:p>
      </xdr:txBody>
    </xdr:sp>
    <xdr:clientData/>
  </xdr:twoCellAnchor>
  <xdr:twoCellAnchor>
    <xdr:from>
      <xdr:col>0</xdr:col>
      <xdr:colOff>581025</xdr:colOff>
      <xdr:row>8</xdr:row>
      <xdr:rowOff>81915</xdr:rowOff>
    </xdr:from>
    <xdr:to>
      <xdr:col>3</xdr:col>
      <xdr:colOff>390525</xdr:colOff>
      <xdr:row>11</xdr:row>
      <xdr:rowOff>51435</xdr:rowOff>
    </xdr:to>
    <xdr:sp macro="" textlink="'Pivot tables'!B9">
      <xdr:nvSpPr>
        <xdr:cNvPr id="24" name="TextBox 23">
          <a:extLst>
            <a:ext uri="{FF2B5EF4-FFF2-40B4-BE49-F238E27FC236}">
              <a16:creationId xmlns:a16="http://schemas.microsoft.com/office/drawing/2014/main" id="{00B2FBA1-F7B5-B8E1-5F80-ED9633E5ED70}"/>
            </a:ext>
          </a:extLst>
        </xdr:cNvPr>
        <xdr:cNvSpPr txBox="1"/>
      </xdr:nvSpPr>
      <xdr:spPr>
        <a:xfrm>
          <a:off x="581025" y="1529715"/>
          <a:ext cx="1638300" cy="51244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E3FEAF-66F3-41FD-B490-B5794D8E4D71}" type="TxLink">
            <a:rPr lang="en-US" sz="2400" b="0" i="0" u="none" strike="noStrike">
              <a:solidFill>
                <a:srgbClr val="4AB0D9"/>
              </a:solidFill>
              <a:latin typeface="Aptos Narrow"/>
            </a:rPr>
            <a:pPr/>
            <a:t>$8,290,887</a:t>
          </a:fld>
          <a:endParaRPr lang="en-US" sz="1600">
            <a:solidFill>
              <a:srgbClr val="4AB0D9"/>
            </a:solidFill>
          </a:endParaRPr>
        </a:p>
      </xdr:txBody>
    </xdr:sp>
    <xdr:clientData/>
  </xdr:twoCellAnchor>
  <xdr:twoCellAnchor>
    <xdr:from>
      <xdr:col>5</xdr:col>
      <xdr:colOff>133350</xdr:colOff>
      <xdr:row>7</xdr:row>
      <xdr:rowOff>123826</xdr:rowOff>
    </xdr:from>
    <xdr:to>
      <xdr:col>9</xdr:col>
      <xdr:colOff>201930</xdr:colOff>
      <xdr:row>17</xdr:row>
      <xdr:rowOff>152400</xdr:rowOff>
    </xdr:to>
    <xdr:graphicFrame macro="">
      <xdr:nvGraphicFramePr>
        <xdr:cNvPr id="26" name="Chart 25">
          <a:extLst>
            <a:ext uri="{FF2B5EF4-FFF2-40B4-BE49-F238E27FC236}">
              <a16:creationId xmlns:a16="http://schemas.microsoft.com/office/drawing/2014/main" id="{5C3625F0-8549-4B43-A7FC-8FC615DD7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238125</xdr:colOff>
      <xdr:row>5</xdr:row>
      <xdr:rowOff>47625</xdr:rowOff>
    </xdr:from>
    <xdr:to>
      <xdr:col>8</xdr:col>
      <xdr:colOff>146685</xdr:colOff>
      <xdr:row>7</xdr:row>
      <xdr:rowOff>41910</xdr:rowOff>
    </xdr:to>
    <xdr:sp macro="" textlink="">
      <xdr:nvSpPr>
        <xdr:cNvPr id="27" name="TextBox 26">
          <a:extLst>
            <a:ext uri="{FF2B5EF4-FFF2-40B4-BE49-F238E27FC236}">
              <a16:creationId xmlns:a16="http://schemas.microsoft.com/office/drawing/2014/main" id="{F4803FDC-A90A-3B5D-39BA-01E918DC8146}"/>
            </a:ext>
          </a:extLst>
        </xdr:cNvPr>
        <xdr:cNvSpPr txBox="1"/>
      </xdr:nvSpPr>
      <xdr:spPr>
        <a:xfrm>
          <a:off x="3286125" y="952500"/>
          <a:ext cx="1737360" cy="35623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Sales By Country</a:t>
          </a:r>
          <a:r>
            <a:rPr lang="en-US" sz="1800">
              <a:solidFill>
                <a:srgbClr val="13F235"/>
              </a:solidFill>
              <a:effectLst/>
            </a:rPr>
            <a:t> </a:t>
          </a:r>
          <a:endParaRPr lang="en-US" sz="1800">
            <a:solidFill>
              <a:srgbClr val="13F235"/>
            </a:solidFill>
          </a:endParaRPr>
        </a:p>
      </xdr:txBody>
    </xdr:sp>
    <xdr:clientData/>
  </xdr:twoCellAnchor>
  <xdr:twoCellAnchor>
    <xdr:from>
      <xdr:col>10</xdr:col>
      <xdr:colOff>66676</xdr:colOff>
      <xdr:row>7</xdr:row>
      <xdr:rowOff>129540</xdr:rowOff>
    </xdr:from>
    <xdr:to>
      <xdr:col>14</xdr:col>
      <xdr:colOff>219076</xdr:colOff>
      <xdr:row>17</xdr:row>
      <xdr:rowOff>114300</xdr:rowOff>
    </xdr:to>
    <xdr:graphicFrame macro="">
      <xdr:nvGraphicFramePr>
        <xdr:cNvPr id="28" name="Chart 27">
          <a:extLst>
            <a:ext uri="{FF2B5EF4-FFF2-40B4-BE49-F238E27FC236}">
              <a16:creationId xmlns:a16="http://schemas.microsoft.com/office/drawing/2014/main" id="{86DE8EC7-23A1-4488-9069-DFD1655B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350519</xdr:colOff>
      <xdr:row>5</xdr:row>
      <xdr:rowOff>47625</xdr:rowOff>
    </xdr:from>
    <xdr:to>
      <xdr:col>13</xdr:col>
      <xdr:colOff>167639</xdr:colOff>
      <xdr:row>7</xdr:row>
      <xdr:rowOff>11430</xdr:rowOff>
    </xdr:to>
    <xdr:sp macro="" textlink="">
      <xdr:nvSpPr>
        <xdr:cNvPr id="29" name="TextBox 28">
          <a:extLst>
            <a:ext uri="{FF2B5EF4-FFF2-40B4-BE49-F238E27FC236}">
              <a16:creationId xmlns:a16="http://schemas.microsoft.com/office/drawing/2014/main" id="{BB147550-511E-F5E7-597B-87AE4F8D31A4}"/>
            </a:ext>
          </a:extLst>
        </xdr:cNvPr>
        <xdr:cNvSpPr txBox="1"/>
      </xdr:nvSpPr>
      <xdr:spPr>
        <a:xfrm>
          <a:off x="6446519" y="952500"/>
          <a:ext cx="1645920" cy="32575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Sales By City</a:t>
          </a:r>
          <a:r>
            <a:rPr lang="en-US" sz="1800">
              <a:solidFill>
                <a:srgbClr val="13F235"/>
              </a:solidFill>
              <a:effectLst/>
            </a:rPr>
            <a:t> </a:t>
          </a:r>
          <a:endParaRPr lang="en-US" sz="1800">
            <a:solidFill>
              <a:srgbClr val="13F235"/>
            </a:solidFill>
          </a:endParaRPr>
        </a:p>
      </xdr:txBody>
    </xdr:sp>
    <xdr:clientData/>
  </xdr:twoCellAnchor>
  <xdr:twoCellAnchor>
    <xdr:from>
      <xdr:col>5</xdr:col>
      <xdr:colOff>24765</xdr:colOff>
      <xdr:row>21</xdr:row>
      <xdr:rowOff>76201</xdr:rowOff>
    </xdr:from>
    <xdr:to>
      <xdr:col>14</xdr:col>
      <xdr:colOff>333375</xdr:colOff>
      <xdr:row>25</xdr:row>
      <xdr:rowOff>57151</xdr:rowOff>
    </xdr:to>
    <xdr:graphicFrame macro="">
      <xdr:nvGraphicFramePr>
        <xdr:cNvPr id="30" name="Chart 29">
          <a:extLst>
            <a:ext uri="{FF2B5EF4-FFF2-40B4-BE49-F238E27FC236}">
              <a16:creationId xmlns:a16="http://schemas.microsoft.com/office/drawing/2014/main" id="{6F3FD1CE-5343-4850-8B53-9B34EF86E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19</xdr:row>
      <xdr:rowOff>72390</xdr:rowOff>
    </xdr:from>
    <xdr:to>
      <xdr:col>9</xdr:col>
      <xdr:colOff>365760</xdr:colOff>
      <xdr:row>21</xdr:row>
      <xdr:rowOff>5715</xdr:rowOff>
    </xdr:to>
    <xdr:sp macro="" textlink="">
      <xdr:nvSpPr>
        <xdr:cNvPr id="32" name="TextBox 31">
          <a:extLst>
            <a:ext uri="{FF2B5EF4-FFF2-40B4-BE49-F238E27FC236}">
              <a16:creationId xmlns:a16="http://schemas.microsoft.com/office/drawing/2014/main" id="{65A14CC5-D8B0-73FA-4CEB-AB9F14765C9B}"/>
            </a:ext>
          </a:extLst>
        </xdr:cNvPr>
        <xdr:cNvSpPr txBox="1"/>
      </xdr:nvSpPr>
      <xdr:spPr>
        <a:xfrm>
          <a:off x="3238500" y="3510915"/>
          <a:ext cx="2613660" cy="2952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Sales By Product</a:t>
          </a:r>
          <a:r>
            <a:rPr lang="en-US" sz="1800">
              <a:solidFill>
                <a:srgbClr val="13F235"/>
              </a:solidFill>
              <a:effectLst/>
            </a:rPr>
            <a:t> </a:t>
          </a:r>
          <a:endParaRPr lang="en-US" sz="1800">
            <a:solidFill>
              <a:srgbClr val="13F235"/>
            </a:solidFill>
          </a:endParaRPr>
        </a:p>
      </xdr:txBody>
    </xdr:sp>
    <xdr:clientData/>
  </xdr:twoCellAnchor>
  <xdr:twoCellAnchor>
    <xdr:from>
      <xdr:col>4</xdr:col>
      <xdr:colOff>550544</xdr:colOff>
      <xdr:row>26</xdr:row>
      <xdr:rowOff>13336</xdr:rowOff>
    </xdr:from>
    <xdr:to>
      <xdr:col>14</xdr:col>
      <xdr:colOff>455294</xdr:colOff>
      <xdr:row>32</xdr:row>
      <xdr:rowOff>161925</xdr:rowOff>
    </xdr:to>
    <xdr:sp macro="" textlink="">
      <xdr:nvSpPr>
        <xdr:cNvPr id="34" name="Rectangle: Rounded Corners 33">
          <a:extLst>
            <a:ext uri="{FF2B5EF4-FFF2-40B4-BE49-F238E27FC236}">
              <a16:creationId xmlns:a16="http://schemas.microsoft.com/office/drawing/2014/main" id="{E192CB34-5964-4BD4-902B-63E0BAF4B9B1}"/>
            </a:ext>
          </a:extLst>
        </xdr:cNvPr>
        <xdr:cNvSpPr/>
      </xdr:nvSpPr>
      <xdr:spPr>
        <a:xfrm>
          <a:off x="2988944" y="4718686"/>
          <a:ext cx="6000750" cy="1234439"/>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5</xdr:col>
      <xdr:colOff>57150</xdr:colOff>
      <xdr:row>27</xdr:row>
      <xdr:rowOff>85725</xdr:rowOff>
    </xdr:from>
    <xdr:to>
      <xdr:col>14</xdr:col>
      <xdr:colOff>247650</xdr:colOff>
      <xdr:row>32</xdr:row>
      <xdr:rowOff>123825</xdr:rowOff>
    </xdr:to>
    <xdr:graphicFrame macro="">
      <xdr:nvGraphicFramePr>
        <xdr:cNvPr id="35" name="Chart 34">
          <a:extLst>
            <a:ext uri="{FF2B5EF4-FFF2-40B4-BE49-F238E27FC236}">
              <a16:creationId xmlns:a16="http://schemas.microsoft.com/office/drawing/2014/main" id="{9567DCC5-2696-4A3F-A362-7E98BD54A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154305</xdr:colOff>
      <xdr:row>26</xdr:row>
      <xdr:rowOff>9524</xdr:rowOff>
    </xdr:from>
    <xdr:to>
      <xdr:col>8</xdr:col>
      <xdr:colOff>200025</xdr:colOff>
      <xdr:row>27</xdr:row>
      <xdr:rowOff>104774</xdr:rowOff>
    </xdr:to>
    <xdr:sp macro="" textlink="">
      <xdr:nvSpPr>
        <xdr:cNvPr id="36" name="TextBox 35">
          <a:extLst>
            <a:ext uri="{FF2B5EF4-FFF2-40B4-BE49-F238E27FC236}">
              <a16:creationId xmlns:a16="http://schemas.microsoft.com/office/drawing/2014/main" id="{85467158-62A5-1085-4170-C3794988ADBA}"/>
            </a:ext>
          </a:extLst>
        </xdr:cNvPr>
        <xdr:cNvSpPr txBox="1"/>
      </xdr:nvSpPr>
      <xdr:spPr>
        <a:xfrm>
          <a:off x="3202305" y="4714874"/>
          <a:ext cx="1874520" cy="27622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Sales over Time</a:t>
          </a:r>
          <a:r>
            <a:rPr lang="en-US" sz="1800">
              <a:solidFill>
                <a:srgbClr val="13F235"/>
              </a:solidFill>
              <a:effectLst/>
            </a:rPr>
            <a:t> </a:t>
          </a:r>
          <a:endParaRPr lang="en-US" sz="1800">
            <a:solidFill>
              <a:srgbClr val="13F235"/>
            </a:solidFill>
          </a:endParaRPr>
        </a:p>
      </xdr:txBody>
    </xdr:sp>
    <xdr:clientData/>
  </xdr:twoCellAnchor>
  <xdr:twoCellAnchor editAs="oneCell">
    <xdr:from>
      <xdr:col>0</xdr:col>
      <xdr:colOff>436245</xdr:colOff>
      <xdr:row>0</xdr:row>
      <xdr:rowOff>66675</xdr:rowOff>
    </xdr:from>
    <xdr:to>
      <xdr:col>3</xdr:col>
      <xdr:colOff>489585</xdr:colOff>
      <xdr:row>4</xdr:row>
      <xdr:rowOff>89535</xdr:rowOff>
    </xdr:to>
    <xdr:pic>
      <xdr:nvPicPr>
        <xdr:cNvPr id="38" name="Picture 37">
          <a:extLst>
            <a:ext uri="{FF2B5EF4-FFF2-40B4-BE49-F238E27FC236}">
              <a16:creationId xmlns:a16="http://schemas.microsoft.com/office/drawing/2014/main" id="{D29F0D1E-8417-C244-6916-4FD8F7BD19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6245" y="66675"/>
          <a:ext cx="1882140" cy="746760"/>
        </a:xfrm>
        <a:prstGeom prst="rect">
          <a:avLst/>
        </a:prstGeom>
      </xdr:spPr>
    </xdr:pic>
    <xdr:clientData/>
  </xdr:twoCellAnchor>
  <xdr:twoCellAnchor editAs="oneCell">
    <xdr:from>
      <xdr:col>25</xdr:col>
      <xdr:colOff>516255</xdr:colOff>
      <xdr:row>1</xdr:row>
      <xdr:rowOff>41909</xdr:rowOff>
    </xdr:from>
    <xdr:to>
      <xdr:col>29</xdr:col>
      <xdr:colOff>59055</xdr:colOff>
      <xdr:row>10</xdr:row>
      <xdr:rowOff>57149</xdr:rowOff>
    </xdr:to>
    <mc:AlternateContent xmlns:mc="http://schemas.openxmlformats.org/markup-compatibility/2006" xmlns:tsle="http://schemas.microsoft.com/office/drawing/2012/timeslicer">
      <mc:Choice Requires="tsle">
        <xdr:graphicFrame macro="">
          <xdr:nvGraphicFramePr>
            <xdr:cNvPr id="39" name="ORDER DATE">
              <a:extLst>
                <a:ext uri="{FF2B5EF4-FFF2-40B4-BE49-F238E27FC236}">
                  <a16:creationId xmlns:a16="http://schemas.microsoft.com/office/drawing/2014/main" id="{B01FAF5D-15CD-44E3-AF71-F91EDED43A7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756255" y="222884"/>
              <a:ext cx="1981200" cy="16440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396240</xdr:colOff>
      <xdr:row>11</xdr:row>
      <xdr:rowOff>68580</xdr:rowOff>
    </xdr:from>
    <xdr:to>
      <xdr:col>29</xdr:col>
      <xdr:colOff>152400</xdr:colOff>
      <xdr:row>20</xdr:row>
      <xdr:rowOff>93345</xdr:rowOff>
    </xdr:to>
    <mc:AlternateContent xmlns:mc="http://schemas.openxmlformats.org/markup-compatibility/2006" xmlns:a14="http://schemas.microsoft.com/office/drawing/2010/main">
      <mc:Choice Requires="a14">
        <xdr:graphicFrame macro="">
          <xdr:nvGraphicFramePr>
            <xdr:cNvPr id="40" name="PRODUCT LINE">
              <a:extLst>
                <a:ext uri="{FF2B5EF4-FFF2-40B4-BE49-F238E27FC236}">
                  <a16:creationId xmlns:a16="http://schemas.microsoft.com/office/drawing/2014/main" id="{9217F1C0-85D4-4CD5-BA6F-E7BB124C536A}"/>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5636240" y="2059305"/>
              <a:ext cx="2194560" cy="1653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523875</xdr:colOff>
      <xdr:row>21</xdr:row>
      <xdr:rowOff>104776</xdr:rowOff>
    </xdr:from>
    <xdr:to>
      <xdr:col>28</xdr:col>
      <xdr:colOff>607695</xdr:colOff>
      <xdr:row>26</xdr:row>
      <xdr:rowOff>121920</xdr:rowOff>
    </xdr:to>
    <mc:AlternateContent xmlns:mc="http://schemas.openxmlformats.org/markup-compatibility/2006" xmlns:a14="http://schemas.microsoft.com/office/drawing/2010/main">
      <mc:Choice Requires="a14">
        <xdr:graphicFrame macro="">
          <xdr:nvGraphicFramePr>
            <xdr:cNvPr id="42" name="TERRITORY">
              <a:extLst>
                <a:ext uri="{FF2B5EF4-FFF2-40B4-BE49-F238E27FC236}">
                  <a16:creationId xmlns:a16="http://schemas.microsoft.com/office/drawing/2014/main" id="{7E9C8D54-0293-43B7-80F8-8DBA9D4B5D26}"/>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5763875" y="3905251"/>
              <a:ext cx="191262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41909</xdr:colOff>
      <xdr:row>12</xdr:row>
      <xdr:rowOff>6350</xdr:rowOff>
    </xdr:from>
    <xdr:to>
      <xdr:col>4</xdr:col>
      <xdr:colOff>390524</xdr:colOff>
      <xdr:row>18</xdr:row>
      <xdr:rowOff>111126</xdr:rowOff>
    </xdr:to>
    <xdr:sp macro="" textlink="">
      <xdr:nvSpPr>
        <xdr:cNvPr id="17" name="Rectangle: Rounded Corners 16">
          <a:extLst>
            <a:ext uri="{FF2B5EF4-FFF2-40B4-BE49-F238E27FC236}">
              <a16:creationId xmlns:a16="http://schemas.microsoft.com/office/drawing/2014/main" id="{081B58BF-8CFB-44C7-BB3A-852AA9A2F0B5}"/>
            </a:ext>
          </a:extLst>
        </xdr:cNvPr>
        <xdr:cNvSpPr/>
      </xdr:nvSpPr>
      <xdr:spPr>
        <a:xfrm>
          <a:off x="41909" y="2178050"/>
          <a:ext cx="2787015" cy="1190626"/>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3809</xdr:colOff>
      <xdr:row>19</xdr:row>
      <xdr:rowOff>31750</xdr:rowOff>
    </xdr:from>
    <xdr:to>
      <xdr:col>4</xdr:col>
      <xdr:colOff>352424</xdr:colOff>
      <xdr:row>25</xdr:row>
      <xdr:rowOff>136526</xdr:rowOff>
    </xdr:to>
    <xdr:sp macro="" textlink="">
      <xdr:nvSpPr>
        <xdr:cNvPr id="18" name="Rectangle: Rounded Corners 17">
          <a:extLst>
            <a:ext uri="{FF2B5EF4-FFF2-40B4-BE49-F238E27FC236}">
              <a16:creationId xmlns:a16="http://schemas.microsoft.com/office/drawing/2014/main" id="{A0FB450C-0740-4BAF-918A-97FF64AB7F93}"/>
            </a:ext>
          </a:extLst>
        </xdr:cNvPr>
        <xdr:cNvSpPr/>
      </xdr:nvSpPr>
      <xdr:spPr>
        <a:xfrm>
          <a:off x="3809" y="3470275"/>
          <a:ext cx="2787015" cy="1190626"/>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3809</xdr:colOff>
      <xdr:row>26</xdr:row>
      <xdr:rowOff>57150</xdr:rowOff>
    </xdr:from>
    <xdr:to>
      <xdr:col>4</xdr:col>
      <xdr:colOff>352424</xdr:colOff>
      <xdr:row>32</xdr:row>
      <xdr:rowOff>161926</xdr:rowOff>
    </xdr:to>
    <xdr:sp macro="" textlink="">
      <xdr:nvSpPr>
        <xdr:cNvPr id="19" name="Rectangle: Rounded Corners 18">
          <a:extLst>
            <a:ext uri="{FF2B5EF4-FFF2-40B4-BE49-F238E27FC236}">
              <a16:creationId xmlns:a16="http://schemas.microsoft.com/office/drawing/2014/main" id="{1754E63B-F837-42BF-AE31-10CB7C2FE7A2}"/>
            </a:ext>
          </a:extLst>
        </xdr:cNvPr>
        <xdr:cNvSpPr/>
      </xdr:nvSpPr>
      <xdr:spPr>
        <a:xfrm>
          <a:off x="3809" y="4762500"/>
          <a:ext cx="2787015" cy="1190626"/>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15</xdr:col>
      <xdr:colOff>43814</xdr:colOff>
      <xdr:row>19</xdr:row>
      <xdr:rowOff>19050</xdr:rowOff>
    </xdr:from>
    <xdr:to>
      <xdr:col>21</xdr:col>
      <xdr:colOff>281939</xdr:colOff>
      <xdr:row>32</xdr:row>
      <xdr:rowOff>95250</xdr:rowOff>
    </xdr:to>
    <xdr:sp macro="" textlink="">
      <xdr:nvSpPr>
        <xdr:cNvPr id="33" name="Rectangle: Rounded Corners 32">
          <a:extLst>
            <a:ext uri="{FF2B5EF4-FFF2-40B4-BE49-F238E27FC236}">
              <a16:creationId xmlns:a16="http://schemas.microsoft.com/office/drawing/2014/main" id="{88F9A391-AE54-4EB7-B328-DFD058558E6F}"/>
            </a:ext>
          </a:extLst>
        </xdr:cNvPr>
        <xdr:cNvSpPr/>
      </xdr:nvSpPr>
      <xdr:spPr>
        <a:xfrm>
          <a:off x="9187814" y="3457575"/>
          <a:ext cx="3895725" cy="2428875"/>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570356</xdr:colOff>
      <xdr:row>4</xdr:row>
      <xdr:rowOff>161925</xdr:rowOff>
    </xdr:from>
    <xdr:to>
      <xdr:col>21</xdr:col>
      <xdr:colOff>198881</xdr:colOff>
      <xdr:row>18</xdr:row>
      <xdr:rowOff>57150</xdr:rowOff>
    </xdr:to>
    <xdr:sp macro="" textlink="">
      <xdr:nvSpPr>
        <xdr:cNvPr id="37" name="Rectangle: Rounded Corners 36">
          <a:extLst>
            <a:ext uri="{FF2B5EF4-FFF2-40B4-BE49-F238E27FC236}">
              <a16:creationId xmlns:a16="http://schemas.microsoft.com/office/drawing/2014/main" id="{823351A0-6E7E-4E13-97FC-2A883014FB59}"/>
            </a:ext>
          </a:extLst>
        </xdr:cNvPr>
        <xdr:cNvSpPr/>
      </xdr:nvSpPr>
      <xdr:spPr>
        <a:xfrm>
          <a:off x="9104756" y="885825"/>
          <a:ext cx="3895725" cy="2428875"/>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123825</xdr:colOff>
      <xdr:row>7</xdr:row>
      <xdr:rowOff>66674</xdr:rowOff>
    </xdr:from>
    <xdr:to>
      <xdr:col>21</xdr:col>
      <xdr:colOff>47625</xdr:colOff>
      <xdr:row>17</xdr:row>
      <xdr:rowOff>152399</xdr:rowOff>
    </xdr:to>
    <xdr:graphicFrame macro="">
      <xdr:nvGraphicFramePr>
        <xdr:cNvPr id="44" name="Chart 43">
          <a:extLst>
            <a:ext uri="{FF2B5EF4-FFF2-40B4-BE49-F238E27FC236}">
              <a16:creationId xmlns:a16="http://schemas.microsoft.com/office/drawing/2014/main" id="{3A684FAC-F198-4953-B3CD-4719E6F25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276225</xdr:colOff>
      <xdr:row>22</xdr:row>
      <xdr:rowOff>133349</xdr:rowOff>
    </xdr:from>
    <xdr:to>
      <xdr:col>21</xdr:col>
      <xdr:colOff>95251</xdr:colOff>
      <xdr:row>31</xdr:row>
      <xdr:rowOff>161925</xdr:rowOff>
    </xdr:to>
    <xdr:graphicFrame macro="">
      <xdr:nvGraphicFramePr>
        <xdr:cNvPr id="45" name="Chart 44">
          <a:extLst>
            <a:ext uri="{FF2B5EF4-FFF2-40B4-BE49-F238E27FC236}">
              <a16:creationId xmlns:a16="http://schemas.microsoft.com/office/drawing/2014/main" id="{E065485D-4AB3-4026-997F-BAC6E5BBF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371474</xdr:colOff>
      <xdr:row>5</xdr:row>
      <xdr:rowOff>47625</xdr:rowOff>
    </xdr:from>
    <xdr:to>
      <xdr:col>18</xdr:col>
      <xdr:colOff>266699</xdr:colOff>
      <xdr:row>7</xdr:row>
      <xdr:rowOff>9525</xdr:rowOff>
    </xdr:to>
    <xdr:sp macro="" textlink="">
      <xdr:nvSpPr>
        <xdr:cNvPr id="46" name="TextBox 45">
          <a:extLst>
            <a:ext uri="{FF2B5EF4-FFF2-40B4-BE49-F238E27FC236}">
              <a16:creationId xmlns:a16="http://schemas.microsoft.com/office/drawing/2014/main" id="{9010A38B-DE0F-9F85-E0AC-4E9C123680E9}"/>
            </a:ext>
          </a:extLst>
        </xdr:cNvPr>
        <xdr:cNvSpPr txBox="1"/>
      </xdr:nvSpPr>
      <xdr:spPr>
        <a:xfrm>
          <a:off x="9515474" y="952500"/>
          <a:ext cx="1724025" cy="323850"/>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0" i="0">
              <a:solidFill>
                <a:srgbClr val="13F235"/>
              </a:solidFill>
              <a:effectLst/>
              <a:latin typeface="+mn-lt"/>
              <a:ea typeface="+mn-ea"/>
              <a:cs typeface="+mn-cs"/>
            </a:rPr>
            <a:t>Quantity VS Sales</a:t>
          </a:r>
          <a:r>
            <a:rPr lang="en-US" sz="1600">
              <a:solidFill>
                <a:srgbClr val="13F235"/>
              </a:solidFill>
              <a:effectLst/>
              <a:latin typeface="+mn-lt"/>
              <a:ea typeface="+mn-ea"/>
              <a:cs typeface="+mn-cs"/>
            </a:rPr>
            <a:t> </a:t>
          </a:r>
          <a:endParaRPr lang="en-US" sz="1600">
            <a:solidFill>
              <a:srgbClr val="13F235"/>
            </a:solidFill>
            <a:effectLst/>
          </a:endParaRPr>
        </a:p>
        <a:p>
          <a:endParaRPr lang="en-US" sz="1100"/>
        </a:p>
      </xdr:txBody>
    </xdr:sp>
    <xdr:clientData/>
  </xdr:twoCellAnchor>
  <xdr:twoCellAnchor>
    <xdr:from>
      <xdr:col>0</xdr:col>
      <xdr:colOff>508634</xdr:colOff>
      <xdr:row>12</xdr:row>
      <xdr:rowOff>50799</xdr:rowOff>
    </xdr:from>
    <xdr:to>
      <xdr:col>4</xdr:col>
      <xdr:colOff>38100</xdr:colOff>
      <xdr:row>14</xdr:row>
      <xdr:rowOff>107950</xdr:rowOff>
    </xdr:to>
    <xdr:sp macro="" textlink="">
      <xdr:nvSpPr>
        <xdr:cNvPr id="47" name="TextBox 46">
          <a:extLst>
            <a:ext uri="{FF2B5EF4-FFF2-40B4-BE49-F238E27FC236}">
              <a16:creationId xmlns:a16="http://schemas.microsoft.com/office/drawing/2014/main" id="{D5509A38-F713-432F-853B-7F45886A4C5F}"/>
            </a:ext>
          </a:extLst>
        </xdr:cNvPr>
        <xdr:cNvSpPr txBox="1"/>
      </xdr:nvSpPr>
      <xdr:spPr>
        <a:xfrm>
          <a:off x="508634" y="2222499"/>
          <a:ext cx="1967866" cy="419101"/>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AVG Of Quantity</a:t>
          </a:r>
          <a:r>
            <a:rPr lang="en-US" sz="1800">
              <a:solidFill>
                <a:srgbClr val="13F235"/>
              </a:solidFill>
              <a:effectLst/>
            </a:rPr>
            <a:t> </a:t>
          </a:r>
          <a:endParaRPr lang="en-US" sz="1800">
            <a:solidFill>
              <a:srgbClr val="13F235"/>
            </a:solidFill>
          </a:endParaRPr>
        </a:p>
      </xdr:txBody>
    </xdr:sp>
    <xdr:clientData/>
  </xdr:twoCellAnchor>
  <xdr:twoCellAnchor>
    <xdr:from>
      <xdr:col>0</xdr:col>
      <xdr:colOff>461009</xdr:colOff>
      <xdr:row>19</xdr:row>
      <xdr:rowOff>101600</xdr:rowOff>
    </xdr:from>
    <xdr:to>
      <xdr:col>4</xdr:col>
      <xdr:colOff>47625</xdr:colOff>
      <xdr:row>21</xdr:row>
      <xdr:rowOff>111125</xdr:rowOff>
    </xdr:to>
    <xdr:sp macro="" textlink="">
      <xdr:nvSpPr>
        <xdr:cNvPr id="48" name="TextBox 47">
          <a:extLst>
            <a:ext uri="{FF2B5EF4-FFF2-40B4-BE49-F238E27FC236}">
              <a16:creationId xmlns:a16="http://schemas.microsoft.com/office/drawing/2014/main" id="{711D0154-F7D7-4440-9D04-E3A501811ED7}"/>
            </a:ext>
          </a:extLst>
        </xdr:cNvPr>
        <xdr:cNvSpPr txBox="1"/>
      </xdr:nvSpPr>
      <xdr:spPr>
        <a:xfrm>
          <a:off x="461009" y="3540125"/>
          <a:ext cx="2025016" cy="3714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3F235"/>
              </a:solidFill>
              <a:effectLst/>
              <a:latin typeface="+mn-lt"/>
              <a:ea typeface="+mn-ea"/>
              <a:cs typeface="+mn-cs"/>
            </a:rPr>
            <a:t>AVG Of  Discount</a:t>
          </a:r>
          <a:r>
            <a:rPr lang="en-US" sz="1800">
              <a:solidFill>
                <a:srgbClr val="13F235"/>
              </a:solidFill>
              <a:effectLst/>
            </a:rPr>
            <a:t> </a:t>
          </a:r>
          <a:endParaRPr lang="en-US" sz="1800">
            <a:solidFill>
              <a:srgbClr val="13F235"/>
            </a:solidFill>
          </a:endParaRPr>
        </a:p>
      </xdr:txBody>
    </xdr:sp>
    <xdr:clientData/>
  </xdr:twoCellAnchor>
  <xdr:twoCellAnchor>
    <xdr:from>
      <xdr:col>0</xdr:col>
      <xdr:colOff>441958</xdr:colOff>
      <xdr:row>26</xdr:row>
      <xdr:rowOff>104775</xdr:rowOff>
    </xdr:from>
    <xdr:to>
      <xdr:col>3</xdr:col>
      <xdr:colOff>514349</xdr:colOff>
      <xdr:row>28</xdr:row>
      <xdr:rowOff>171451</xdr:rowOff>
    </xdr:to>
    <xdr:sp macro="" textlink="">
      <xdr:nvSpPr>
        <xdr:cNvPr id="49" name="TextBox 48">
          <a:extLst>
            <a:ext uri="{FF2B5EF4-FFF2-40B4-BE49-F238E27FC236}">
              <a16:creationId xmlns:a16="http://schemas.microsoft.com/office/drawing/2014/main" id="{23D24803-F494-4731-B07D-67F94FCF2197}"/>
            </a:ext>
          </a:extLst>
        </xdr:cNvPr>
        <xdr:cNvSpPr txBox="1"/>
      </xdr:nvSpPr>
      <xdr:spPr>
        <a:xfrm>
          <a:off x="441958" y="4810125"/>
          <a:ext cx="1901191" cy="428626"/>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13F235"/>
              </a:solidFill>
            </a:rPr>
            <a:t>AVG Of Price Each</a:t>
          </a:r>
        </a:p>
      </xdr:txBody>
    </xdr:sp>
    <xdr:clientData/>
  </xdr:twoCellAnchor>
  <xdr:twoCellAnchor>
    <xdr:from>
      <xdr:col>15</xdr:col>
      <xdr:colOff>352424</xdr:colOff>
      <xdr:row>19</xdr:row>
      <xdr:rowOff>95248</xdr:rowOff>
    </xdr:from>
    <xdr:to>
      <xdr:col>18</xdr:col>
      <xdr:colOff>400049</xdr:colOff>
      <xdr:row>22</xdr:row>
      <xdr:rowOff>47624</xdr:rowOff>
    </xdr:to>
    <xdr:sp macro="" textlink="">
      <xdr:nvSpPr>
        <xdr:cNvPr id="50" name="TextBox 49">
          <a:extLst>
            <a:ext uri="{FF2B5EF4-FFF2-40B4-BE49-F238E27FC236}">
              <a16:creationId xmlns:a16="http://schemas.microsoft.com/office/drawing/2014/main" id="{E307042B-361D-47AE-A67B-8AD132144E94}"/>
            </a:ext>
          </a:extLst>
        </xdr:cNvPr>
        <xdr:cNvSpPr txBox="1"/>
      </xdr:nvSpPr>
      <xdr:spPr>
        <a:xfrm>
          <a:off x="9496424" y="3533773"/>
          <a:ext cx="1876425" cy="495301"/>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3F235"/>
              </a:solidFill>
              <a:effectLst/>
              <a:latin typeface="+mn-lt"/>
              <a:ea typeface="+mn-ea"/>
              <a:cs typeface="+mn-cs"/>
            </a:rPr>
            <a:t>Discount VS Sales</a:t>
          </a:r>
          <a:r>
            <a:rPr lang="en-US" sz="1600">
              <a:solidFill>
                <a:srgbClr val="13F235"/>
              </a:solidFill>
              <a:effectLst/>
            </a:rPr>
            <a:t> </a:t>
          </a:r>
          <a:endParaRPr lang="en-US" sz="1600">
            <a:solidFill>
              <a:srgbClr val="13F235"/>
            </a:solidFill>
          </a:endParaRPr>
        </a:p>
      </xdr:txBody>
    </xdr:sp>
    <xdr:clientData/>
  </xdr:twoCellAnchor>
  <xdr:twoCellAnchor>
    <xdr:from>
      <xdr:col>1</xdr:col>
      <xdr:colOff>428625</xdr:colOff>
      <xdr:row>15</xdr:row>
      <xdr:rowOff>130810</xdr:rowOff>
    </xdr:from>
    <xdr:to>
      <xdr:col>2</xdr:col>
      <xdr:colOff>504825</xdr:colOff>
      <xdr:row>18</xdr:row>
      <xdr:rowOff>73660</xdr:rowOff>
    </xdr:to>
    <xdr:sp macro="" textlink="'Pivot tables'!AG7">
      <xdr:nvSpPr>
        <xdr:cNvPr id="51" name="TextBox 50">
          <a:extLst>
            <a:ext uri="{FF2B5EF4-FFF2-40B4-BE49-F238E27FC236}">
              <a16:creationId xmlns:a16="http://schemas.microsoft.com/office/drawing/2014/main" id="{39672631-DBFE-AFD4-3AD4-1398326EC438}"/>
            </a:ext>
          </a:extLst>
        </xdr:cNvPr>
        <xdr:cNvSpPr txBox="1"/>
      </xdr:nvSpPr>
      <xdr:spPr>
        <a:xfrm>
          <a:off x="1038225" y="2845435"/>
          <a:ext cx="685800" cy="4857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466826-E24F-446B-A8E5-CB739495F41C}" type="TxLink">
            <a:rPr lang="en-US" sz="2400" b="0" i="0" u="none" strike="noStrike">
              <a:solidFill>
                <a:srgbClr val="4AB0D9"/>
              </a:solidFill>
              <a:latin typeface="Aptos Narrow"/>
            </a:rPr>
            <a:pPr/>
            <a:t>35</a:t>
          </a:fld>
          <a:endParaRPr lang="en-US" sz="1100">
            <a:solidFill>
              <a:srgbClr val="4AB0D9"/>
            </a:solidFill>
          </a:endParaRPr>
        </a:p>
      </xdr:txBody>
    </xdr:sp>
    <xdr:clientData/>
  </xdr:twoCellAnchor>
  <xdr:twoCellAnchor>
    <xdr:from>
      <xdr:col>1</xdr:col>
      <xdr:colOff>381000</xdr:colOff>
      <xdr:row>22</xdr:row>
      <xdr:rowOff>153035</xdr:rowOff>
    </xdr:from>
    <xdr:to>
      <xdr:col>2</xdr:col>
      <xdr:colOff>533400</xdr:colOff>
      <xdr:row>25</xdr:row>
      <xdr:rowOff>63500</xdr:rowOff>
    </xdr:to>
    <xdr:sp macro="" textlink="'Pivot tables'!F9">
      <xdr:nvSpPr>
        <xdr:cNvPr id="1025" name="Text Box 1">
          <a:extLst>
            <a:ext uri="{FF2B5EF4-FFF2-40B4-BE49-F238E27FC236}">
              <a16:creationId xmlns:a16="http://schemas.microsoft.com/office/drawing/2014/main" id="{C7BED54F-5BA5-EE78-7ACD-A7908BA21E50}"/>
            </a:ext>
          </a:extLst>
        </xdr:cNvPr>
        <xdr:cNvSpPr txBox="1">
          <a:spLocks noChangeArrowheads="1"/>
        </xdr:cNvSpPr>
      </xdr:nvSpPr>
      <xdr:spPr bwMode="auto">
        <a:xfrm>
          <a:off x="990600" y="4134485"/>
          <a:ext cx="762000" cy="453390"/>
        </a:xfrm>
        <a:prstGeom prst="rect">
          <a:avLst/>
        </a:prstGeom>
        <a:solidFill>
          <a:srgbClr val="0B0B0D"/>
        </a:solidFill>
        <a:ln w="9525">
          <a:solidFill>
            <a:srgbClr val="000000"/>
          </a:solidFill>
          <a:miter lim="800000"/>
          <a:headEnd/>
          <a:tailEnd/>
        </a:ln>
      </xdr:spPr>
      <xdr:txBody>
        <a:bodyPr vertOverflow="clip" wrap="square" lIns="27432" tIns="27432" rIns="0" bIns="0" anchor="t" upright="1"/>
        <a:lstStyle/>
        <a:p>
          <a:pPr algn="l" rtl="0">
            <a:defRPr sz="1000"/>
          </a:pPr>
          <a:fld id="{15FB33CE-683F-4E50-A556-C4D592565FC7}" type="TxLink">
            <a:rPr lang="en-US" sz="2400" b="0" i="0" u="none" strike="noStrike" baseline="0">
              <a:solidFill>
                <a:srgbClr val="4AB0D9"/>
              </a:solidFill>
              <a:latin typeface="Aptos Narrow"/>
            </a:rPr>
            <a:pPr algn="l" rtl="0">
              <a:defRPr sz="1000"/>
            </a:pPr>
            <a:t>10%</a:t>
          </a:fld>
          <a:endParaRPr lang="en-US" sz="1100" b="0" i="0" u="none" strike="noStrike" baseline="0">
            <a:solidFill>
              <a:srgbClr val="4AB0D9"/>
            </a:solidFill>
            <a:latin typeface="Aptos Narrow"/>
          </a:endParaRPr>
        </a:p>
      </xdr:txBody>
    </xdr:sp>
    <xdr:clientData/>
  </xdr:twoCellAnchor>
  <xdr:twoCellAnchor>
    <xdr:from>
      <xdr:col>1</xdr:col>
      <xdr:colOff>400049</xdr:colOff>
      <xdr:row>29</xdr:row>
      <xdr:rowOff>142875</xdr:rowOff>
    </xdr:from>
    <xdr:to>
      <xdr:col>2</xdr:col>
      <xdr:colOff>514350</xdr:colOff>
      <xdr:row>32</xdr:row>
      <xdr:rowOff>53340</xdr:rowOff>
    </xdr:to>
    <xdr:sp macro="" textlink="'Pivot tables'!AO7">
      <xdr:nvSpPr>
        <xdr:cNvPr id="1026" name="Text Box 2">
          <a:extLst>
            <a:ext uri="{FF2B5EF4-FFF2-40B4-BE49-F238E27FC236}">
              <a16:creationId xmlns:a16="http://schemas.microsoft.com/office/drawing/2014/main" id="{DEF687C6-0417-C44F-27DE-FE3074F1CD43}"/>
            </a:ext>
          </a:extLst>
        </xdr:cNvPr>
        <xdr:cNvSpPr txBox="1">
          <a:spLocks noChangeArrowheads="1"/>
        </xdr:cNvSpPr>
      </xdr:nvSpPr>
      <xdr:spPr bwMode="auto">
        <a:xfrm>
          <a:off x="1009649" y="5391150"/>
          <a:ext cx="723901" cy="453390"/>
        </a:xfrm>
        <a:prstGeom prst="rect">
          <a:avLst/>
        </a:prstGeom>
        <a:solidFill>
          <a:srgbClr val="0B0B0D"/>
        </a:solidFill>
        <a:ln w="9525">
          <a:noFill/>
          <a:miter lim="800000"/>
          <a:headEnd/>
          <a:tailEnd/>
        </a:ln>
      </xdr:spPr>
      <xdr:txBody>
        <a:bodyPr vertOverflow="clip" wrap="square" lIns="27432" tIns="27432" rIns="0" bIns="0" anchor="t" upright="1"/>
        <a:lstStyle/>
        <a:p>
          <a:pPr algn="l" rtl="0">
            <a:defRPr sz="1000"/>
          </a:pPr>
          <a:fld id="{1665F739-8199-46CF-99E4-0259621F67E2}" type="TxLink">
            <a:rPr lang="en-US" sz="2400" b="0" i="0" u="none" strike="noStrike" baseline="0">
              <a:solidFill>
                <a:srgbClr val="4AB0D9"/>
              </a:solidFill>
              <a:latin typeface="Aptos Narrow"/>
            </a:rPr>
            <a:pPr algn="l" rtl="0">
              <a:defRPr sz="1000"/>
            </a:pPr>
            <a:t>$84</a:t>
          </a:fld>
          <a:endParaRPr lang="en-US" sz="1100" b="0" i="0" u="none" strike="noStrike" baseline="0">
            <a:solidFill>
              <a:srgbClr val="4AB0D9"/>
            </a:solidFill>
            <a:latin typeface="Aptos Narrow"/>
          </a:endParaRPr>
        </a:p>
      </xdr:txBody>
    </xdr:sp>
    <xdr:clientData/>
  </xdr:twoCellAnchor>
  <xdr:twoCellAnchor>
    <xdr:from>
      <xdr:col>21</xdr:col>
      <xdr:colOff>114301</xdr:colOff>
      <xdr:row>37</xdr:row>
      <xdr:rowOff>9525</xdr:rowOff>
    </xdr:from>
    <xdr:to>
      <xdr:col>22</xdr:col>
      <xdr:colOff>285751</xdr:colOff>
      <xdr:row>39</xdr:row>
      <xdr:rowOff>114300</xdr:rowOff>
    </xdr:to>
    <xdr:sp macro="" textlink="">
      <xdr:nvSpPr>
        <xdr:cNvPr id="62" name="TextBox 61">
          <a:extLst>
            <a:ext uri="{FF2B5EF4-FFF2-40B4-BE49-F238E27FC236}">
              <a16:creationId xmlns:a16="http://schemas.microsoft.com/office/drawing/2014/main" id="{A68622EB-9E0D-4BE6-9AAA-94E7EBD3FDB5}"/>
            </a:ext>
          </a:extLst>
        </xdr:cNvPr>
        <xdr:cNvSpPr txBox="1"/>
      </xdr:nvSpPr>
      <xdr:spPr>
        <a:xfrm>
          <a:off x="12915901" y="6705600"/>
          <a:ext cx="781050" cy="46672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Shipped</a:t>
          </a:r>
        </a:p>
      </xdr:txBody>
    </xdr:sp>
    <xdr:clientData/>
  </xdr:twoCellAnchor>
  <xdr:twoCellAnchor>
    <xdr:from>
      <xdr:col>21</xdr:col>
      <xdr:colOff>19050</xdr:colOff>
      <xdr:row>41</xdr:row>
      <xdr:rowOff>57151</xdr:rowOff>
    </xdr:from>
    <xdr:to>
      <xdr:col>22</xdr:col>
      <xdr:colOff>323850</xdr:colOff>
      <xdr:row>43</xdr:row>
      <xdr:rowOff>95251</xdr:rowOff>
    </xdr:to>
    <xdr:sp macro="" textlink="">
      <xdr:nvSpPr>
        <xdr:cNvPr id="63" name="TextBox 62">
          <a:extLst>
            <a:ext uri="{FF2B5EF4-FFF2-40B4-BE49-F238E27FC236}">
              <a16:creationId xmlns:a16="http://schemas.microsoft.com/office/drawing/2014/main" id="{475A9244-BA8C-4F0C-9FE1-4597D2B95F48}"/>
            </a:ext>
          </a:extLst>
        </xdr:cNvPr>
        <xdr:cNvSpPr txBox="1"/>
      </xdr:nvSpPr>
      <xdr:spPr>
        <a:xfrm>
          <a:off x="12820650" y="7477126"/>
          <a:ext cx="914400" cy="400050"/>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Cancelled</a:t>
          </a:r>
          <a:endParaRPr lang="en-US" sz="1600">
            <a:solidFill>
              <a:srgbClr val="13F235"/>
            </a:solidFill>
          </a:endParaRPr>
        </a:p>
      </xdr:txBody>
    </xdr:sp>
    <xdr:clientData/>
  </xdr:twoCellAnchor>
  <xdr:twoCellAnchor>
    <xdr:from>
      <xdr:col>21</xdr:col>
      <xdr:colOff>57150</xdr:colOff>
      <xdr:row>54</xdr:row>
      <xdr:rowOff>152400</xdr:rowOff>
    </xdr:from>
    <xdr:to>
      <xdr:col>22</xdr:col>
      <xdr:colOff>371475</xdr:colOff>
      <xdr:row>56</xdr:row>
      <xdr:rowOff>133350</xdr:rowOff>
    </xdr:to>
    <xdr:sp macro="" textlink="">
      <xdr:nvSpPr>
        <xdr:cNvPr id="1024" name="TextBox 1023">
          <a:extLst>
            <a:ext uri="{FF2B5EF4-FFF2-40B4-BE49-F238E27FC236}">
              <a16:creationId xmlns:a16="http://schemas.microsoft.com/office/drawing/2014/main" id="{A94BCC6F-A1E3-4093-A55F-2019B4BE0BBE}"/>
            </a:ext>
          </a:extLst>
        </xdr:cNvPr>
        <xdr:cNvSpPr txBox="1"/>
      </xdr:nvSpPr>
      <xdr:spPr>
        <a:xfrm>
          <a:off x="12858750" y="9925050"/>
          <a:ext cx="923925" cy="342900"/>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In Process</a:t>
          </a:r>
        </a:p>
      </xdr:txBody>
    </xdr:sp>
    <xdr:clientData/>
  </xdr:twoCellAnchor>
  <xdr:twoCellAnchor>
    <xdr:from>
      <xdr:col>22</xdr:col>
      <xdr:colOff>123825</xdr:colOff>
      <xdr:row>28</xdr:row>
      <xdr:rowOff>85725</xdr:rowOff>
    </xdr:from>
    <xdr:to>
      <xdr:col>23</xdr:col>
      <xdr:colOff>371475</xdr:colOff>
      <xdr:row>30</xdr:row>
      <xdr:rowOff>133350</xdr:rowOff>
    </xdr:to>
    <xdr:sp macro="" textlink="">
      <xdr:nvSpPr>
        <xdr:cNvPr id="1027" name="TextBox 1026">
          <a:extLst>
            <a:ext uri="{FF2B5EF4-FFF2-40B4-BE49-F238E27FC236}">
              <a16:creationId xmlns:a16="http://schemas.microsoft.com/office/drawing/2014/main" id="{62B7005A-F7B3-4B1C-B48B-8961CB946DC0}"/>
            </a:ext>
          </a:extLst>
        </xdr:cNvPr>
        <xdr:cNvSpPr txBox="1"/>
      </xdr:nvSpPr>
      <xdr:spPr>
        <a:xfrm>
          <a:off x="13535025" y="5153025"/>
          <a:ext cx="85725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Disputed</a:t>
          </a:r>
        </a:p>
      </xdr:txBody>
    </xdr:sp>
    <xdr:clientData/>
  </xdr:twoCellAnchor>
  <xdr:twoCellAnchor>
    <xdr:from>
      <xdr:col>21</xdr:col>
      <xdr:colOff>133350</xdr:colOff>
      <xdr:row>50</xdr:row>
      <xdr:rowOff>47625</xdr:rowOff>
    </xdr:from>
    <xdr:to>
      <xdr:col>22</xdr:col>
      <xdr:colOff>295275</xdr:colOff>
      <xdr:row>52</xdr:row>
      <xdr:rowOff>95250</xdr:rowOff>
    </xdr:to>
    <xdr:sp macro="" textlink="">
      <xdr:nvSpPr>
        <xdr:cNvPr id="1028" name="TextBox 1027">
          <a:extLst>
            <a:ext uri="{FF2B5EF4-FFF2-40B4-BE49-F238E27FC236}">
              <a16:creationId xmlns:a16="http://schemas.microsoft.com/office/drawing/2014/main" id="{1BDECD81-2B33-4EC9-8412-AE441793D3D5}"/>
            </a:ext>
          </a:extLst>
        </xdr:cNvPr>
        <xdr:cNvSpPr txBox="1"/>
      </xdr:nvSpPr>
      <xdr:spPr>
        <a:xfrm>
          <a:off x="12934950" y="9096375"/>
          <a:ext cx="771525"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On Hold</a:t>
          </a:r>
        </a:p>
      </xdr:txBody>
    </xdr:sp>
    <xdr:clientData/>
  </xdr:twoCellAnchor>
  <xdr:twoCellAnchor>
    <xdr:from>
      <xdr:col>21</xdr:col>
      <xdr:colOff>95250</xdr:colOff>
      <xdr:row>45</xdr:row>
      <xdr:rowOff>142875</xdr:rowOff>
    </xdr:from>
    <xdr:to>
      <xdr:col>22</xdr:col>
      <xdr:colOff>342900</xdr:colOff>
      <xdr:row>48</xdr:row>
      <xdr:rowOff>9525</xdr:rowOff>
    </xdr:to>
    <xdr:sp macro="" textlink="">
      <xdr:nvSpPr>
        <xdr:cNvPr id="1029" name="TextBox 1028">
          <a:extLst>
            <a:ext uri="{FF2B5EF4-FFF2-40B4-BE49-F238E27FC236}">
              <a16:creationId xmlns:a16="http://schemas.microsoft.com/office/drawing/2014/main" id="{CB644254-2A97-4FFE-AAF6-C556A3C3A639}"/>
            </a:ext>
          </a:extLst>
        </xdr:cNvPr>
        <xdr:cNvSpPr txBox="1"/>
      </xdr:nvSpPr>
      <xdr:spPr>
        <a:xfrm>
          <a:off x="12896850" y="8286750"/>
          <a:ext cx="85725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Resolved</a:t>
          </a:r>
        </a:p>
      </xdr:txBody>
    </xdr:sp>
    <xdr:clientData/>
  </xdr:twoCellAnchor>
  <xdr:twoCellAnchor>
    <xdr:from>
      <xdr:col>21</xdr:col>
      <xdr:colOff>480059</xdr:colOff>
      <xdr:row>4</xdr:row>
      <xdr:rowOff>161924</xdr:rowOff>
    </xdr:from>
    <xdr:to>
      <xdr:col>25</xdr:col>
      <xdr:colOff>175259</xdr:colOff>
      <xdr:row>32</xdr:row>
      <xdr:rowOff>114299</xdr:rowOff>
    </xdr:to>
    <xdr:sp macro="" textlink="">
      <xdr:nvSpPr>
        <xdr:cNvPr id="1030" name="Rectangle: Rounded Corners 1029">
          <a:extLst>
            <a:ext uri="{FF2B5EF4-FFF2-40B4-BE49-F238E27FC236}">
              <a16:creationId xmlns:a16="http://schemas.microsoft.com/office/drawing/2014/main" id="{F73755B6-B654-1884-1178-42F078503F27}"/>
            </a:ext>
          </a:extLst>
        </xdr:cNvPr>
        <xdr:cNvSpPr/>
      </xdr:nvSpPr>
      <xdr:spPr>
        <a:xfrm>
          <a:off x="13281659" y="885824"/>
          <a:ext cx="2133600" cy="5019675"/>
        </a:xfrm>
        <a:prstGeom prst="roundRect">
          <a:avLst/>
        </a:prstGeom>
        <a:solidFill>
          <a:srgbClr val="0B0B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133351</xdr:colOff>
      <xdr:row>6</xdr:row>
      <xdr:rowOff>76200</xdr:rowOff>
    </xdr:from>
    <xdr:to>
      <xdr:col>23</xdr:col>
      <xdr:colOff>304801</xdr:colOff>
      <xdr:row>9</xdr:row>
      <xdr:rowOff>0</xdr:rowOff>
    </xdr:to>
    <xdr:sp macro="" textlink="">
      <xdr:nvSpPr>
        <xdr:cNvPr id="1031" name="TextBox 1030">
          <a:extLst>
            <a:ext uri="{FF2B5EF4-FFF2-40B4-BE49-F238E27FC236}">
              <a16:creationId xmlns:a16="http://schemas.microsoft.com/office/drawing/2014/main" id="{AB797B64-46B0-631C-85C0-BD0D972AD61D}"/>
            </a:ext>
          </a:extLst>
        </xdr:cNvPr>
        <xdr:cNvSpPr txBox="1"/>
      </xdr:nvSpPr>
      <xdr:spPr>
        <a:xfrm>
          <a:off x="13544551" y="1162050"/>
          <a:ext cx="781050" cy="46672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Shipped</a:t>
          </a:r>
        </a:p>
      </xdr:txBody>
    </xdr:sp>
    <xdr:clientData/>
  </xdr:twoCellAnchor>
  <xdr:twoCellAnchor>
    <xdr:from>
      <xdr:col>22</xdr:col>
      <xdr:colOff>47625</xdr:colOff>
      <xdr:row>11</xdr:row>
      <xdr:rowOff>9526</xdr:rowOff>
    </xdr:from>
    <xdr:to>
      <xdr:col>23</xdr:col>
      <xdr:colOff>352425</xdr:colOff>
      <xdr:row>13</xdr:row>
      <xdr:rowOff>47626</xdr:rowOff>
    </xdr:to>
    <xdr:sp macro="" textlink="">
      <xdr:nvSpPr>
        <xdr:cNvPr id="1032" name="TextBox 1031">
          <a:extLst>
            <a:ext uri="{FF2B5EF4-FFF2-40B4-BE49-F238E27FC236}">
              <a16:creationId xmlns:a16="http://schemas.microsoft.com/office/drawing/2014/main" id="{2815F1E2-6C41-CCE8-7CC9-FA1C74E753BE}"/>
            </a:ext>
          </a:extLst>
        </xdr:cNvPr>
        <xdr:cNvSpPr txBox="1"/>
      </xdr:nvSpPr>
      <xdr:spPr>
        <a:xfrm>
          <a:off x="13458825" y="2000251"/>
          <a:ext cx="914400" cy="400050"/>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Cancelled</a:t>
          </a:r>
          <a:endParaRPr lang="en-US" sz="1600">
            <a:solidFill>
              <a:srgbClr val="13F235"/>
            </a:solidFill>
          </a:endParaRPr>
        </a:p>
      </xdr:txBody>
    </xdr:sp>
    <xdr:clientData/>
  </xdr:twoCellAnchor>
  <xdr:twoCellAnchor>
    <xdr:from>
      <xdr:col>22</xdr:col>
      <xdr:colOff>114300</xdr:colOff>
      <xdr:row>24</xdr:row>
      <xdr:rowOff>76200</xdr:rowOff>
    </xdr:from>
    <xdr:to>
      <xdr:col>23</xdr:col>
      <xdr:colOff>428625</xdr:colOff>
      <xdr:row>26</xdr:row>
      <xdr:rowOff>57150</xdr:rowOff>
    </xdr:to>
    <xdr:sp macro="" textlink="">
      <xdr:nvSpPr>
        <xdr:cNvPr id="1033" name="TextBox 1032">
          <a:extLst>
            <a:ext uri="{FF2B5EF4-FFF2-40B4-BE49-F238E27FC236}">
              <a16:creationId xmlns:a16="http://schemas.microsoft.com/office/drawing/2014/main" id="{12CD196A-8C3F-5C5A-F079-6F99A4C41112}"/>
            </a:ext>
          </a:extLst>
        </xdr:cNvPr>
        <xdr:cNvSpPr txBox="1"/>
      </xdr:nvSpPr>
      <xdr:spPr>
        <a:xfrm>
          <a:off x="13525500" y="4419600"/>
          <a:ext cx="923925" cy="342900"/>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In Process</a:t>
          </a:r>
        </a:p>
      </xdr:txBody>
    </xdr:sp>
    <xdr:clientData/>
  </xdr:twoCellAnchor>
  <xdr:twoCellAnchor>
    <xdr:from>
      <xdr:col>22</xdr:col>
      <xdr:colOff>152400</xdr:colOff>
      <xdr:row>19</xdr:row>
      <xdr:rowOff>104775</xdr:rowOff>
    </xdr:from>
    <xdr:to>
      <xdr:col>23</xdr:col>
      <xdr:colOff>314325</xdr:colOff>
      <xdr:row>21</xdr:row>
      <xdr:rowOff>152400</xdr:rowOff>
    </xdr:to>
    <xdr:sp macro="" textlink="">
      <xdr:nvSpPr>
        <xdr:cNvPr id="1034" name="TextBox 1033">
          <a:extLst>
            <a:ext uri="{FF2B5EF4-FFF2-40B4-BE49-F238E27FC236}">
              <a16:creationId xmlns:a16="http://schemas.microsoft.com/office/drawing/2014/main" id="{0BA2A3AD-81B8-F3D4-E3DE-97EDC88EFA06}"/>
            </a:ext>
          </a:extLst>
        </xdr:cNvPr>
        <xdr:cNvSpPr txBox="1"/>
      </xdr:nvSpPr>
      <xdr:spPr>
        <a:xfrm>
          <a:off x="13563600" y="3543300"/>
          <a:ext cx="771525"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On Hold</a:t>
          </a:r>
        </a:p>
      </xdr:txBody>
    </xdr:sp>
    <xdr:clientData/>
  </xdr:twoCellAnchor>
  <xdr:twoCellAnchor>
    <xdr:from>
      <xdr:col>22</xdr:col>
      <xdr:colOff>104775</xdr:colOff>
      <xdr:row>15</xdr:row>
      <xdr:rowOff>28575</xdr:rowOff>
    </xdr:from>
    <xdr:to>
      <xdr:col>23</xdr:col>
      <xdr:colOff>352425</xdr:colOff>
      <xdr:row>17</xdr:row>
      <xdr:rowOff>76200</xdr:rowOff>
    </xdr:to>
    <xdr:sp macro="" textlink="">
      <xdr:nvSpPr>
        <xdr:cNvPr id="1035" name="TextBox 1034">
          <a:extLst>
            <a:ext uri="{FF2B5EF4-FFF2-40B4-BE49-F238E27FC236}">
              <a16:creationId xmlns:a16="http://schemas.microsoft.com/office/drawing/2014/main" id="{91F85FD9-0DF6-24E1-9922-5CFDC832C018}"/>
            </a:ext>
          </a:extLst>
        </xdr:cNvPr>
        <xdr:cNvSpPr txBox="1"/>
      </xdr:nvSpPr>
      <xdr:spPr>
        <a:xfrm>
          <a:off x="13515975" y="2743200"/>
          <a:ext cx="85725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Resolved</a:t>
          </a:r>
        </a:p>
      </xdr:txBody>
    </xdr:sp>
    <xdr:clientData/>
  </xdr:twoCellAnchor>
  <xdr:twoCellAnchor>
    <xdr:from>
      <xdr:col>22</xdr:col>
      <xdr:colOff>95252</xdr:colOff>
      <xdr:row>6</xdr:row>
      <xdr:rowOff>114300</xdr:rowOff>
    </xdr:from>
    <xdr:to>
      <xdr:col>23</xdr:col>
      <xdr:colOff>266702</xdr:colOff>
      <xdr:row>9</xdr:row>
      <xdr:rowOff>38100</xdr:rowOff>
    </xdr:to>
    <xdr:sp macro="" textlink="">
      <xdr:nvSpPr>
        <xdr:cNvPr id="1036" name="TextBox 1035">
          <a:extLst>
            <a:ext uri="{FF2B5EF4-FFF2-40B4-BE49-F238E27FC236}">
              <a16:creationId xmlns:a16="http://schemas.microsoft.com/office/drawing/2014/main" id="{5C77DD7F-D20B-43A3-95F0-61AD1DA434AF}"/>
            </a:ext>
          </a:extLst>
        </xdr:cNvPr>
        <xdr:cNvSpPr txBox="1"/>
      </xdr:nvSpPr>
      <xdr:spPr>
        <a:xfrm>
          <a:off x="13506452" y="1200150"/>
          <a:ext cx="781050" cy="46672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Shipped</a:t>
          </a:r>
        </a:p>
      </xdr:txBody>
    </xdr:sp>
    <xdr:clientData/>
  </xdr:twoCellAnchor>
  <xdr:twoCellAnchor>
    <xdr:from>
      <xdr:col>22</xdr:col>
      <xdr:colOff>219076</xdr:colOff>
      <xdr:row>28</xdr:row>
      <xdr:rowOff>85725</xdr:rowOff>
    </xdr:from>
    <xdr:to>
      <xdr:col>23</xdr:col>
      <xdr:colOff>466726</xdr:colOff>
      <xdr:row>30</xdr:row>
      <xdr:rowOff>133350</xdr:rowOff>
    </xdr:to>
    <xdr:sp macro="" textlink="">
      <xdr:nvSpPr>
        <xdr:cNvPr id="1039" name="TextBox 1038">
          <a:extLst>
            <a:ext uri="{FF2B5EF4-FFF2-40B4-BE49-F238E27FC236}">
              <a16:creationId xmlns:a16="http://schemas.microsoft.com/office/drawing/2014/main" id="{7B506F4E-727D-482C-9635-5E62C1156F29}"/>
            </a:ext>
          </a:extLst>
        </xdr:cNvPr>
        <xdr:cNvSpPr txBox="1"/>
      </xdr:nvSpPr>
      <xdr:spPr>
        <a:xfrm>
          <a:off x="13630276" y="5153025"/>
          <a:ext cx="85725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3F235"/>
              </a:solidFill>
            </a:rPr>
            <a:t>Disputed</a:t>
          </a:r>
        </a:p>
      </xdr:txBody>
    </xdr:sp>
    <xdr:clientData/>
  </xdr:twoCellAnchor>
  <xdr:twoCellAnchor>
    <xdr:from>
      <xdr:col>23</xdr:col>
      <xdr:colOff>409575</xdr:colOff>
      <xdr:row>6</xdr:row>
      <xdr:rowOff>76200</xdr:rowOff>
    </xdr:from>
    <xdr:to>
      <xdr:col>25</xdr:col>
      <xdr:colOff>114300</xdr:colOff>
      <xdr:row>8</xdr:row>
      <xdr:rowOff>123825</xdr:rowOff>
    </xdr:to>
    <xdr:sp macro="" textlink="'Pivot tables'!AC15">
      <xdr:nvSpPr>
        <xdr:cNvPr id="1042" name="TextBox 1041">
          <a:extLst>
            <a:ext uri="{FF2B5EF4-FFF2-40B4-BE49-F238E27FC236}">
              <a16:creationId xmlns:a16="http://schemas.microsoft.com/office/drawing/2014/main" id="{AB00D6D2-A13F-9572-3F75-7D7E3D49CE43}"/>
            </a:ext>
          </a:extLst>
        </xdr:cNvPr>
        <xdr:cNvSpPr txBox="1"/>
      </xdr:nvSpPr>
      <xdr:spPr>
        <a:xfrm>
          <a:off x="14430375" y="1162050"/>
          <a:ext cx="923925"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4B84CD-2543-419B-AF01-32F701C444B7}" type="TxLink">
            <a:rPr lang="en-US" sz="2000" b="0" i="0" u="none" strike="noStrike">
              <a:solidFill>
                <a:srgbClr val="4AB0D9"/>
              </a:solidFill>
              <a:latin typeface="Aptos Narrow"/>
            </a:rPr>
            <a:pPr/>
            <a:t>92.7%</a:t>
          </a:fld>
          <a:endParaRPr lang="en-US" sz="1100">
            <a:solidFill>
              <a:srgbClr val="4AB0D9"/>
            </a:solidFill>
          </a:endParaRPr>
        </a:p>
      </xdr:txBody>
    </xdr:sp>
    <xdr:clientData/>
  </xdr:twoCellAnchor>
  <xdr:twoCellAnchor>
    <xdr:from>
      <xdr:col>23</xdr:col>
      <xdr:colOff>476250</xdr:colOff>
      <xdr:row>10</xdr:row>
      <xdr:rowOff>161925</xdr:rowOff>
    </xdr:from>
    <xdr:to>
      <xdr:col>25</xdr:col>
      <xdr:colOff>0</xdr:colOff>
      <xdr:row>13</xdr:row>
      <xdr:rowOff>28575</xdr:rowOff>
    </xdr:to>
    <xdr:sp macro="" textlink="'Pivot tables'!AC16">
      <xdr:nvSpPr>
        <xdr:cNvPr id="1043" name="TextBox 1042">
          <a:extLst>
            <a:ext uri="{FF2B5EF4-FFF2-40B4-BE49-F238E27FC236}">
              <a16:creationId xmlns:a16="http://schemas.microsoft.com/office/drawing/2014/main" id="{16B94623-0A6B-4D93-AAD2-E708C0A6B42E}"/>
            </a:ext>
          </a:extLst>
        </xdr:cNvPr>
        <xdr:cNvSpPr txBox="1"/>
      </xdr:nvSpPr>
      <xdr:spPr>
        <a:xfrm>
          <a:off x="14497050" y="1971675"/>
          <a:ext cx="74295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880669-DC74-461B-9DEF-75090C19FB96}" type="TxLink">
            <a:rPr lang="en-US" sz="2000" b="0" i="0" u="none" strike="noStrike">
              <a:solidFill>
                <a:srgbClr val="4AB0D9"/>
              </a:solidFill>
              <a:latin typeface="Aptos Narrow"/>
            </a:rPr>
            <a:pPr/>
            <a:t>2.1%</a:t>
          </a:fld>
          <a:endParaRPr lang="en-US" sz="1100">
            <a:solidFill>
              <a:srgbClr val="4AB0D9"/>
            </a:solidFill>
          </a:endParaRPr>
        </a:p>
      </xdr:txBody>
    </xdr:sp>
    <xdr:clientData/>
  </xdr:twoCellAnchor>
  <xdr:twoCellAnchor>
    <xdr:from>
      <xdr:col>23</xdr:col>
      <xdr:colOff>457200</xdr:colOff>
      <xdr:row>14</xdr:row>
      <xdr:rowOff>161925</xdr:rowOff>
    </xdr:from>
    <xdr:to>
      <xdr:col>25</xdr:col>
      <xdr:colOff>38100</xdr:colOff>
      <xdr:row>17</xdr:row>
      <xdr:rowOff>28575</xdr:rowOff>
    </xdr:to>
    <xdr:sp macro="" textlink="'Pivot tables'!AC17">
      <xdr:nvSpPr>
        <xdr:cNvPr id="1044" name="TextBox 1043">
          <a:extLst>
            <a:ext uri="{FF2B5EF4-FFF2-40B4-BE49-F238E27FC236}">
              <a16:creationId xmlns:a16="http://schemas.microsoft.com/office/drawing/2014/main" id="{68887441-FA2C-4254-90B2-1C934B5B1B76}"/>
            </a:ext>
          </a:extLst>
        </xdr:cNvPr>
        <xdr:cNvSpPr txBox="1"/>
      </xdr:nvSpPr>
      <xdr:spPr>
        <a:xfrm>
          <a:off x="14478000" y="2695575"/>
          <a:ext cx="80010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76CB57-4AAA-47CD-A9DD-4543769F69A6}" type="TxLink">
            <a:rPr lang="en-US" sz="2000" b="0" i="0" u="none" strike="noStrike">
              <a:solidFill>
                <a:srgbClr val="4AB0D9"/>
              </a:solidFill>
              <a:latin typeface="Aptos Narrow"/>
            </a:rPr>
            <a:pPr/>
            <a:t>1.7%</a:t>
          </a:fld>
          <a:endParaRPr lang="en-US" sz="1100">
            <a:solidFill>
              <a:srgbClr val="4AB0D9"/>
            </a:solidFill>
          </a:endParaRPr>
        </a:p>
      </xdr:txBody>
    </xdr:sp>
    <xdr:clientData/>
  </xdr:twoCellAnchor>
  <xdr:twoCellAnchor>
    <xdr:from>
      <xdr:col>23</xdr:col>
      <xdr:colOff>466725</xdr:colOff>
      <xdr:row>19</xdr:row>
      <xdr:rowOff>47625</xdr:rowOff>
    </xdr:from>
    <xdr:to>
      <xdr:col>25</xdr:col>
      <xdr:colOff>9525</xdr:colOff>
      <xdr:row>21</xdr:row>
      <xdr:rowOff>95250</xdr:rowOff>
    </xdr:to>
    <xdr:sp macro="" textlink="'Pivot tables'!AC18">
      <xdr:nvSpPr>
        <xdr:cNvPr id="1045" name="TextBox 1044">
          <a:extLst>
            <a:ext uri="{FF2B5EF4-FFF2-40B4-BE49-F238E27FC236}">
              <a16:creationId xmlns:a16="http://schemas.microsoft.com/office/drawing/2014/main" id="{E566CAC6-B630-4335-939C-A5CC035B6C7C}"/>
            </a:ext>
          </a:extLst>
        </xdr:cNvPr>
        <xdr:cNvSpPr txBox="1"/>
      </xdr:nvSpPr>
      <xdr:spPr>
        <a:xfrm>
          <a:off x="14487525" y="3486150"/>
          <a:ext cx="76200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7A12B9-D269-40D1-97D9-ABCA073560E8}" type="TxLink">
            <a:rPr lang="en-US" sz="2000" b="0" i="0" u="none" strike="noStrike">
              <a:solidFill>
                <a:srgbClr val="4AB0D9"/>
              </a:solidFill>
              <a:latin typeface="Aptos Narrow"/>
            </a:rPr>
            <a:pPr/>
            <a:t>1.6%</a:t>
          </a:fld>
          <a:endParaRPr lang="en-US" sz="1100">
            <a:solidFill>
              <a:srgbClr val="4AB0D9"/>
            </a:solidFill>
          </a:endParaRPr>
        </a:p>
      </xdr:txBody>
    </xdr:sp>
    <xdr:clientData/>
  </xdr:twoCellAnchor>
  <xdr:twoCellAnchor>
    <xdr:from>
      <xdr:col>23</xdr:col>
      <xdr:colOff>485775</xdr:colOff>
      <xdr:row>24</xdr:row>
      <xdr:rowOff>38100</xdr:rowOff>
    </xdr:from>
    <xdr:to>
      <xdr:col>25</xdr:col>
      <xdr:colOff>28575</xdr:colOff>
      <xdr:row>26</xdr:row>
      <xdr:rowOff>85725</xdr:rowOff>
    </xdr:to>
    <xdr:sp macro="" textlink="'Pivot tables'!AC19">
      <xdr:nvSpPr>
        <xdr:cNvPr id="1046" name="TextBox 1045">
          <a:extLst>
            <a:ext uri="{FF2B5EF4-FFF2-40B4-BE49-F238E27FC236}">
              <a16:creationId xmlns:a16="http://schemas.microsoft.com/office/drawing/2014/main" id="{41A67AF0-39DC-4559-A62F-289601ADB148}"/>
            </a:ext>
          </a:extLst>
        </xdr:cNvPr>
        <xdr:cNvSpPr txBox="1"/>
      </xdr:nvSpPr>
      <xdr:spPr>
        <a:xfrm>
          <a:off x="14506575" y="4381500"/>
          <a:ext cx="762000"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DC3338-1455-4351-AC43-1EFD2D55CC45}" type="TxLink">
            <a:rPr lang="en-US" sz="2000" b="0" i="0" u="none" strike="noStrike">
              <a:solidFill>
                <a:srgbClr val="4AB0D9"/>
              </a:solidFill>
              <a:latin typeface="Aptos Narrow"/>
            </a:rPr>
            <a:pPr/>
            <a:t>1.5%</a:t>
          </a:fld>
          <a:endParaRPr lang="en-US" sz="1100">
            <a:solidFill>
              <a:srgbClr val="4AB0D9"/>
            </a:solidFill>
          </a:endParaRPr>
        </a:p>
      </xdr:txBody>
    </xdr:sp>
    <xdr:clientData/>
  </xdr:twoCellAnchor>
  <xdr:twoCellAnchor>
    <xdr:from>
      <xdr:col>23</xdr:col>
      <xdr:colOff>542925</xdr:colOff>
      <xdr:row>28</xdr:row>
      <xdr:rowOff>0</xdr:rowOff>
    </xdr:from>
    <xdr:to>
      <xdr:col>25</xdr:col>
      <xdr:colOff>76200</xdr:colOff>
      <xdr:row>30</xdr:row>
      <xdr:rowOff>47625</xdr:rowOff>
    </xdr:to>
    <xdr:sp macro="" textlink="'Pivot tables'!AC20">
      <xdr:nvSpPr>
        <xdr:cNvPr id="1047" name="TextBox 1046">
          <a:extLst>
            <a:ext uri="{FF2B5EF4-FFF2-40B4-BE49-F238E27FC236}">
              <a16:creationId xmlns:a16="http://schemas.microsoft.com/office/drawing/2014/main" id="{21652951-DB9C-4538-9A55-278E6D944DBB}"/>
            </a:ext>
          </a:extLst>
        </xdr:cNvPr>
        <xdr:cNvSpPr txBox="1"/>
      </xdr:nvSpPr>
      <xdr:spPr>
        <a:xfrm>
          <a:off x="14563725" y="5067300"/>
          <a:ext cx="752475" cy="409575"/>
        </a:xfrm>
        <a:prstGeom prst="rect">
          <a:avLst/>
        </a:prstGeom>
        <a:solidFill>
          <a:srgbClr val="0B0B0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E316B8-1AB0-426F-8B24-5C89C87D33D1}" type="TxLink">
            <a:rPr lang="en-US" sz="2000" b="0" i="0" u="none" strike="noStrike">
              <a:solidFill>
                <a:srgbClr val="4AB0D9"/>
              </a:solidFill>
              <a:latin typeface="Aptos Narrow"/>
            </a:rPr>
            <a:pPr/>
            <a:t>0.5%</a:t>
          </a:fld>
          <a:endParaRPr lang="en-US" sz="1100">
            <a:solidFill>
              <a:srgbClr val="4AB0D9"/>
            </a:solidFill>
          </a:endParaRPr>
        </a:p>
      </xdr:txBody>
    </xdr:sp>
    <xdr:clientData/>
  </xdr:twoCellAnchor>
  <xdr:twoCellAnchor editAs="oneCell">
    <xdr:from>
      <xdr:col>25</xdr:col>
      <xdr:colOff>590550</xdr:colOff>
      <xdr:row>27</xdr:row>
      <xdr:rowOff>133350</xdr:rowOff>
    </xdr:from>
    <xdr:to>
      <xdr:col>29</xdr:col>
      <xdr:colOff>28575</xdr:colOff>
      <xdr:row>31</xdr:row>
      <xdr:rowOff>142875</xdr:rowOff>
    </xdr:to>
    <mc:AlternateContent xmlns:mc="http://schemas.openxmlformats.org/markup-compatibility/2006" xmlns:a14="http://schemas.microsoft.com/office/drawing/2010/main">
      <mc:Choice Requires="a14">
        <xdr:graphicFrame macro="">
          <xdr:nvGraphicFramePr>
            <xdr:cNvPr id="1051" name="DEAL SIZE">
              <a:extLst>
                <a:ext uri="{FF2B5EF4-FFF2-40B4-BE49-F238E27FC236}">
                  <a16:creationId xmlns:a16="http://schemas.microsoft.com/office/drawing/2014/main" id="{4EBB35E7-270A-442B-9FC3-B230F2652E32}"/>
                </a:ext>
              </a:extLst>
            </xdr:cNvPr>
            <xdr:cNvGraphicFramePr/>
          </xdr:nvGraphicFramePr>
          <xdr:xfrm>
            <a:off x="0" y="0"/>
            <a:ext cx="0" cy="0"/>
          </xdr:xfrm>
          <a:graphic>
            <a:graphicData uri="http://schemas.microsoft.com/office/drawing/2010/slicer">
              <sle:slicer xmlns:sle="http://schemas.microsoft.com/office/drawing/2010/slicer" name="DEAL SIZE"/>
            </a:graphicData>
          </a:graphic>
        </xdr:graphicFrame>
      </mc:Choice>
      <mc:Fallback xmlns="">
        <xdr:sp macro="" textlink="">
          <xdr:nvSpPr>
            <xdr:cNvPr id="0" name=""/>
            <xdr:cNvSpPr>
              <a:spLocks noTextEdit="1"/>
            </xdr:cNvSpPr>
          </xdr:nvSpPr>
          <xdr:spPr>
            <a:xfrm>
              <a:off x="15830550" y="5019675"/>
              <a:ext cx="1876425" cy="731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263.324916203703" createdVersion="8" refreshedVersion="8" minRefreshableVersion="3" recordCount="2823" xr:uid="{A3D3481F-886E-4D21-8902-1C18E1B62C2A}">
  <cacheSource type="worksheet">
    <worksheetSource ref="A1:Q2824" sheet="Sales"/>
  </cacheSource>
  <cacheFields count="20">
    <cacheField name="QUANTITY ORDERED" numFmtId="0">
      <sharedItems containsSemiMixedTypes="0" containsString="0" containsNumber="1" containsInteger="1" minValue="6"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PRICE EACH" numFmtId="1">
      <sharedItems containsSemiMixedTypes="0" containsString="0" containsNumber="1" minValue="26.88" maxValue="100"/>
    </cacheField>
    <cacheField name="SALES" numFmtId="164">
      <sharedItems containsSemiMixedTypes="0" containsString="0" containsNumber="1" minValue="482.13" maxValue="9048.16"/>
    </cacheField>
    <cacheField name="ORDER DATE" numFmtId="1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19"/>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 LINE" numFmtId="0">
      <sharedItems count="7">
        <s v="Motorcycles"/>
        <s v="Classic Cars"/>
        <s v="Trucks and Buses"/>
        <s v="Vintage Cars"/>
        <s v="Planes"/>
        <s v="Ships"/>
        <s v="Trains"/>
      </sharedItems>
    </cacheField>
    <cacheField name="MSRP" numFmtId="164">
      <sharedItems containsSemiMixedTypes="0" containsString="0" containsNumber="1" containsInteger="1" minValue="33" maxValue="214"/>
    </cacheField>
    <cacheField name="PRICE VARIANCE" numFmtId="164">
      <sharedItems containsSemiMixedTypes="0" containsString="0" containsNumber="1" minValue="-154.63999999999999" maxValue="67"/>
    </cacheField>
    <cacheField name="AVG DISCOUNT" numFmtId="9">
      <sharedItems containsSemiMixedTypes="0" containsString="0" containsNumber="1" minValue="-2.0303030303030303" maxValue="0.77133802816901409" count="1255">
        <n v="-7.3684210526316091E-3"/>
        <n v="0.14368421052631586"/>
        <n v="2.736842105263212E-3"/>
        <n v="0.123578947368421"/>
        <n v="-5.2631578947368418E-2"/>
        <n v="-1.747368421052628E-2"/>
        <n v="9.3368421052631628E-2"/>
        <n v="-3.7578947368420983E-2"/>
        <n v="2.2842105263157914E-2"/>
        <n v="0.23631578947368423"/>
        <n v="0.63252631578947371"/>
        <n v="0.19621052631578947"/>
        <n v="0.53271028037383172"/>
        <n v="0.15330508474576274"/>
        <n v="0.18355932203389827"/>
        <n v="0.15254237288135594"/>
        <n v="0.4159322033898305"/>
        <n v="0.56652542372881354"/>
        <n v="0.62279661016949162"/>
        <n v="0.48186528497409326"/>
        <n v="0.60274611398963729"/>
        <n v="0.55041450777202072"/>
        <n v="0.26470588235294118"/>
        <n v="0.5225735294117646"/>
        <n v="0.64669117647058827"/>
        <n v="0.4450735294117647"/>
        <n v="0.5979411764705882"/>
        <n v="0.31972789115646261"/>
        <n v="0.57829931972789106"/>
        <n v="0.55353741496598641"/>
        <n v="0.68095238095238086"/>
        <n v="0.4845360824742268"/>
        <n v="0.63159793814432985"/>
        <n v="0.58943298969072166"/>
        <n v="0.55984536082474223"/>
        <n v="0.60824742268041232"/>
        <n v="0.48948453608247422"/>
        <n v="0.51690821256038644"/>
        <n v="0.6908212560386473"/>
        <n v="0.7235748792270531"/>
        <n v="0.74705314009661827"/>
        <n v="0.6660869565217391"/>
        <n v="0.27051470588235299"/>
        <n v="0.53529411764705881"/>
        <n v="0.33333333333333331"/>
        <n v="0.47386666666666666"/>
        <n v="0.33774834437086093"/>
        <n v="0.64019867549668874"/>
        <n v="0.63350993377483444"/>
        <n v="0.14529914529914531"/>
        <n v="0.14683760683760688"/>
        <n v="0.28521367521367524"/>
        <n v="0.18008547008547002"/>
        <n v="0.1732478632478632"/>
        <n v="0.38136752136752139"/>
        <n v="0.42196531791907516"/>
        <n v="0.63364161849710987"/>
        <n v="0.64109826589595376"/>
        <n v="0.44884393063583816"/>
        <n v="-0.13139240506329108"/>
        <n v="0.19189873417721515"/>
        <n v="5.0506329113923984E-2"/>
        <n v="7.0632911392405046E-2"/>
        <n v="-3.037974683544311E-2"/>
        <n v="0.18177215189873416"/>
        <n v="-5.0506329113923984E-2"/>
        <n v="-0.1717721518987341"/>
        <n v="2.0126582278481055E-2"/>
        <n v="6.0632911392405141E-2"/>
        <n v="-0.14139240506329115"/>
        <n v="3.0253164556962031E-2"/>
        <n v="-6.0632911392405141E-2"/>
        <n v="0.12113924050632903"/>
        <n v="-0.26582278481012656"/>
        <n v="-0.18430379746835446"/>
        <n v="-3.3164556962025374E-2"/>
        <n v="0.14139240506329115"/>
        <n v="0.110632911392405"/>
        <n v="0.15644067796610164"/>
        <n v="0.17652542372881355"/>
        <n v="0.50525423728813557"/>
        <n v="0.45627118644067799"/>
        <n v="0.69737288135593212"/>
        <n v="0.43576271186440679"/>
        <n v="0.13043478260869565"/>
        <n v="0.14878260869565216"/>
        <n v="0.18886956521739129"/>
        <n v="0.43704347826086959"/>
        <n v="0.3460869565217391"/>
        <n v="0.23086956521739127"/>
        <n v="0.13793103448275862"/>
        <n v="0.14508620689655172"/>
        <n v="0.19534482758620686"/>
        <n v="0.16517241379310341"/>
        <n v="0.15517241379310345"/>
        <n v="0.65301724137931039"/>
        <n v="0.57241379310344831"/>
        <n v="0.26637931034482765"/>
        <n v="0.29078014184397161"/>
        <n v="0.30780141843971637"/>
        <n v="0.38255319148936168"/>
        <n v="0.33496453900709222"/>
        <n v="1.9607843137254902E-2"/>
        <n v="2.294117647058827E-2"/>
        <n v="0.10352941176470591"/>
        <n v="0.14382352941176471"/>
        <n v="0.12372549019607848"/>
        <n v="6.3235294117647084E-2"/>
        <n v="0.15392156862745102"/>
        <n v="6.7352941176470629E-2"/>
        <n v="0.64598039215686276"/>
        <n v="0.50803921568627453"/>
        <n v="8.6666666666666697E-2"/>
        <n v="5.3962264150943386E-2"/>
        <n v="7.4339622641509395E-2"/>
        <n v="-3.7547169811320794E-2"/>
        <n v="0.18622641509433957"/>
        <n v="-9.849056603773583E-2"/>
        <n v="3.3773584905660362E-2"/>
        <n v="0.16584905660377358"/>
        <n v="-2.7358490566037789E-2"/>
        <n v="-6.9811320754716499E-3"/>
        <n v="-0.200188679245283"/>
        <n v="8.452830188679239E-2"/>
        <n v="2.358490566037736E-2"/>
        <n v="-8.8301886792452822E-2"/>
        <n v="-5.7924528301886796E-2"/>
        <n v="-0.69603773584905659"/>
        <n v="-0.11226415094339628"/>
        <n v="-0.36622641509433956"/>
        <n v="-0.86094339622641503"/>
        <n v="3.2075471698113527E-3"/>
        <n v="-0.8867924528301887"/>
        <n v="0.19354838709677419"/>
        <n v="0.19717741935483873"/>
        <n v="0.54596774193548392"/>
        <n v="0.65612903225806452"/>
        <n v="0.36305732484076431"/>
        <n v="0.36611464968152868"/>
        <n v="0.6334394904458599"/>
        <n v="0.65242038216560516"/>
        <n v="0.41176470588235292"/>
        <n v="0.56447058823529406"/>
        <n v="-7.0000000000000007E-2"/>
        <n v="6.000000000000006E-2"/>
        <n v="-3.000000000000003E-2"/>
        <n v="-0.14999999999999997"/>
        <n v="0.18"/>
        <n v="3.999999999999998E-2"/>
        <n v="-0.18"/>
        <n v="-0.10999999999999999"/>
        <n v="0.13000000000000006"/>
        <n v="0.15999999999999992"/>
        <n v="-9.0000000000000094E-2"/>
        <n v="3.000000000000003E-2"/>
        <n v="-0.20000000000000007"/>
        <n v="-0.18999999999999995"/>
        <n v="-2.000000000000008E-2"/>
        <n v="-0.29870129870129869"/>
        <n v="0.14999999999999997"/>
        <n v="0.11999999999999994"/>
        <n v="-2.8831168831168815E-2"/>
        <n v="0.29577464788732394"/>
        <n v="0.77133802816901409"/>
        <n v="0.54443661971830992"/>
        <n v="0.69683098591549297"/>
        <n v="0.38650306748466257"/>
        <n v="0.46012269938650308"/>
        <n v="-0.12999999999999995"/>
        <n v="0.16250000000000001"/>
        <n v="0.10199999999999995"/>
        <n v="-3.9333333333333324E-2"/>
        <n v="-0.16033333333333341"/>
        <n v="4.150000000000003E-2"/>
        <n v="-1.9166666666666644E-2"/>
        <n v="1.1166666666666695E-2"/>
        <n v="-0.19066666666666662"/>
        <n v="-4.9333333333333347E-2"/>
        <n v="0.15249999999999997"/>
        <n v="-0.21083333333333343"/>
        <n v="-2.9166666666666667E-2"/>
        <n v="0.18266666666666667"/>
        <n v="-0.40416666666666667"/>
        <n v="5.150000000000006E-2"/>
        <n v="-0.66666666666666663"/>
        <n v="0.17833333333333337"/>
        <n v="-5.9500000000000004E-2"/>
        <n v="0.18032786885245902"/>
        <n v="0.19524590163934422"/>
        <n v="0.18516393442622953"/>
        <n v="0.69278688524590171"/>
        <n v="0.7014754098360656"/>
        <n v="0.2125984251968504"/>
        <n v="0.49062992125984256"/>
        <n v="0.22055118110236224"/>
        <n v="9.8499999999999949E-2"/>
        <n v="-0.14450000000000002"/>
        <n v="-8.3666666666666598E-2"/>
        <n v="-3.3166666666666698E-2"/>
        <n v="-0.15466666666666667"/>
        <n v="-0.18499999999999991"/>
        <n v="-2.6666666666666098E-3"/>
        <n v="-0.17483333333333326"/>
        <n v="-0.16483333333333333"/>
        <n v="-2.3000000000000041E-2"/>
        <n v="7.5000000000000474E-3"/>
        <n v="0.1796666666666667"/>
        <n v="3.7833333333333385E-2"/>
        <n v="0.10866666666666672"/>
        <n v="0.11883333333333337"/>
        <n v="-2.016666666666668E-2"/>
        <n v="-0.61433333333333329"/>
        <n v="0.18966666666666671"/>
        <n v="0.35833333333333334"/>
        <n v="-7.6071428571428581E-2"/>
        <n v="0.14511904761904759"/>
        <n v="0.17535714285714291"/>
        <n v="-1.5714285714285632E-2"/>
        <n v="0.15523809523809531"/>
        <n v="8.4761904761904816E-2"/>
        <n v="-0.19047619047619047"/>
        <n v="9.4880952380952371E-2"/>
        <n v="-0.17666666666666669"/>
        <n v="-2.5833333333333354E-2"/>
        <n v="1.440476190476183E-2"/>
        <n v="0.10988095238095243"/>
        <n v="-0.18116666666666675"/>
        <n v="3.0833333333333358E-2"/>
        <n v="-2.9666666666666685E-2"/>
        <n v="0.17216666666666663"/>
        <n v="0.14200000000000004"/>
        <n v="-1.9666666666666662E-2"/>
        <n v="-7.0000000000000048E-2"/>
        <n v="-9.0333333333333363E-2"/>
        <n v="-8.0166666666666705E-2"/>
        <n v="-9.500000000000005E-3"/>
        <n v="7.1333333333333346E-2"/>
        <n v="2.0833333333333332E-2"/>
        <n v="-6.0000000000000026E-2"/>
        <n v="0.18233333333333329"/>
        <n v="0.19233333333333333"/>
        <n v="0.13183333333333327"/>
        <n v="0.12166666666666662"/>
        <n v="-3.5999999999999942E-2"/>
        <n v="0.11166666666666672"/>
        <n v="0.40476190476190477"/>
        <n v="0.68648809523809518"/>
        <n v="0.43577380952380951"/>
        <n v="0.71916666666666662"/>
        <n v="0.53505952380952382"/>
        <n v="0.24242424242424243"/>
        <n v="0.5083333333333333"/>
        <n v="0.60363636363636364"/>
        <n v="0.1775247524752476"/>
        <n v="9.9009900990099011E-3"/>
        <n v="0.10722772277227721"/>
        <n v="9.7227722772277161E-2"/>
        <n v="0.11732673267326726"/>
        <n v="7.7128712871287197E-2"/>
        <n v="0.12732673267326733"/>
        <n v="4.7128712871287178E-2"/>
        <n v="0.13732673267326737"/>
        <n v="0.55198019801980203"/>
        <n v="7.322580645161289E-2"/>
        <n v="-3.7580645161290296E-2"/>
        <n v="-0.18870967741935488"/>
        <n v="-0.14838709677419359"/>
        <n v="0.19403225806451616"/>
        <n v="-0.12838709677419344"/>
        <n v="0.13354838709677422"/>
        <n v="-9.8064516129032234E-2"/>
        <n v="0.16387096774193544"/>
        <n v="-8.8064516129032155E-2"/>
        <n v="5.3064516129032242E-2"/>
        <n v="-2.7580645161290336E-2"/>
        <n v="6.3064516129032203E-2"/>
        <n v="-1.7419354838709648E-2"/>
        <n v="-0.1082258064516128"/>
        <n v="0.18403225806451606"/>
        <n v="-4.7741935483870866E-2"/>
        <n v="0.51822580645161287"/>
        <n v="-0.61290322580645162"/>
        <n v="-0.13838709677419353"/>
        <n v="0.28693548387096773"/>
        <n v="3.2903225806451601E-2"/>
        <n v="2.9767441860465142E-2"/>
        <n v="-4.0232558139534809E-2"/>
        <n v="-0.12023255813953493"/>
        <n v="0.12976744186046507"/>
        <n v="7.976744186046511E-2"/>
        <n v="0.14976744186046506"/>
        <n v="4.9767441860465132E-2"/>
        <n v="-2.0232558139534826E-2"/>
        <n v="-0.16279069767441862"/>
        <n v="-0.10023255813953494"/>
        <n v="0.13976744186046508"/>
        <n v="1.9767441860465151E-2"/>
        <n v="-0.14023255813953492"/>
        <n v="0.46674418604651163"/>
        <n v="3.9767441860465137E-2"/>
        <n v="0.24453488372093024"/>
        <n v="-8.6046511627906382E-3"/>
        <n v="-8.1511627906976802E-2"/>
        <n v="0.15976744186046507"/>
        <n v="3.8461538461538464E-2"/>
        <n v="6.3557692307692301E-2"/>
        <n v="0.13403846153846152"/>
        <n v="0.14413461538461533"/>
        <n v="0.184423076923077"/>
        <n v="0.17432692307692305"/>
        <n v="0.5476923076923077"/>
        <n v="0.61730769230769234"/>
        <n v="9.4038461538461543E-2"/>
        <n v="0.16423076923076921"/>
        <n v="0.49176470588235288"/>
        <n v="0.54764705882352938"/>
        <n v="0.40828402366863903"/>
        <n v="0.44680473372781065"/>
        <n v="0.66360946745562133"/>
        <n v="0"/>
        <n v="4.200000000000003E-2"/>
        <n v="2.1899999999999979E-2"/>
        <n v="0.11260000000000005"/>
        <n v="0.19329999999999997"/>
        <n v="8.2399999999999946E-2"/>
        <n v="6.959999999999994E-2"/>
        <n v="0.15290000000000006"/>
        <n v="0.10249999999999999"/>
        <n v="0.14562500000000006"/>
        <n v="8.5374999999999979E-2"/>
        <n v="2.5000000000000001E-2"/>
        <n v="-7.5500000000000081E-2"/>
        <n v="-1.5124999999999921E-2"/>
        <n v="0.11549999999999994"/>
        <n v="-3.5249999999999913E-2"/>
        <n v="-0.18599999999999994"/>
        <n v="-0.19612499999999997"/>
        <n v="4.5124999999999992E-2"/>
        <n v="-8.5500000000000048E-2"/>
        <n v="0.12550000000000008"/>
        <n v="1.5000000000000036E-2"/>
        <n v="-5.1249999999999577E-3"/>
        <n v="7.5249999999999956E-2"/>
        <n v="0.26124999999999998"/>
        <n v="0.16575000000000006"/>
        <n v="0.24625000000000002"/>
        <n v="-0.25"/>
        <n v="-1.0101010101010102E-2"/>
        <n v="0.16828282828282826"/>
        <n v="4.7979797979797977E-2"/>
        <n v="3.797979797979803E-2"/>
        <n v="0.12818181818181815"/>
        <n v="0.19828282828282823"/>
        <n v="0.11818181818181821"/>
        <n v="0.14818181818181819"/>
        <n v="9.8080808080808018E-2"/>
        <n v="2.7979797979797938E-2"/>
        <n v="7.8080808080808126E-2"/>
        <n v="0.26181818181818184"/>
        <n v="0.31506849315068491"/>
        <n v="0.33910958904109595"/>
        <n v="0.51836879432624117"/>
        <n v="0.39801418439716313"/>
        <n v="0.49765957446808512"/>
        <n v="-9.3064516129032188E-2"/>
        <n v="0.19774193548387092"/>
        <n v="0.18774193548387097"/>
        <n v="-8.2903225806451625E-2"/>
        <n v="-4.2903225806451555E-2"/>
        <n v="-0.10306451612903227"/>
        <n v="-0.17322580645161281"/>
        <n v="0.12758064516129028"/>
        <n v="5.7419354838709712E-2"/>
        <n v="0.157741935483871"/>
        <n v="0.14774193548387091"/>
        <n v="0.11758064516129031"/>
        <n v="7.7419354838709625E-2"/>
        <n v="9.758064516129028E-2"/>
        <n v="4.741935483870964E-2"/>
        <n v="-0.12306451612903219"/>
        <n v="0.13758064516129034"/>
        <n v="-0.43741935483870975"/>
        <n v="4.7619047619047616E-2"/>
        <n v="5.2190476190476232E-2"/>
        <n v="0.18333333333333332"/>
        <n v="0.1933333333333333"/>
        <n v="0.17323809523809522"/>
        <n v="0.4239047619047619"/>
        <n v="0.45190476190476192"/>
        <n v="0.30069930069930068"/>
        <n v="5.9673913043478202E-2"/>
        <n v="2.9673913043478304E-2"/>
        <n v="6.9673913043478225E-2"/>
        <n v="-8.6956521739130432E-2"/>
        <n v="0.17978260869565224"/>
        <n v="-6.032608695652171E-2"/>
        <n v="-3.0326086956521808E-2"/>
        <n v="1.9673913043478285E-2"/>
        <n v="0.11967391304347831"/>
        <n v="0.1096739130434783"/>
        <n v="0.31826086956521743"/>
        <n v="-1.032608695652177E-2"/>
        <n v="5.1724137931034482E-2"/>
        <n v="-0.11977011494252876"/>
        <n v="-5.9310344827586167E-2"/>
        <n v="0.19287356321839083"/>
        <n v="4.1609195402298904E-2"/>
        <n v="0.15252873563218386"/>
        <n v="0.14252873563218396"/>
        <n v="0.11218390804597707"/>
        <n v="-0.14942528735632185"/>
        <n v="-8.8505747126436333E-3"/>
        <n v="-2.9080459770114954E-2"/>
        <n v="0.13241379310344822"/>
        <n v="0.18287356321839077"/>
        <n v="-3.9080459770115004E-2"/>
        <n v="1.1379310344827528E-2"/>
        <n v="1.2643678160919475E-3"/>
        <n v="0.32666666666666666"/>
        <n v="0.17355371900826447"/>
        <n v="0.17942148760330573"/>
        <n v="0.52454545454545454"/>
        <n v="5.4200000000000019E-2"/>
        <n v="3.7999999999999545E-3"/>
        <n v="-7.659999999999996E-2"/>
        <n v="0.13459999999999994"/>
        <n v="0.14480000000000004"/>
        <n v="0.10439999999999998"/>
        <n v="1.4000000000000058E-2"/>
        <n v="-6.6599999999999965E-2"/>
        <n v="9.4399999999999984E-2"/>
        <n v="0.19500000000000001"/>
        <n v="-0.19739999999999994"/>
        <n v="-0.16719999999999999"/>
        <n v="-3.6400000000000009E-2"/>
        <n v="-0.13700000000000004"/>
        <n v="-1"/>
        <n v="-0.59719999999999995"/>
        <n v="0.32432432432432434"/>
        <n v="0.60689189189189185"/>
        <n v="0.54635135135135138"/>
        <n v="0.1367605633802817"/>
        <n v="0.18690140845070427"/>
        <n v="-0.14436619718309859"/>
        <n v="-0.13436619718309867"/>
        <n v="-1.3802816901408508E-2"/>
        <n v="1.6338028169014036E-2"/>
        <n v="-7.4084507042253597E-2"/>
        <n v="-0.17450704225352112"/>
        <n v="5.6478873239436692E-2"/>
        <n v="-6.4084507042253477E-2"/>
        <n v="0.14676056338028171"/>
        <n v="-3.3943661971830935E-2"/>
        <n v="-2.3943661971831027E-2"/>
        <n v="-0.40845070422535212"/>
        <n v="0.10661971830985915"/>
        <n v="-0.20070422535211269"/>
        <n v="-0.1678082191780822"/>
        <n v="-6.7123287671232948E-2"/>
        <n v="0.1745205479452055"/>
        <n v="3.2876712328766423E-3"/>
        <n v="-3.6849315068493121E-2"/>
        <n v="-1.6712328767123273E-2"/>
        <n v="4.3561643835616531E-2"/>
        <n v="0.14424657534246577"/>
        <n v="-0.12753424657534249"/>
        <n v="-4.6986301369863107E-2"/>
        <n v="-9.7260273972602659E-2"/>
        <n v="-2.6849315068493064E-2"/>
        <n v="9.3972602739726019E-2"/>
        <n v="1.3424657534246629E-2"/>
        <n v="-0.1979452054794521"/>
        <n v="3.3561643835616474E-2"/>
        <n v="0.22136986301369857"/>
        <n v="0.18452054794520548"/>
        <n v="0.17301369863013702"/>
        <n v="-0.36986301369863012"/>
        <n v="0.11410958904109586"/>
        <n v="2.6491228070175402E-2"/>
        <n v="-0.21684210526315789"/>
        <n v="-6.473684210526312E-2"/>
        <n v="4.6842105263157928E-2"/>
        <n v="-0.14578947368421058"/>
        <n v="-0.20666666666666669"/>
        <n v="-5.4561403508771922E-2"/>
        <n v="-0.16614035087719295"/>
        <n v="0.17859649122807017"/>
        <n v="1.6315789473684207E-2"/>
        <n v="7.7192982456140327E-2"/>
        <n v="-0.13578947368421043"/>
        <n v="5.701754385964912E-2"/>
        <n v="-8.5087719298245643E-2"/>
        <n v="6.7017543859649129E-2"/>
        <n v="-0.21333333333333326"/>
        <n v="-0.75438596491228072"/>
        <n v="0.16842105263157897"/>
        <n v="-6.5964912280701726E-2"/>
        <n v="-0.70649122807017539"/>
        <n v="-0.60982456140350882"/>
        <n v="0.11771929824561406"/>
        <n v="0.10714285714285714"/>
        <n v="0.12455357142857146"/>
        <n v="0.16482142857142851"/>
        <n v="0.14464285714285716"/>
        <n v="0.19500000000000003"/>
        <n v="0.18491071428571423"/>
        <n v="0.21625"/>
        <n v="0.24651785714285715"/>
        <n v="0.13464285714285712"/>
        <n v="-0.18739999999999996"/>
        <n v="3.4000000000000058E-2"/>
        <n v="-4.6400000000000004E-2"/>
        <n v="-2.6400000000000007E-2"/>
        <n v="0.15480000000000005"/>
        <n v="-0.75919999999999987"/>
        <n v="0.27579999999999999"/>
        <n v="0.23"/>
        <n v="-0.20739999999999995"/>
        <n v="0.18688073394495416"/>
        <n v="8.2568807339449546E-2"/>
        <n v="0.13669724770642208"/>
        <n v="0.19688073394495406"/>
        <n v="9.6513761467889869E-2"/>
        <n v="0.11660550458715591"/>
        <n v="0.10660550458715601"/>
        <n v="0.12660550458715594"/>
        <n v="0.53532110091743124"/>
        <n v="0.34192660550458714"/>
        <n v="0.61733944954128428"/>
        <n v="5.4545454545454564E-2"/>
        <n v="-7.6060606060605995E-2"/>
        <n v="-0.14666666666666678"/>
        <n v="-5.7575757575756888E-3"/>
        <n v="0.1751515151515152"/>
        <n v="4.4545454545454513E-2"/>
        <n v="-0.11636363636363646"/>
        <n v="0.11484848484848482"/>
        <n v="-0.12636363636363643"/>
        <n v="-3.6060606060605994E-2"/>
        <n v="0.10484848484848487"/>
        <n v="0.12484848484848488"/>
        <n v="-0.15666666666666673"/>
        <n v="8.4848484848484867E-2"/>
        <n v="-2.0303030303030303"/>
        <n v="-1.482121212121212"/>
        <n v="-6.6060606060606056E-2"/>
        <n v="-9.9696969696969673E-2"/>
        <n v="-1.1381818181818182"/>
        <n v="0.18545454545454548"/>
        <n v="-9.2500000000000013E-2"/>
        <n v="-0.10250000000000008"/>
        <n v="0.11802631578947367"/>
        <n v="7.7631578947368867E-3"/>
        <n v="9.8026315789473725E-2"/>
        <n v="-0.2026315789473685"/>
        <n v="2.7894736842105323E-2"/>
        <n v="0.18815789473684208"/>
        <n v="8.8026315789473661E-2"/>
        <n v="-0.15263157894736834"/>
        <n v="0.1781578947368421"/>
        <n v="-5.2368421052631633E-2"/>
        <n v="7.789473684210528E-2"/>
        <n v="0.13802631578947361"/>
        <n v="0.16815789473684212"/>
        <n v="-0.14249999999999999"/>
        <n v="-0.24250000000000008"/>
        <n v="-0.31578947368421051"/>
        <n v="-7.1052631578947437E-2"/>
        <n v="0.41008196721311474"/>
        <n v="0.58745901639344267"/>
        <n v="0.33983606557377044"/>
        <n v="-0.22181818181818178"/>
        <n v="-7.9545454545454867E-3"/>
        <n v="-2.8409090909090908E-2"/>
        <n v="-0.12000000000000002"/>
        <n v="0.17522727272727276"/>
        <n v="6.3181818181818214E-2"/>
        <n v="0.16499999999999995"/>
        <n v="-0.1504545454545454"/>
        <n v="0.13454545454545458"/>
        <n v="-8.9545454545454498E-2"/>
        <n v="-9.9545454545454604E-2"/>
        <n v="-3.8636363636363698E-2"/>
        <n v="-7.9318181818181857E-2"/>
        <n v="0.10409090909090905"/>
        <n v="0.14477272727272722"/>
        <n v="-1.2727272727272727"/>
        <n v="-0.9436363636363635"/>
        <n v="0.27590909090909094"/>
        <n v="0.30477272727272725"/>
        <n v="-0.55340909090909074"/>
        <n v="0.14681159420289858"/>
        <n v="-0.11420289855072457"/>
        <n v="0.10666666666666666"/>
        <n v="0.11666666666666663"/>
        <n v="-0.16434782608695658"/>
        <n v="-7.4057971014492741E-2"/>
        <n v="-4.3913043478260888E-2"/>
        <n v="-0.10420289855072461"/>
        <n v="7.6521739130434793E-2"/>
        <n v="-0.1543478260869566"/>
        <n v="4.6376811594202941E-2"/>
        <n v="5.6521739130434866E-2"/>
        <n v="-9.4057971014492675E-2"/>
        <n v="0.13681159420289851"/>
        <n v="3.6376811594202973E-2"/>
        <n v="0.18695652173913041"/>
        <n v="-0.18449275362318845"/>
        <n v="-0.17434782608695654"/>
        <n v="-0.44927536231884058"/>
        <n v="-2.3913043478260954E-2"/>
        <n v="0.11260869565217396"/>
        <n v="5.6086956521739194E-2"/>
        <n v="0.1316666666666666"/>
        <n v="0.19222222222222218"/>
        <n v="0.18222222222222229"/>
        <n v="-0.1111111111111111"/>
        <n v="0.17211111111111105"/>
        <n v="7.111111111111118E-2"/>
        <n v="-7.0222222222222144E-2"/>
        <n v="2.066666666666666E-2"/>
        <n v="-0.05"/>
        <n v="3.0666666666666724E-2"/>
        <n v="0.11144444444444446"/>
        <n v="0.10144444444444439"/>
        <n v="-3.9999999999999938E-2"/>
        <n v="3.644444444444446E-2"/>
        <n v="0.58333333333333337"/>
        <n v="-0.13142857142857148"/>
        <n v="0.14114285714285718"/>
        <n v="-9.1142857142857081E-2"/>
        <n v="-0.21228571428571427"/>
        <n v="-0.15171428571428577"/>
        <n v="9.0857142857142845E-2"/>
        <n v="0.11085714285714283"/>
        <n v="0.19171428571428573"/>
        <n v="0.15142857142857144"/>
        <n v="6.0571428571428498E-2"/>
        <n v="-3.0571428571428579E-2"/>
        <n v="5.0285714285714232E-2"/>
        <n v="-0.19199999999999998"/>
        <n v="-0.16171428571428562"/>
        <n v="0.1008571428571429"/>
        <n v="-6.0857142857142929E-2"/>
        <n v="-1.8571428571428572"/>
        <n v="-1.3697142857142857"/>
        <n v="-0.11142857142857139"/>
        <n v="-9.8235294117647157E-2"/>
        <n v="0.12352941176470586"/>
        <n v="1.2647058823529404E-2"/>
        <n v="0.10338235294117648"/>
        <n v="-6.7941176470588296E-2"/>
        <n v="-2.7647058823529344E-2"/>
        <n v="-0.18882352941176475"/>
        <n v="-1.7647058823529453E-2"/>
        <n v="2.6470588235295123E-3"/>
        <n v="-0.20897058823529402"/>
        <n v="-0.19897058823529412"/>
        <n v="4.294117647058826E-2"/>
        <n v="-8.8088235294117578E-2"/>
        <n v="-4.779411764705882E-2"/>
        <n v="-0.10823529411764705"/>
        <n v="6.3088235294117639E-2"/>
        <n v="0.13352941176470587"/>
        <n v="-0.47058823529411764"/>
        <n v="-3.5882352941176435E-2"/>
        <n v="0.17705882352941174"/>
        <n v="0.15367647058823533"/>
        <n v="9.3235294117647111E-2"/>
        <n v="0.19700854700854697"/>
        <n v="0.15683760683760678"/>
        <n v="0.63880341880341884"/>
        <n v="0.25435897435897442"/>
        <n v="0.68982905982905984"/>
        <n v="0.17692307692307696"/>
        <n v="0.13243243243243238"/>
        <n v="0.16324324324324321"/>
        <n v="3.054054054054061E-2"/>
        <n v="-0.15324324324324329"/>
        <n v="4.0810810810810755E-2"/>
        <n v="0.17324324324324325"/>
        <n v="-0.17351351351351357"/>
        <n v="9.9999999999999308E-3"/>
        <n v="-0.20432432432432437"/>
        <n v="-9.1891891891891855E-2"/>
        <n v="-5.1081081081081094E-2"/>
        <n v="-7.1621621621621584E-2"/>
        <n v="7.1351351351351372E-2"/>
        <n v="-0.13270270270270262"/>
        <n v="0.10189189189189198"/>
        <n v="-0.14162162162162167"/>
        <n v="-4.1081081081081168E-2"/>
        <n v="-1.7027027027027026"/>
        <n v="4.3181818181817662E-3"/>
        <n v="-7.6249999999999929E-2"/>
        <n v="-0.11647727272727272"/>
        <n v="-3.602272727272729E-2"/>
        <n v="9.4772727272727314E-2"/>
        <n v="0.15511363636363643"/>
        <n v="5.4545454545454515E-2"/>
        <n v="-1.5909090909090973E-2"/>
        <n v="0.19534090909090907"/>
        <n v="-0.13636363636363635"/>
        <n v="-5.6136363636363609E-2"/>
        <n v="3.4431818181818195E-2"/>
        <n v="4.4545454545454562E-2"/>
        <n v="1.4318181818181876E-2"/>
        <n v="2.4431818181818245E-2"/>
        <n v="0.34863636363636363"/>
        <n v="-0.11215909090909096"/>
        <n v="0.13388235294117642"/>
        <n v="2.3058823529411691E-2"/>
        <n v="9.3529411764705916E-2"/>
        <n v="4.3176470588235316E-2"/>
        <n v="-0.10788235294117648"/>
        <n v="0.14388235294117652"/>
        <n v="6.3294117647058765E-2"/>
        <n v="-0.13811764705882346"/>
        <n v="0.16399999999999998"/>
        <n v="0.19423529411764712"/>
        <n v="0.12376470588235289"/>
        <n v="2.9411764705882353E-3"/>
        <n v="0.59776470588235298"/>
        <n v="-0.17647058823529413"/>
        <n v="6.9882352941176437E-2"/>
        <n v="-3.3934426229508201E-2"/>
        <n v="0.17688524590163934"/>
        <n v="-8.4098360655737628E-2"/>
        <n v="-0.12426229508196719"/>
        <n v="-0.14426229508196717"/>
        <n v="-7.4098360655737633E-2"/>
        <n v="1.6229508196721344E-2"/>
        <n v="-6.393442622950829E-2"/>
        <n v="0.19704918032786892"/>
        <n v="-2.3770491803278736E-2"/>
        <n v="0.13672131147540989"/>
        <n v="-3.7704918032786371E-3"/>
        <n v="-0.1142622950819672"/>
        <n v="3.63934426229508E-2"/>
        <n v="6.6557377049180369E-2"/>
        <n v="-0.63934426229508201"/>
        <n v="0.31901639344262295"/>
        <n v="0.13377049180327863"/>
        <n v="0.19076923076923075"/>
        <n v="-0.12276923076923082"/>
        <n v="8.9538461538461539E-2"/>
        <n v="-0.19369230769230775"/>
        <n v="0.14015384615384616"/>
        <n v="2.8923076923076961E-2"/>
        <n v="-0.13292307692307692"/>
        <n v="-6.2153846153846247E-2"/>
        <n v="-0.10261538461538464"/>
        <n v="-8.2307692307692221E-2"/>
        <n v="-7.2307692307692351E-2"/>
        <n v="-0.11276923076923075"/>
        <n v="0.17046153846153844"/>
        <n v="-0.18353846153846165"/>
        <n v="-0.53369230769230769"/>
        <n v="-5.1999999999999928E-2"/>
        <n v="-0.53846153846153844"/>
        <n v="-1.5384615384615385E-2"/>
        <n v="1.9076923076923106E-2"/>
        <n v="0.11999999999999995"/>
        <n v="6.5420560747663545E-2"/>
        <n v="7.9345794392523317E-2"/>
        <n v="0.14934579439252341"/>
        <n v="0.17934579439252335"/>
        <n v="0.13934579439252334"/>
        <n v="0.18943925233644857"/>
        <n v="9.9345794392523321E-2"/>
        <n v="0.15934579439252333"/>
        <n v="0.65252336448598125"/>
        <n v="0.10392523364485985"/>
        <n v="6.9345794392523377E-2"/>
        <n v="4.0120481927710824E-2"/>
        <n v="-9.1204819277108357E-2"/>
        <n v="6.0361445783132593E-2"/>
        <n v="2.999999999999994E-2"/>
        <n v="0.18156626506024087"/>
        <n v="-1.0361445783132523E-2"/>
        <n v="0.13108433734939753"/>
        <n v="-3.0602409638554293E-2"/>
        <n v="-4.0722891566265004E-2"/>
        <n v="-8.1084337349397642E-2"/>
        <n v="8.0602409638554195E-2"/>
        <n v="-5.0722891566264985E-2"/>
        <n v="-2.4096385542163881E-4"/>
        <n v="0.12096385542168682"/>
        <n v="7.0481927710843301E-2"/>
        <n v="-0.10132530120481924"/>
        <n v="-0.11144578313253012"/>
        <n v="0.28481927710843374"/>
        <n v="0.27301204819277103"/>
        <n v="-0.20481927710843373"/>
        <n v="0.2857142857142857"/>
        <n v="0.32442857142857146"/>
        <n v="0.61949999999999994"/>
        <n v="4.6617647058823555E-2"/>
        <n v="-3.3676470588235384E-2"/>
        <n v="-0.20426470588235296"/>
        <n v="2.6617647058823562E-2"/>
        <n v="-0.13397058823529412"/>
        <n v="-7.3823529411764649E-2"/>
        <n v="-6.3676470588235265E-2"/>
        <n v="-2.3529411764705799E-2"/>
        <n v="0.16705882352941176"/>
        <n v="0.1169117647058824"/>
        <n v="-0.10382352941176475"/>
        <n v="9.6764705882352919E-2"/>
        <n v="-5.3676470588235381E-2"/>
        <n v="-0.12397058823529422"/>
        <n v="-0.14397058823529421"/>
        <n v="-0.42529411764705882"/>
        <n v="0.12691176470588239"/>
        <n v="-7.3529411764705885E-2"/>
        <n v="-7.8235294117646959E-2"/>
        <n v="-3.529411764705807E-3"/>
        <n v="0.15926829268292686"/>
        <n v="0.1895121951219513"/>
        <n v="4.9268292682926908E-2"/>
        <n v="-3.0731707317073122E-2"/>
        <n v="-7.3170731707319849E-4"/>
        <n v="0.14926829268292677"/>
        <n v="-7.0731707317073136E-2"/>
        <n v="9.9268292682926834E-2"/>
        <n v="-2.0731707317073206E-2"/>
        <n v="9.2682926829268913E-3"/>
        <n v="1.9268292682926808E-2"/>
        <n v="0.13926829268292684"/>
        <n v="-0.88390243902439014"/>
        <n v="-1.3765853658536584"/>
        <n v="8.9268292682926742E-2"/>
        <n v="-1.3178048780487805"/>
        <n v="-6.0731707317073218E-2"/>
        <n v="0.17805084745762717"/>
        <n v="0.19813559322033894"/>
        <n v="0.15796610169491526"/>
        <n v="0.57355932203389837"/>
        <n v="0.20415254237288138"/>
        <n v="-3.0927835051546393E-2"/>
        <n v="0.10639175257731952"/>
        <n v="6.62886597938145E-2"/>
        <n v="5.6185567010309308E-2"/>
        <n v="-4.0206185567010369E-3"/>
        <n v="0.18670103092783505"/>
        <n v="0.481340206185567"/>
        <n v="0.10391752577319587"/>
        <n v="0.11444444444444447"/>
        <n v="-0.18736111111111103"/>
        <n v="-7.6666666666666605E-2"/>
        <n v="-0.17736111111111105"/>
        <n v="-8.6805555555555552E-2"/>
        <n v="1.3888888888888888E-2"/>
        <n v="-3.638888888888895E-2"/>
        <n v="-0.12694444444444444"/>
        <n v="-4.6527777777777696E-2"/>
        <n v="0.1345833333333333"/>
        <n v="-6.2500000000000394E-3"/>
        <n v="-0.15722222222222212"/>
        <n v="0.15472222222222223"/>
        <n v="-0.2486111111111112"/>
        <n v="0.13249999999999998"/>
        <n v="-0.3888888888888889"/>
        <n v="0.12027777777777773"/>
        <n v="0.14112500000000008"/>
        <n v="0.11074999999999999"/>
        <n v="-9.1375000000000026E-2"/>
        <n v="0.19162499999999999"/>
        <n v="0.16125000000000006"/>
        <n v="-0.18224999999999997"/>
        <n v="0.17137499999999992"/>
        <n v="-0.15199999999999997"/>
        <n v="0.12087500000000002"/>
        <n v="-0.17212499999999994"/>
        <n v="-4.0874999999999953E-2"/>
        <n v="6.0249999999999915E-2"/>
        <n v="-0.10150000000000006"/>
        <n v="-1.0500000000000042E-2"/>
        <n v="-0.21262500000000006"/>
        <n v="-7.1124999999999966E-2"/>
        <n v="-0.19237500000000002"/>
        <n v="-3.025000000000002E-2"/>
        <n v="-4.1666666666666664E-2"/>
        <n v="-3.2291666666666905E-3"/>
        <n v="-1.3229166666666625E-2"/>
        <n v="0.15729166666666661"/>
        <n v="9.7083333333333258E-2"/>
        <n v="0.10708333333333335"/>
        <n v="0.13718750000000002"/>
        <n v="0.12718749999999993"/>
        <n v="8.7083333333333332E-2"/>
        <n v="-2.2708333333333403E-2"/>
        <n v="6.1616161616161562E-2"/>
        <n v="5.1515151515151458E-2"/>
        <n v="1.1111111111111055E-3"/>
        <n v="0.19282828282828288"/>
        <n v="0.17262626262626266"/>
        <n v="0.35444444444444451"/>
        <n v="0.18010101010101009"/>
        <n v="4.1414141414141355E-2"/>
        <n v="-8.6250000000000077E-2"/>
        <n v="-0.11649999999999991"/>
        <n v="-5.7499999999999218E-3"/>
        <n v="0.10500000000000007"/>
        <n v="0.11500000000000003"/>
        <n v="4.2500000000000428E-3"/>
        <n v="-0.13650000000000001"/>
        <n v="0.17524999999999996"/>
        <n v="-5.600000000000005E-2"/>
        <n v="1.4250000000000007E-2"/>
        <n v="-0.20700000000000002"/>
        <n v="0.18524999999999991"/>
        <n v="8.475000000000002E-2"/>
        <n v="-2.575000000000003E-2"/>
        <n v="4.4500000000000026E-2"/>
        <n v="-1.5"/>
        <n v="-1.0614999999999999"/>
        <n v="-0.11400000000000006"/>
        <n v="0.1181481481481482"/>
        <n v="-3.2037037037036982E-2"/>
        <n v="3.7962962962962914E-2"/>
        <n v="0.14833333333333329"/>
        <n v="-0.18240740740740743"/>
        <n v="-0.17240740740740745"/>
        <n v="-0.16240740740740747"/>
        <n v="0.19833333333333336"/>
        <n v="-0.11222222222222226"/>
        <n v="-2.2037037037036994E-2"/>
        <n v="-2.0370370370370264E-3"/>
        <n v="9.8148148148148096E-2"/>
        <n v="0.18833333333333335"/>
        <n v="0.13833333333333331"/>
        <n v="-7.2222222222222202E-2"/>
        <n v="0.15833333333333327"/>
        <n v="-0.85185185185185186"/>
        <n v="-0.12222222222222225"/>
        <n v="-0.2309259259259259"/>
        <n v="1.518518518518519E-2"/>
        <n v="-6.2419354838709751E-2"/>
        <n v="-2.2258064516129075E-2"/>
        <n v="-0.14258064516129038"/>
        <n v="-0.20274193548387084"/>
        <n v="0.17822580645161284"/>
        <n v="0.13806451612903228"/>
        <n v="-3.2258064516129031E-2"/>
        <n v="0.11806451612903227"/>
        <n v="8.7903225806451657E-2"/>
        <n v="0.14806451612903226"/>
        <n v="1.7741935483870992E-2"/>
        <n v="0.19822580645161289"/>
        <n v="-4.2419354838709601E-2"/>
        <n v="3.7903225806451633E-2"/>
        <n v="-9.2419354838709736E-2"/>
        <n v="0.18822580645161294"/>
        <n v="-7.2419354838709593E-2"/>
        <n v="-0.36629032258064503"/>
        <n v="-0.60564516129032253"/>
        <n v="0.41822580645161289"/>
        <n v="2.7741935483870949E-2"/>
        <n v="-0.18171874999999993"/>
        <n v="-7.0624999999999938E-2"/>
        <n v="2.0312499999999956E-2"/>
        <n v="5.0625000000000031E-2"/>
        <n v="9.0937500000000004E-2"/>
        <n v="0.14156250000000004"/>
        <n v="-0.17156250000000006"/>
        <n v="-1.0000000000000009E-2"/>
        <n v="8.0937499999999996E-2"/>
        <n v="3.0468750000000044E-2"/>
        <n v="-0.1412500000000001"/>
        <n v="-8.0624999999999947E-2"/>
        <n v="4.0468750000000053E-2"/>
        <n v="1.0156249999999978E-2"/>
        <n v="-0.21203124999999989"/>
        <n v="-0.12109375"/>
        <n v="0.12124999999999997"/>
        <n v="-0.5625"/>
        <n v="-0.15140624999999996"/>
        <n v="-7.235294117647062E-2"/>
        <n v="-6.2205882352941236E-2"/>
        <n v="0.16029411764705881"/>
        <n v="-0.20382352941176471"/>
        <n v="-8.249999999999999E-2"/>
        <n v="2.8823529411764613E-2"/>
        <n v="-0.14308823529411771"/>
        <n v="9.97058823529412E-2"/>
        <n v="-0.16338235294117645"/>
        <n v="5.9264705882352955E-2"/>
        <n v="-0.17352941176470585"/>
        <n v="-0.19367647058823531"/>
        <n v="0.34544117647058825"/>
        <n v="-0.20970588235294124"/>
        <n v="8.6764705882353445E-3"/>
        <n v="0.14960784313725495"/>
        <n v="0.11960784313725493"/>
        <n v="0.1596078431372549"/>
        <n v="3.9509803921568637E-2"/>
        <n v="0.16960784313725488"/>
        <n v="0.30372549019607847"/>
        <n v="0.51980392156862754"/>
        <n v="6.6279069767441898E-2"/>
        <n v="-0.17720930232558132"/>
        <n v="-0.16720930232558134"/>
        <n v="0.14744186046511637"/>
        <n v="4.6046511627906905E-2"/>
        <n v="-0.20767441860465116"/>
        <n v="0.10697674418604654"/>
        <n v="-7.5813953488372041E-2"/>
        <n v="0.17790697674418601"/>
        <n v="0.11697674418604653"/>
        <n v="-5.5581395348837222E-2"/>
        <n v="-0.1265116279069767"/>
        <n v="-1.4883720930232571E-2"/>
        <n v="-0.10627906976744186"/>
        <n v="-0.91186046511627894"/>
        <n v="-0.92069767441860473"/>
        <n v="-0.53023255813953485"/>
        <n v="-1.3255813953488371"/>
        <n v="0.17460869565217391"/>
        <n v="0.14443478260869566"/>
        <n v="0.37913043478260866"/>
        <n v="0.50826086956521743"/>
        <n v="8.0862068965517203E-2"/>
        <n v="0.15155172413793103"/>
        <n v="-0.19172413793103457"/>
        <n v="0.14155172413793105"/>
        <n v="1.0172413793103506E-2"/>
        <n v="-0.1513793103448276"/>
        <n v="-0.11103448275862066"/>
        <n v="0.16172413793103452"/>
        <n v="-7.0517241379310397E-2"/>
        <n v="-0.13120689655172413"/>
        <n v="-0.18172413793103459"/>
        <n v="0.10103448275862068"/>
        <n v="-0.10086206896551726"/>
        <n v="2.0344827586206891E-2"/>
        <n v="5.0517241379310338E-2"/>
        <n v="-4.0344827586206958E-2"/>
        <n v="-6.0517241379310312E-2"/>
        <n v="-0.72413793103448276"/>
        <n v="-0.11948275862068977"/>
        <n v="-9.9999999999999707E-3"/>
        <n v="-3.5517241379310387E-2"/>
        <n v="-2.4567901234567837E-2"/>
        <n v="7.5925925925925994E-2"/>
        <n v="-0.18518518518518517"/>
        <n v="-4.4444444444444375E-3"/>
        <n v="0.11604938271604945"/>
        <n v="5.5555555555555905E-3"/>
        <n v="-0.15506172839506174"/>
        <n v="0.17629629629629631"/>
        <n v="4.5802469135802389E-2"/>
        <n v="0.15629629629629627"/>
        <n v="0.10604938271604943"/>
        <n v="-0.10493827160493827"/>
        <n v="0.12617283950617283"/>
        <n v="2.567901234567899E-2"/>
        <n v="-9.4814814814814893E-2"/>
        <n v="-0.23456790123456789"/>
        <n v="-7.0757575757575783E-2"/>
        <n v="-0.16166666666666668"/>
        <n v="9.0909090909090912E-2"/>
        <n v="3.0303030303030304E-2"/>
        <n v="2.0151515151515125E-2"/>
        <n v="-0.14151515151515157"/>
        <n v="-0.15151515151515152"/>
        <n v="0.18181818181818182"/>
        <n v="-0.13136363636363638"/>
        <n v="5.0454545454545426E-2"/>
        <n v="-8.0909090909090958E-2"/>
        <n v="6.0606060606060608E-2"/>
        <n v="9.9999999999999482E-3"/>
        <n v="-0.19196969696969698"/>
        <n v="-0.51515151515151514"/>
        <n v="-0.17181818181818187"/>
        <n v="-1.0151515151515177E-2"/>
        <n v="-9.8901098901098897E-2"/>
        <n v="9.6593406593406664E-2"/>
        <n v="0.14681318681318681"/>
        <n v="-8.4065934065934128E-2"/>
        <n v="8.6593406593406544E-2"/>
        <n v="0.13681318681318685"/>
        <n v="-3.7362637362637736E-3"/>
        <n v="7.6593406593406577E-2"/>
        <n v="1.6373626373626316E-2"/>
        <n v="2.6373626373626436E-2"/>
        <n v="0.33472527472527475"/>
        <n v="0.10032967032967027"/>
        <n v="3.63736263736264E-2"/>
        <n v="0.18430232558139528"/>
        <n v="7.3488372093023183E-2"/>
        <n v="-0.12790697674418605"/>
        <n v="2.3139534883720871E-2"/>
        <n v="-1.7209302325581443E-2"/>
        <n v="-2.7209302325581435E-2"/>
        <n v="-9.7674418604651231E-2"/>
        <n v="6.3372093023255846E-2"/>
        <n v="-7.0930232558139468E-3"/>
        <n v="0.16406976744186047"/>
        <n v="-6.7558139534883752E-2"/>
        <n v="0.11372093023255815"/>
        <n v="0.18255813953488376"/>
        <n v="-4.6000000000000006E-2"/>
        <n v="4.4555555555555612E-2"/>
        <n v="-1.5888888888888966E-2"/>
        <n v="-7.6222222222222219E-2"/>
        <n v="-0.10633333333333325"/>
        <n v="-5.7777777777777333E-3"/>
        <n v="1.4333333333333403E-2"/>
        <n v="-6.6111111111111148E-2"/>
        <n v="-8.6222222222222283E-2"/>
        <n v="0.20833333333333334"/>
        <n v="0.49566666666666664"/>
        <n v="6.2111111111111152E-2"/>
        <n v="4.7111111111111055E-2"/>
        <n v="2.4444444444444477E-2"/>
        <n v="0.16393939393939397"/>
        <n v="0.11363636363636363"/>
        <n v="-7.2727272727272614E-3"/>
        <n v="0.10353535353535354"/>
        <n v="8.3333333333333329E-2"/>
        <n v="0.15313131313131309"/>
        <n v="0.12363636363636359"/>
        <n v="8.6527777777777828E-2"/>
        <n v="-0.18458333333333343"/>
        <n v="0.1065277777777778"/>
        <n v="2.6250000000000009E-2"/>
        <n v="-6.4166666666666733E-2"/>
        <n v="0.19694444444444445"/>
        <n v="-9.4305555555555642E-2"/>
        <n v="-3.4027777777777816E-2"/>
        <n v="-0.1243055555555556"/>
        <n v="-0.14444444444444451"/>
        <n v="-5.4027777777777786E-2"/>
        <n v="4.6249999999999979E-2"/>
        <n v="0.13666666666666671"/>
        <n v="0.18680555555555559"/>
        <n v="-4.4027777777777805E-2"/>
        <n v="-0.33763888888888893"/>
        <n v="-3.2638888888888808E-2"/>
        <n v="2.3194444444444469E-2"/>
        <n v="7.6388888888888895E-2"/>
        <n v="0.18881188118811876"/>
        <n v="0.14871287128712868"/>
        <n v="0.13871287128712875"/>
        <n v="0.11871287128712867"/>
        <n v="0.12871287128712872"/>
        <n v="0.19881188118811879"/>
        <n v="1.8514851485148559E-2"/>
        <n v="0.17990099009900992"/>
        <n v="0.45702970297029699"/>
        <n v="0.15533898305084745"/>
        <n v="0.1855084745762712"/>
        <n v="0.41694915254237291"/>
        <n v="0.38627118644067793"/>
        <n v="0.43449152542372876"/>
        <n v="6.9999999999999923E-2"/>
        <n v="0.05"/>
        <n v="-0.2"/>
        <n v="-8.0000000000000071E-2"/>
        <n v="-3.0000000000000072E-2"/>
        <n v="0.15999999999999998"/>
        <n v="-0.15"/>
        <n v="8.0000000000000071E-2"/>
        <n v="-9.9999999999999638E-3"/>
        <n v="-9.0000000000000038E-2"/>
        <n v="5.9999999999999963E-2"/>
        <n v="0.2"/>
        <n v="-2.4375000000000036E-2"/>
        <n v="-0.17925000000000005"/>
        <n v="0.18000000000000008"/>
        <n v="0.18859999999999999"/>
        <n v="8.849999999999994E-2"/>
        <n v="0.11849999999999994"/>
        <n v="7.8400000000000039E-2"/>
        <n v="3.8400000000000031E-2"/>
        <n v="0.13849999999999996"/>
        <n v="0.10620000000000004"/>
        <n v="0.22659999999999997"/>
        <n v="3.6599999999999966E-2"/>
        <n v="7.920000000000002E-2"/>
        <n v="0.15737373737373736"/>
        <n v="0.1372727272727273"/>
        <n v="0.19747474747474744"/>
        <n v="5.7070707070707126E-2"/>
        <n v="3.6969696969696937E-2"/>
        <n v="0.16737373737373731"/>
        <n v="8.7171717171717122E-2"/>
        <n v="0.1774747474747474"/>
        <n v="9.7171717171717215E-2"/>
        <n v="7.7070707070707026E-2"/>
        <n v="0.12515151515151515"/>
        <n v="0.27383838383838383"/>
        <n v="3.5555555555555514E-2"/>
        <n v="0.16972972972972977"/>
        <n v="0.19972972972972974"/>
        <n v="-0.15040540540540534"/>
        <n v="-0.16040540540540546"/>
        <n v="-0.12040540540540536"/>
        <n v="-3.0405405405405407E-2"/>
        <n v="0.13959459459459458"/>
        <n v="4.9594594594594615E-2"/>
        <n v="-4.0540540540542078E-4"/>
        <n v="1.9594594594594634E-2"/>
        <n v="0.15959459459459463"/>
        <n v="3.959459459459469E-2"/>
        <n v="0.12959459459459463"/>
        <n v="-0.1705405405405406"/>
        <n v="7.95945945945946E-2"/>
        <n v="0.21810810810810813"/>
        <n v="-2.0405405405405475E-2"/>
        <n v="-0.35135135135135137"/>
        <n v="0.24837837837837842"/>
        <n v="-0.16756756756756763"/>
        <n v="-0.18054054054054053"/>
        <n v="-7.4285714285714302E-2"/>
        <n v="1.6938775510204045E-2"/>
        <n v="0.14877551020408161"/>
        <n v="-3.3673469387755076E-2"/>
        <n v="-3.2653061224489099E-3"/>
        <n v="-4.3877551020408134E-2"/>
        <n v="-6.408163265306123E-2"/>
        <n v="8.7959183673469429E-2"/>
        <n v="6.7551020408163312E-2"/>
        <n v="-0.17571428571428571"/>
        <n v="-0.16551020408163264"/>
        <n v="-0.19591836734693879"/>
        <n v="7.7755102040816371E-2"/>
        <n v="-9.4489795918367397E-2"/>
        <n v="0.10816326530612239"/>
        <n v="-0.7577551020408162"/>
        <n v="-0.55734693877551023"/>
        <n v="-0.94285714285714295"/>
        <n v="-0.32591836734693874"/>
        <n v="-0.77857142857142869"/>
        <n v="0.17918367346938777"/>
        <n v="-0.14530612244897953"/>
        <n v="-5.1481481481481503E-2"/>
        <n v="0.19111111111111112"/>
        <n v="-0.20314814814814813"/>
        <n v="0.18092592592592599"/>
        <n v="0.10018518518518513"/>
        <n v="6.9814814814814871E-2"/>
        <n v="-0.19314814814814826"/>
        <n v="-0.18296296296296302"/>
        <n v="-0.17296296296296301"/>
        <n v="7.9814814814814852E-2"/>
        <n v="5.9629629629629609E-2"/>
        <n v="0.15074074074074076"/>
        <n v="4.9629629629629628E-2"/>
        <n v="-0.102037037037037"/>
        <n v="-3.1296296296296253E-2"/>
        <n v="-0.60629629629629622"/>
        <n v="-0.79925925925925922"/>
        <n v="-0.15259259259259264"/>
      </sharedItems>
    </cacheField>
    <cacheField name="DISCOUNT RANGE" numFmtId="9">
      <sharedItems count="7">
        <s v="Below 0%"/>
        <s v="10%-15%"/>
        <s v="0%"/>
        <s v="5%-10%"/>
        <s v="0%-5%"/>
        <s v="+20%"/>
        <s v="15%-20%"/>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DEAL SIZE" numFmtId="0">
      <sharedItems count="3">
        <s v="Small"/>
        <s v="Medium"/>
        <s v="Large"/>
      </sharedItems>
    </cacheField>
    <cacheField name="Months (ORDER DATE)" numFmtId="0" databaseField="0">
      <fieldGroup base="3">
        <rangePr groupBy="months" startDate="2003-01-06T00:00:00" endDate="2005-06-01T00:00:00"/>
        <groupItems count="14">
          <s v="&lt;1/6/2003"/>
          <s v="Jan"/>
          <s v="Feb"/>
          <s v="Mar"/>
          <s v="Apr"/>
          <s v="May"/>
          <s v="Jun"/>
          <s v="Jul"/>
          <s v="Aug"/>
          <s v="Sep"/>
          <s v="Oct"/>
          <s v="Nov"/>
          <s v="Dec"/>
          <s v="&gt;6/1/2005"/>
        </groupItems>
      </fieldGroup>
    </cacheField>
    <cacheField name="Quarters (ORDER DATE)" numFmtId="0" databaseField="0">
      <fieldGroup base="3">
        <rangePr groupBy="quarters" startDate="2003-01-06T00:00:00" endDate="2005-06-01T00:00:00"/>
        <groupItems count="6">
          <s v="&lt;1/6/2003"/>
          <s v="Qtr1"/>
          <s v="Qtr2"/>
          <s v="Qtr3"/>
          <s v="Qtr4"/>
          <s v="&gt;6/1/2005"/>
        </groupItems>
      </fieldGroup>
    </cacheField>
    <cacheField name="Years (ORDER DATE)" numFmtId="0" databaseField="0">
      <fieldGroup base="3">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01603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x v="0"/>
    <n v="95.7"/>
    <n v="2871"/>
    <x v="0"/>
    <x v="0"/>
    <n v="1"/>
    <n v="2"/>
    <n v="2003"/>
    <x v="0"/>
    <n v="95"/>
    <n v="0.70000000000000284"/>
    <x v="0"/>
    <x v="0"/>
    <x v="0"/>
    <x v="0"/>
    <x v="0"/>
    <x v="0"/>
  </r>
  <r>
    <x v="1"/>
    <n v="81.349999999999994"/>
    <n v="2765.8999999999996"/>
    <x v="1"/>
    <x v="0"/>
    <n v="2"/>
    <n v="5"/>
    <n v="2003"/>
    <x v="0"/>
    <n v="95"/>
    <n v="-13.650000000000006"/>
    <x v="1"/>
    <x v="1"/>
    <x v="1"/>
    <x v="1"/>
    <x v="1"/>
    <x v="0"/>
  </r>
  <r>
    <x v="2"/>
    <n v="94.74"/>
    <n v="3884.3399999999997"/>
    <x v="2"/>
    <x v="0"/>
    <n v="3"/>
    <n v="7"/>
    <n v="2003"/>
    <x v="0"/>
    <n v="95"/>
    <n v="-0.26000000000000512"/>
    <x v="2"/>
    <x v="2"/>
    <x v="2"/>
    <x v="1"/>
    <x v="1"/>
    <x v="1"/>
  </r>
  <r>
    <x v="3"/>
    <n v="83.26"/>
    <n v="3746.7000000000003"/>
    <x v="3"/>
    <x v="0"/>
    <n v="3"/>
    <n v="8"/>
    <n v="2003"/>
    <x v="0"/>
    <n v="95"/>
    <n v="-11.739999999999995"/>
    <x v="3"/>
    <x v="1"/>
    <x v="3"/>
    <x v="0"/>
    <x v="0"/>
    <x v="1"/>
  </r>
  <r>
    <x v="4"/>
    <n v="100"/>
    <n v="4900"/>
    <x v="4"/>
    <x v="0"/>
    <n v="4"/>
    <n v="10"/>
    <n v="2003"/>
    <x v="0"/>
    <n v="95"/>
    <n v="5"/>
    <x v="4"/>
    <x v="0"/>
    <x v="4"/>
    <x v="0"/>
    <x v="0"/>
    <x v="1"/>
  </r>
  <r>
    <x v="5"/>
    <n v="96.66"/>
    <n v="3479.7599999999998"/>
    <x v="5"/>
    <x v="0"/>
    <n v="4"/>
    <n v="10"/>
    <n v="2003"/>
    <x v="0"/>
    <n v="95"/>
    <n v="1.6599999999999966"/>
    <x v="5"/>
    <x v="0"/>
    <x v="5"/>
    <x v="0"/>
    <x v="0"/>
    <x v="1"/>
  </r>
  <r>
    <x v="6"/>
    <n v="86.13"/>
    <n v="2497.77"/>
    <x v="6"/>
    <x v="0"/>
    <n v="4"/>
    <n v="11"/>
    <n v="2003"/>
    <x v="0"/>
    <n v="95"/>
    <n v="-8.8700000000000045"/>
    <x v="6"/>
    <x v="3"/>
    <x v="6"/>
    <x v="1"/>
    <x v="1"/>
    <x v="0"/>
  </r>
  <r>
    <x v="7"/>
    <n v="100"/>
    <n v="4800"/>
    <x v="7"/>
    <x v="0"/>
    <n v="4"/>
    <n v="11"/>
    <n v="2003"/>
    <x v="0"/>
    <n v="95"/>
    <n v="5"/>
    <x v="4"/>
    <x v="0"/>
    <x v="7"/>
    <x v="2"/>
    <x v="1"/>
    <x v="1"/>
  </r>
  <r>
    <x v="8"/>
    <n v="98.57"/>
    <n v="2168.54"/>
    <x v="8"/>
    <x v="0"/>
    <n v="4"/>
    <n v="12"/>
    <n v="2003"/>
    <x v="0"/>
    <n v="95"/>
    <n v="3.5699999999999932"/>
    <x v="7"/>
    <x v="0"/>
    <x v="4"/>
    <x v="0"/>
    <x v="0"/>
    <x v="0"/>
  </r>
  <r>
    <x v="2"/>
    <n v="100"/>
    <n v="4100"/>
    <x v="9"/>
    <x v="0"/>
    <n v="1"/>
    <n v="1"/>
    <n v="2004"/>
    <x v="0"/>
    <n v="95"/>
    <n v="5"/>
    <x v="4"/>
    <x v="0"/>
    <x v="2"/>
    <x v="1"/>
    <x v="1"/>
    <x v="1"/>
  </r>
  <r>
    <x v="9"/>
    <n v="100"/>
    <n v="3700"/>
    <x v="10"/>
    <x v="0"/>
    <n v="1"/>
    <n v="2"/>
    <n v="2004"/>
    <x v="0"/>
    <n v="95"/>
    <n v="5"/>
    <x v="4"/>
    <x v="0"/>
    <x v="8"/>
    <x v="3"/>
    <x v="2"/>
    <x v="1"/>
  </r>
  <r>
    <x v="10"/>
    <n v="100"/>
    <n v="2300"/>
    <x v="11"/>
    <x v="0"/>
    <n v="2"/>
    <n v="4"/>
    <n v="2004"/>
    <x v="0"/>
    <n v="95"/>
    <n v="5"/>
    <x v="4"/>
    <x v="0"/>
    <x v="0"/>
    <x v="0"/>
    <x v="0"/>
    <x v="0"/>
  </r>
  <r>
    <x v="11"/>
    <n v="100"/>
    <n v="2800"/>
    <x v="12"/>
    <x v="0"/>
    <n v="2"/>
    <n v="5"/>
    <n v="2004"/>
    <x v="0"/>
    <n v="95"/>
    <n v="5"/>
    <x v="4"/>
    <x v="0"/>
    <x v="9"/>
    <x v="0"/>
    <x v="0"/>
    <x v="1"/>
  </r>
  <r>
    <x v="1"/>
    <n v="100"/>
    <n v="3400"/>
    <x v="13"/>
    <x v="0"/>
    <n v="2"/>
    <n v="6"/>
    <n v="2004"/>
    <x v="0"/>
    <n v="95"/>
    <n v="5"/>
    <x v="4"/>
    <x v="0"/>
    <x v="10"/>
    <x v="0"/>
    <x v="0"/>
    <x v="1"/>
  </r>
  <r>
    <x v="3"/>
    <n v="92.83"/>
    <n v="4177.3500000000004"/>
    <x v="14"/>
    <x v="0"/>
    <n v="3"/>
    <n v="7"/>
    <n v="2004"/>
    <x v="0"/>
    <n v="95"/>
    <n v="-2.1700000000000017"/>
    <x v="8"/>
    <x v="4"/>
    <x v="11"/>
    <x v="1"/>
    <x v="1"/>
    <x v="1"/>
  </r>
  <r>
    <x v="5"/>
    <n v="100"/>
    <n v="3600"/>
    <x v="15"/>
    <x v="0"/>
    <n v="3"/>
    <n v="8"/>
    <n v="2004"/>
    <x v="0"/>
    <n v="95"/>
    <n v="5"/>
    <x v="4"/>
    <x v="0"/>
    <x v="12"/>
    <x v="0"/>
    <x v="0"/>
    <x v="1"/>
  </r>
  <r>
    <x v="10"/>
    <n v="100"/>
    <n v="2300"/>
    <x v="16"/>
    <x v="0"/>
    <n v="3"/>
    <n v="9"/>
    <n v="2004"/>
    <x v="0"/>
    <n v="95"/>
    <n v="5"/>
    <x v="4"/>
    <x v="0"/>
    <x v="13"/>
    <x v="4"/>
    <x v="1"/>
    <x v="0"/>
  </r>
  <r>
    <x v="2"/>
    <n v="100"/>
    <n v="4100"/>
    <x v="17"/>
    <x v="0"/>
    <n v="4"/>
    <n v="10"/>
    <n v="2004"/>
    <x v="0"/>
    <n v="95"/>
    <n v="5"/>
    <x v="4"/>
    <x v="0"/>
    <x v="14"/>
    <x v="2"/>
    <x v="1"/>
    <x v="1"/>
  </r>
  <r>
    <x v="12"/>
    <n v="94.74"/>
    <n v="4358.04"/>
    <x v="18"/>
    <x v="0"/>
    <n v="4"/>
    <n v="11"/>
    <n v="2004"/>
    <x v="0"/>
    <n v="95"/>
    <n v="-0.26000000000000512"/>
    <x v="2"/>
    <x v="2"/>
    <x v="15"/>
    <x v="0"/>
    <x v="0"/>
    <x v="1"/>
  </r>
  <r>
    <x v="13"/>
    <n v="100"/>
    <n v="4200"/>
    <x v="19"/>
    <x v="0"/>
    <n v="4"/>
    <n v="11"/>
    <n v="2004"/>
    <x v="0"/>
    <n v="95"/>
    <n v="5"/>
    <x v="4"/>
    <x v="0"/>
    <x v="0"/>
    <x v="0"/>
    <x v="0"/>
    <x v="1"/>
  </r>
  <r>
    <x v="2"/>
    <n v="100"/>
    <n v="4100"/>
    <x v="20"/>
    <x v="0"/>
    <n v="4"/>
    <n v="11"/>
    <n v="2004"/>
    <x v="0"/>
    <n v="95"/>
    <n v="5"/>
    <x v="4"/>
    <x v="0"/>
    <x v="16"/>
    <x v="5"/>
    <x v="1"/>
    <x v="2"/>
  </r>
  <r>
    <x v="14"/>
    <n v="72.55"/>
    <n v="1451"/>
    <x v="21"/>
    <x v="0"/>
    <n v="4"/>
    <n v="12"/>
    <n v="2004"/>
    <x v="0"/>
    <n v="95"/>
    <n v="-22.450000000000003"/>
    <x v="9"/>
    <x v="5"/>
    <x v="17"/>
    <x v="3"/>
    <x v="2"/>
    <x v="0"/>
  </r>
  <r>
    <x v="15"/>
    <n v="34.909999999999997"/>
    <n v="733.1099999999999"/>
    <x v="22"/>
    <x v="0"/>
    <n v="1"/>
    <n v="2"/>
    <n v="2005"/>
    <x v="0"/>
    <n v="95"/>
    <n v="-60.09"/>
    <x v="10"/>
    <x v="5"/>
    <x v="11"/>
    <x v="1"/>
    <x v="1"/>
    <x v="0"/>
  </r>
  <r>
    <x v="13"/>
    <n v="76.36"/>
    <n v="3207.12"/>
    <x v="23"/>
    <x v="0"/>
    <n v="1"/>
    <n v="3"/>
    <n v="2005"/>
    <x v="0"/>
    <n v="95"/>
    <n v="-18.64"/>
    <x v="11"/>
    <x v="6"/>
    <x v="18"/>
    <x v="0"/>
    <x v="0"/>
    <x v="1"/>
  </r>
  <r>
    <x v="16"/>
    <n v="100"/>
    <n v="2400"/>
    <x v="24"/>
    <x v="0"/>
    <n v="2"/>
    <n v="4"/>
    <n v="2005"/>
    <x v="0"/>
    <n v="95"/>
    <n v="5"/>
    <x v="4"/>
    <x v="0"/>
    <x v="19"/>
    <x v="6"/>
    <x v="1"/>
    <x v="0"/>
  </r>
  <r>
    <x v="17"/>
    <n v="100"/>
    <n v="6600"/>
    <x v="25"/>
    <x v="1"/>
    <n v="2"/>
    <n v="5"/>
    <n v="2005"/>
    <x v="0"/>
    <n v="95"/>
    <n v="5"/>
    <x v="4"/>
    <x v="0"/>
    <x v="20"/>
    <x v="7"/>
    <x v="1"/>
    <x v="2"/>
  </r>
  <r>
    <x v="18"/>
    <n v="100"/>
    <n v="2600"/>
    <x v="26"/>
    <x v="0"/>
    <n v="1"/>
    <n v="1"/>
    <n v="2003"/>
    <x v="1"/>
    <n v="214"/>
    <n v="-114"/>
    <x v="12"/>
    <x v="5"/>
    <x v="14"/>
    <x v="2"/>
    <x v="1"/>
    <x v="1"/>
  </r>
  <r>
    <x v="6"/>
    <n v="100"/>
    <n v="2900"/>
    <x v="27"/>
    <x v="0"/>
    <n v="1"/>
    <n v="3"/>
    <n v="2003"/>
    <x v="1"/>
    <n v="214"/>
    <n v="-114"/>
    <x v="12"/>
    <x v="5"/>
    <x v="21"/>
    <x v="8"/>
    <x v="1"/>
    <x v="2"/>
  </r>
  <r>
    <x v="19"/>
    <n v="100"/>
    <n v="3800"/>
    <x v="28"/>
    <x v="0"/>
    <n v="2"/>
    <n v="5"/>
    <n v="2003"/>
    <x v="1"/>
    <n v="214"/>
    <n v="-114"/>
    <x v="12"/>
    <x v="5"/>
    <x v="20"/>
    <x v="7"/>
    <x v="1"/>
    <x v="2"/>
  </r>
  <r>
    <x v="9"/>
    <n v="100"/>
    <n v="3700"/>
    <x v="29"/>
    <x v="0"/>
    <n v="3"/>
    <n v="7"/>
    <n v="2003"/>
    <x v="1"/>
    <n v="214"/>
    <n v="-114"/>
    <x v="12"/>
    <x v="5"/>
    <x v="5"/>
    <x v="0"/>
    <x v="0"/>
    <x v="2"/>
  </r>
  <r>
    <x v="3"/>
    <n v="100"/>
    <n v="4500"/>
    <x v="30"/>
    <x v="0"/>
    <n v="3"/>
    <n v="9"/>
    <n v="2003"/>
    <x v="1"/>
    <n v="214"/>
    <n v="-114"/>
    <x v="12"/>
    <x v="5"/>
    <x v="22"/>
    <x v="9"/>
    <x v="2"/>
    <x v="2"/>
  </r>
  <r>
    <x v="15"/>
    <n v="100"/>
    <n v="2100"/>
    <x v="31"/>
    <x v="0"/>
    <n v="4"/>
    <n v="10"/>
    <n v="2003"/>
    <x v="1"/>
    <n v="214"/>
    <n v="-114"/>
    <x v="12"/>
    <x v="5"/>
    <x v="0"/>
    <x v="0"/>
    <x v="0"/>
    <x v="1"/>
  </r>
  <r>
    <x v="1"/>
    <n v="100"/>
    <n v="3400"/>
    <x v="32"/>
    <x v="0"/>
    <n v="4"/>
    <n v="11"/>
    <n v="2003"/>
    <x v="1"/>
    <n v="214"/>
    <n v="-114"/>
    <x v="12"/>
    <x v="5"/>
    <x v="23"/>
    <x v="3"/>
    <x v="2"/>
    <x v="2"/>
  </r>
  <r>
    <x v="10"/>
    <n v="100"/>
    <n v="2300"/>
    <x v="33"/>
    <x v="0"/>
    <n v="4"/>
    <n v="11"/>
    <n v="2003"/>
    <x v="1"/>
    <n v="214"/>
    <n v="-114"/>
    <x v="12"/>
    <x v="5"/>
    <x v="24"/>
    <x v="0"/>
    <x v="0"/>
    <x v="1"/>
  </r>
  <r>
    <x v="13"/>
    <n v="100"/>
    <n v="4200"/>
    <x v="34"/>
    <x v="0"/>
    <n v="4"/>
    <n v="11"/>
    <n v="2003"/>
    <x v="1"/>
    <n v="214"/>
    <n v="-114"/>
    <x v="12"/>
    <x v="5"/>
    <x v="25"/>
    <x v="1"/>
    <x v="1"/>
    <x v="2"/>
  </r>
  <r>
    <x v="20"/>
    <n v="100"/>
    <n v="4700"/>
    <x v="35"/>
    <x v="0"/>
    <n v="4"/>
    <n v="12"/>
    <n v="2003"/>
    <x v="1"/>
    <n v="214"/>
    <n v="-114"/>
    <x v="12"/>
    <x v="5"/>
    <x v="26"/>
    <x v="10"/>
    <x v="0"/>
    <x v="2"/>
  </r>
  <r>
    <x v="21"/>
    <n v="100"/>
    <n v="3500"/>
    <x v="36"/>
    <x v="0"/>
    <n v="1"/>
    <n v="1"/>
    <n v="2004"/>
    <x v="1"/>
    <n v="214"/>
    <n v="-114"/>
    <x v="12"/>
    <x v="5"/>
    <x v="27"/>
    <x v="0"/>
    <x v="0"/>
    <x v="1"/>
  </r>
  <r>
    <x v="6"/>
    <n v="100"/>
    <n v="2900"/>
    <x v="37"/>
    <x v="0"/>
    <n v="1"/>
    <n v="3"/>
    <n v="2004"/>
    <x v="1"/>
    <n v="214"/>
    <n v="-114"/>
    <x v="12"/>
    <x v="5"/>
    <x v="12"/>
    <x v="0"/>
    <x v="0"/>
    <x v="1"/>
  </r>
  <r>
    <x v="1"/>
    <n v="100"/>
    <n v="3400"/>
    <x v="38"/>
    <x v="0"/>
    <n v="2"/>
    <n v="5"/>
    <n v="2004"/>
    <x v="1"/>
    <n v="214"/>
    <n v="-114"/>
    <x v="12"/>
    <x v="5"/>
    <x v="28"/>
    <x v="0"/>
    <x v="0"/>
    <x v="1"/>
  </r>
  <r>
    <x v="22"/>
    <n v="100"/>
    <n v="3200"/>
    <x v="39"/>
    <x v="0"/>
    <n v="2"/>
    <n v="6"/>
    <n v="2004"/>
    <x v="1"/>
    <n v="214"/>
    <n v="-114"/>
    <x v="12"/>
    <x v="5"/>
    <x v="29"/>
    <x v="11"/>
    <x v="3"/>
    <x v="2"/>
  </r>
  <r>
    <x v="15"/>
    <n v="100"/>
    <n v="2100"/>
    <x v="40"/>
    <x v="0"/>
    <n v="3"/>
    <n v="7"/>
    <n v="2004"/>
    <x v="1"/>
    <n v="214"/>
    <n v="-114"/>
    <x v="12"/>
    <x v="5"/>
    <x v="17"/>
    <x v="3"/>
    <x v="2"/>
    <x v="1"/>
  </r>
  <r>
    <x v="1"/>
    <n v="100"/>
    <n v="3400"/>
    <x v="41"/>
    <x v="0"/>
    <n v="3"/>
    <n v="8"/>
    <n v="2004"/>
    <x v="1"/>
    <n v="214"/>
    <n v="-114"/>
    <x v="12"/>
    <x v="5"/>
    <x v="30"/>
    <x v="12"/>
    <x v="1"/>
    <x v="2"/>
  </r>
  <r>
    <x v="9"/>
    <n v="100"/>
    <n v="3700"/>
    <x v="42"/>
    <x v="0"/>
    <n v="3"/>
    <n v="9"/>
    <n v="2004"/>
    <x v="1"/>
    <n v="214"/>
    <n v="-114"/>
    <x v="12"/>
    <x v="5"/>
    <x v="31"/>
    <x v="8"/>
    <x v="1"/>
    <x v="2"/>
  </r>
  <r>
    <x v="20"/>
    <n v="100"/>
    <n v="4700"/>
    <x v="43"/>
    <x v="0"/>
    <n v="4"/>
    <n v="10"/>
    <n v="2004"/>
    <x v="1"/>
    <n v="214"/>
    <n v="-114"/>
    <x v="12"/>
    <x v="5"/>
    <x v="32"/>
    <x v="1"/>
    <x v="1"/>
    <x v="2"/>
  </r>
  <r>
    <x v="7"/>
    <n v="100"/>
    <n v="4800"/>
    <x v="44"/>
    <x v="0"/>
    <n v="4"/>
    <n v="10"/>
    <n v="2004"/>
    <x v="1"/>
    <n v="214"/>
    <n v="-114"/>
    <x v="12"/>
    <x v="5"/>
    <x v="33"/>
    <x v="0"/>
    <x v="0"/>
    <x v="2"/>
  </r>
  <r>
    <x v="23"/>
    <n v="100"/>
    <n v="4000"/>
    <x v="45"/>
    <x v="0"/>
    <n v="4"/>
    <n v="11"/>
    <n v="2004"/>
    <x v="1"/>
    <n v="214"/>
    <n v="-114"/>
    <x v="12"/>
    <x v="5"/>
    <x v="34"/>
    <x v="0"/>
    <x v="0"/>
    <x v="1"/>
  </r>
  <r>
    <x v="18"/>
    <n v="100"/>
    <n v="2600"/>
    <x v="46"/>
    <x v="0"/>
    <n v="4"/>
    <n v="11"/>
    <n v="2004"/>
    <x v="1"/>
    <n v="214"/>
    <n v="-114"/>
    <x v="12"/>
    <x v="5"/>
    <x v="4"/>
    <x v="0"/>
    <x v="0"/>
    <x v="1"/>
  </r>
  <r>
    <x v="0"/>
    <n v="100"/>
    <n v="3000"/>
    <x v="47"/>
    <x v="0"/>
    <n v="4"/>
    <n v="11"/>
    <n v="2004"/>
    <x v="1"/>
    <n v="214"/>
    <n v="-114"/>
    <x v="12"/>
    <x v="5"/>
    <x v="8"/>
    <x v="3"/>
    <x v="2"/>
    <x v="1"/>
  </r>
  <r>
    <x v="22"/>
    <n v="100"/>
    <n v="3200"/>
    <x v="48"/>
    <x v="0"/>
    <n v="4"/>
    <n v="12"/>
    <n v="2004"/>
    <x v="1"/>
    <n v="214"/>
    <n v="-114"/>
    <x v="12"/>
    <x v="5"/>
    <x v="33"/>
    <x v="0"/>
    <x v="0"/>
    <x v="1"/>
  </r>
  <r>
    <x v="2"/>
    <n v="100"/>
    <n v="4100"/>
    <x v="49"/>
    <x v="0"/>
    <n v="1"/>
    <n v="1"/>
    <n v="2005"/>
    <x v="1"/>
    <n v="214"/>
    <n v="-114"/>
    <x v="12"/>
    <x v="5"/>
    <x v="35"/>
    <x v="0"/>
    <x v="0"/>
    <x v="1"/>
  </r>
  <r>
    <x v="5"/>
    <n v="100"/>
    <n v="3600"/>
    <x v="50"/>
    <x v="0"/>
    <n v="1"/>
    <n v="2"/>
    <n v="2005"/>
    <x v="1"/>
    <n v="214"/>
    <n v="-114"/>
    <x v="12"/>
    <x v="5"/>
    <x v="4"/>
    <x v="0"/>
    <x v="0"/>
    <x v="2"/>
  </r>
  <r>
    <x v="16"/>
    <n v="100"/>
    <n v="2400"/>
    <x v="51"/>
    <x v="0"/>
    <n v="1"/>
    <n v="3"/>
    <n v="2005"/>
    <x v="1"/>
    <n v="214"/>
    <n v="-114"/>
    <x v="12"/>
    <x v="5"/>
    <x v="36"/>
    <x v="3"/>
    <x v="2"/>
    <x v="0"/>
  </r>
  <r>
    <x v="10"/>
    <n v="100"/>
    <n v="2300"/>
    <x v="52"/>
    <x v="0"/>
    <n v="2"/>
    <n v="5"/>
    <n v="2005"/>
    <x v="1"/>
    <n v="214"/>
    <n v="-114"/>
    <x v="12"/>
    <x v="5"/>
    <x v="37"/>
    <x v="10"/>
    <x v="0"/>
    <x v="1"/>
  </r>
  <r>
    <x v="24"/>
    <n v="100"/>
    <n v="5000"/>
    <x v="53"/>
    <x v="2"/>
    <n v="2"/>
    <n v="5"/>
    <n v="2005"/>
    <x v="1"/>
    <n v="214"/>
    <n v="-114"/>
    <x v="12"/>
    <x v="5"/>
    <x v="20"/>
    <x v="7"/>
    <x v="1"/>
    <x v="2"/>
  </r>
  <r>
    <x v="25"/>
    <n v="99.91"/>
    <n v="3896.49"/>
    <x v="0"/>
    <x v="0"/>
    <n v="1"/>
    <n v="2"/>
    <n v="2003"/>
    <x v="0"/>
    <n v="118"/>
    <n v="-18.090000000000003"/>
    <x v="13"/>
    <x v="1"/>
    <x v="0"/>
    <x v="0"/>
    <x v="0"/>
    <x v="1"/>
  </r>
  <r>
    <x v="6"/>
    <n v="96.34"/>
    <n v="2793.86"/>
    <x v="54"/>
    <x v="0"/>
    <n v="2"/>
    <n v="4"/>
    <n v="2003"/>
    <x v="0"/>
    <n v="118"/>
    <n v="-21.659999999999997"/>
    <x v="14"/>
    <x v="6"/>
    <x v="8"/>
    <x v="3"/>
    <x v="2"/>
    <x v="0"/>
  </r>
  <r>
    <x v="26"/>
    <n v="100"/>
    <n v="2700"/>
    <x v="2"/>
    <x v="0"/>
    <n v="3"/>
    <n v="7"/>
    <n v="2003"/>
    <x v="0"/>
    <n v="118"/>
    <n v="-18"/>
    <x v="15"/>
    <x v="1"/>
    <x v="2"/>
    <x v="1"/>
    <x v="1"/>
    <x v="1"/>
  </r>
  <r>
    <x v="9"/>
    <n v="100"/>
    <n v="3700"/>
    <x v="3"/>
    <x v="0"/>
    <n v="3"/>
    <n v="8"/>
    <n v="2003"/>
    <x v="0"/>
    <n v="118"/>
    <n v="-18"/>
    <x v="15"/>
    <x v="1"/>
    <x v="3"/>
    <x v="0"/>
    <x v="0"/>
    <x v="1"/>
  </r>
  <r>
    <x v="9"/>
    <n v="100"/>
    <n v="3700"/>
    <x v="4"/>
    <x v="0"/>
    <n v="4"/>
    <n v="10"/>
    <n v="2003"/>
    <x v="0"/>
    <n v="118"/>
    <n v="-18"/>
    <x v="15"/>
    <x v="1"/>
    <x v="4"/>
    <x v="0"/>
    <x v="0"/>
    <x v="1"/>
  </r>
  <r>
    <x v="26"/>
    <n v="100"/>
    <n v="2700"/>
    <x v="5"/>
    <x v="0"/>
    <n v="4"/>
    <n v="10"/>
    <n v="2003"/>
    <x v="0"/>
    <n v="118"/>
    <n v="-18"/>
    <x v="15"/>
    <x v="1"/>
    <x v="5"/>
    <x v="0"/>
    <x v="0"/>
    <x v="1"/>
  </r>
  <r>
    <x v="13"/>
    <n v="100"/>
    <n v="4200"/>
    <x v="6"/>
    <x v="0"/>
    <n v="4"/>
    <n v="11"/>
    <n v="2003"/>
    <x v="0"/>
    <n v="118"/>
    <n v="-18"/>
    <x v="15"/>
    <x v="1"/>
    <x v="6"/>
    <x v="1"/>
    <x v="1"/>
    <x v="1"/>
  </r>
  <r>
    <x v="19"/>
    <n v="96.34"/>
    <n v="3660.92"/>
    <x v="7"/>
    <x v="0"/>
    <n v="4"/>
    <n v="11"/>
    <n v="2003"/>
    <x v="0"/>
    <n v="118"/>
    <n v="-21.659999999999997"/>
    <x v="14"/>
    <x v="6"/>
    <x v="7"/>
    <x v="2"/>
    <x v="1"/>
    <x v="1"/>
  </r>
  <r>
    <x v="16"/>
    <n v="100"/>
    <n v="2400"/>
    <x v="8"/>
    <x v="0"/>
    <n v="4"/>
    <n v="12"/>
    <n v="2003"/>
    <x v="0"/>
    <n v="118"/>
    <n v="-18"/>
    <x v="15"/>
    <x v="1"/>
    <x v="4"/>
    <x v="0"/>
    <x v="0"/>
    <x v="1"/>
  </r>
  <r>
    <x v="10"/>
    <n v="100"/>
    <n v="2300"/>
    <x v="55"/>
    <x v="0"/>
    <n v="1"/>
    <n v="1"/>
    <n v="2004"/>
    <x v="0"/>
    <n v="118"/>
    <n v="-18"/>
    <x v="15"/>
    <x v="1"/>
    <x v="38"/>
    <x v="11"/>
    <x v="3"/>
    <x v="1"/>
  </r>
  <r>
    <x v="20"/>
    <n v="100"/>
    <n v="4700"/>
    <x v="10"/>
    <x v="0"/>
    <n v="1"/>
    <n v="2"/>
    <n v="2004"/>
    <x v="0"/>
    <n v="118"/>
    <n v="-18"/>
    <x v="15"/>
    <x v="1"/>
    <x v="8"/>
    <x v="3"/>
    <x v="2"/>
    <x v="1"/>
  </r>
  <r>
    <x v="8"/>
    <n v="100"/>
    <n v="2200"/>
    <x v="56"/>
    <x v="0"/>
    <n v="2"/>
    <n v="4"/>
    <n v="2004"/>
    <x v="0"/>
    <n v="118"/>
    <n v="-18"/>
    <x v="15"/>
    <x v="1"/>
    <x v="24"/>
    <x v="0"/>
    <x v="0"/>
    <x v="0"/>
  </r>
  <r>
    <x v="27"/>
    <n v="100"/>
    <n v="4400"/>
    <x v="12"/>
    <x v="0"/>
    <n v="2"/>
    <n v="5"/>
    <n v="2004"/>
    <x v="0"/>
    <n v="118"/>
    <n v="-18"/>
    <x v="15"/>
    <x v="1"/>
    <x v="9"/>
    <x v="0"/>
    <x v="0"/>
    <x v="1"/>
  </r>
  <r>
    <x v="23"/>
    <n v="100"/>
    <n v="4000"/>
    <x v="13"/>
    <x v="0"/>
    <n v="2"/>
    <n v="6"/>
    <n v="2004"/>
    <x v="0"/>
    <n v="118"/>
    <n v="-18"/>
    <x v="15"/>
    <x v="1"/>
    <x v="10"/>
    <x v="0"/>
    <x v="0"/>
    <x v="1"/>
  </r>
  <r>
    <x v="8"/>
    <n v="100"/>
    <n v="2200"/>
    <x v="14"/>
    <x v="0"/>
    <n v="3"/>
    <n v="7"/>
    <n v="2004"/>
    <x v="0"/>
    <n v="118"/>
    <n v="-18"/>
    <x v="15"/>
    <x v="1"/>
    <x v="11"/>
    <x v="1"/>
    <x v="1"/>
    <x v="0"/>
  </r>
  <r>
    <x v="20"/>
    <n v="100"/>
    <n v="4700"/>
    <x v="15"/>
    <x v="0"/>
    <n v="3"/>
    <n v="8"/>
    <n v="2004"/>
    <x v="0"/>
    <n v="118"/>
    <n v="-18"/>
    <x v="15"/>
    <x v="1"/>
    <x v="12"/>
    <x v="0"/>
    <x v="0"/>
    <x v="1"/>
  </r>
  <r>
    <x v="25"/>
    <n v="96.34"/>
    <n v="3757.26"/>
    <x v="57"/>
    <x v="0"/>
    <n v="3"/>
    <n v="9"/>
    <n v="2004"/>
    <x v="0"/>
    <n v="118"/>
    <n v="-21.659999999999997"/>
    <x v="14"/>
    <x v="6"/>
    <x v="11"/>
    <x v="1"/>
    <x v="1"/>
    <x v="1"/>
  </r>
  <r>
    <x v="1"/>
    <n v="100"/>
    <n v="3400"/>
    <x v="17"/>
    <x v="0"/>
    <n v="4"/>
    <n v="10"/>
    <n v="2004"/>
    <x v="0"/>
    <n v="118"/>
    <n v="-18"/>
    <x v="15"/>
    <x v="1"/>
    <x v="39"/>
    <x v="0"/>
    <x v="0"/>
    <x v="1"/>
  </r>
  <r>
    <x v="3"/>
    <n v="100"/>
    <n v="4500"/>
    <x v="18"/>
    <x v="0"/>
    <n v="4"/>
    <n v="11"/>
    <n v="2004"/>
    <x v="0"/>
    <n v="118"/>
    <n v="-18"/>
    <x v="15"/>
    <x v="1"/>
    <x v="15"/>
    <x v="0"/>
    <x v="0"/>
    <x v="1"/>
  </r>
  <r>
    <x v="14"/>
    <n v="100"/>
    <n v="2000"/>
    <x v="19"/>
    <x v="0"/>
    <n v="4"/>
    <n v="11"/>
    <n v="2004"/>
    <x v="0"/>
    <n v="118"/>
    <n v="-18"/>
    <x v="15"/>
    <x v="1"/>
    <x v="0"/>
    <x v="0"/>
    <x v="0"/>
    <x v="1"/>
  </r>
  <r>
    <x v="23"/>
    <n v="68.92"/>
    <n v="2756.8"/>
    <x v="58"/>
    <x v="0"/>
    <n v="4"/>
    <n v="11"/>
    <n v="2004"/>
    <x v="0"/>
    <n v="118"/>
    <n v="-49.08"/>
    <x v="16"/>
    <x v="5"/>
    <x v="29"/>
    <x v="11"/>
    <x v="3"/>
    <x v="0"/>
  </r>
  <r>
    <x v="18"/>
    <n v="51.15"/>
    <n v="1329.8999999999999"/>
    <x v="21"/>
    <x v="0"/>
    <n v="4"/>
    <n v="12"/>
    <n v="2004"/>
    <x v="0"/>
    <n v="118"/>
    <n v="-66.849999999999994"/>
    <x v="17"/>
    <x v="5"/>
    <x v="17"/>
    <x v="3"/>
    <x v="2"/>
    <x v="0"/>
  </r>
  <r>
    <x v="25"/>
    <n v="100"/>
    <n v="3900"/>
    <x v="59"/>
    <x v="0"/>
    <n v="1"/>
    <n v="2"/>
    <n v="2005"/>
    <x v="0"/>
    <n v="118"/>
    <n v="-18"/>
    <x v="15"/>
    <x v="1"/>
    <x v="23"/>
    <x v="3"/>
    <x v="2"/>
    <x v="1"/>
  </r>
  <r>
    <x v="24"/>
    <n v="44.51"/>
    <n v="2225.5"/>
    <x v="23"/>
    <x v="0"/>
    <n v="1"/>
    <n v="3"/>
    <n v="2005"/>
    <x v="0"/>
    <n v="118"/>
    <n v="-73.490000000000009"/>
    <x v="18"/>
    <x v="5"/>
    <x v="18"/>
    <x v="0"/>
    <x v="0"/>
    <x v="0"/>
  </r>
  <r>
    <x v="3"/>
    <n v="100"/>
    <n v="4500"/>
    <x v="60"/>
    <x v="0"/>
    <n v="2"/>
    <n v="4"/>
    <n v="2005"/>
    <x v="0"/>
    <n v="118"/>
    <n v="-18"/>
    <x v="15"/>
    <x v="1"/>
    <x v="2"/>
    <x v="1"/>
    <x v="1"/>
    <x v="1"/>
  </r>
  <r>
    <x v="3"/>
    <n v="100"/>
    <n v="4500"/>
    <x v="25"/>
    <x v="1"/>
    <n v="2"/>
    <n v="5"/>
    <n v="2005"/>
    <x v="0"/>
    <n v="118"/>
    <n v="-18"/>
    <x v="15"/>
    <x v="1"/>
    <x v="20"/>
    <x v="7"/>
    <x v="1"/>
    <x v="1"/>
  </r>
  <r>
    <x v="26"/>
    <n v="100"/>
    <n v="2700"/>
    <x v="0"/>
    <x v="0"/>
    <n v="1"/>
    <n v="2"/>
    <n v="2003"/>
    <x v="0"/>
    <n v="193"/>
    <n v="-93"/>
    <x v="19"/>
    <x v="5"/>
    <x v="0"/>
    <x v="0"/>
    <x v="0"/>
    <x v="1"/>
  </r>
  <r>
    <x v="12"/>
    <n v="100"/>
    <n v="4600"/>
    <x v="54"/>
    <x v="0"/>
    <n v="2"/>
    <n v="4"/>
    <n v="2003"/>
    <x v="0"/>
    <n v="193"/>
    <n v="-93"/>
    <x v="19"/>
    <x v="5"/>
    <x v="8"/>
    <x v="3"/>
    <x v="2"/>
    <x v="2"/>
  </r>
  <r>
    <x v="28"/>
    <n v="100"/>
    <n v="3100"/>
    <x v="2"/>
    <x v="0"/>
    <n v="3"/>
    <n v="7"/>
    <n v="2003"/>
    <x v="0"/>
    <n v="193"/>
    <n v="-93"/>
    <x v="19"/>
    <x v="5"/>
    <x v="2"/>
    <x v="1"/>
    <x v="1"/>
    <x v="2"/>
  </r>
  <r>
    <x v="29"/>
    <n v="100"/>
    <n v="3300"/>
    <x v="3"/>
    <x v="0"/>
    <n v="3"/>
    <n v="8"/>
    <n v="2003"/>
    <x v="0"/>
    <n v="193"/>
    <n v="-93"/>
    <x v="19"/>
    <x v="5"/>
    <x v="3"/>
    <x v="0"/>
    <x v="0"/>
    <x v="1"/>
  </r>
  <r>
    <x v="8"/>
    <n v="100"/>
    <n v="2200"/>
    <x v="4"/>
    <x v="0"/>
    <n v="4"/>
    <n v="10"/>
    <n v="2003"/>
    <x v="0"/>
    <n v="193"/>
    <n v="-93"/>
    <x v="19"/>
    <x v="5"/>
    <x v="4"/>
    <x v="0"/>
    <x v="0"/>
    <x v="1"/>
  </r>
  <r>
    <x v="14"/>
    <n v="100"/>
    <n v="2000"/>
    <x v="5"/>
    <x v="0"/>
    <n v="4"/>
    <n v="10"/>
    <n v="2003"/>
    <x v="0"/>
    <n v="193"/>
    <n v="-93"/>
    <x v="19"/>
    <x v="5"/>
    <x v="5"/>
    <x v="0"/>
    <x v="0"/>
    <x v="1"/>
  </r>
  <r>
    <x v="2"/>
    <n v="100"/>
    <n v="4100"/>
    <x v="6"/>
    <x v="0"/>
    <n v="4"/>
    <n v="11"/>
    <n v="2003"/>
    <x v="0"/>
    <n v="193"/>
    <n v="-93"/>
    <x v="19"/>
    <x v="5"/>
    <x v="6"/>
    <x v="1"/>
    <x v="1"/>
    <x v="2"/>
  </r>
  <r>
    <x v="3"/>
    <n v="100"/>
    <n v="4500"/>
    <x v="7"/>
    <x v="0"/>
    <n v="4"/>
    <n v="11"/>
    <n v="2003"/>
    <x v="0"/>
    <n v="193"/>
    <n v="-93"/>
    <x v="19"/>
    <x v="5"/>
    <x v="7"/>
    <x v="2"/>
    <x v="1"/>
    <x v="2"/>
  </r>
  <r>
    <x v="4"/>
    <n v="100"/>
    <n v="4900"/>
    <x v="8"/>
    <x v="0"/>
    <n v="4"/>
    <n v="12"/>
    <n v="2003"/>
    <x v="0"/>
    <n v="193"/>
    <n v="-93"/>
    <x v="19"/>
    <x v="5"/>
    <x v="4"/>
    <x v="0"/>
    <x v="0"/>
    <x v="2"/>
  </r>
  <r>
    <x v="1"/>
    <n v="100"/>
    <n v="3400"/>
    <x v="55"/>
    <x v="0"/>
    <n v="1"/>
    <n v="1"/>
    <n v="2004"/>
    <x v="0"/>
    <n v="193"/>
    <n v="-93"/>
    <x v="19"/>
    <x v="5"/>
    <x v="38"/>
    <x v="11"/>
    <x v="3"/>
    <x v="1"/>
  </r>
  <r>
    <x v="4"/>
    <n v="100"/>
    <n v="4900"/>
    <x v="10"/>
    <x v="0"/>
    <n v="1"/>
    <n v="2"/>
    <n v="2004"/>
    <x v="0"/>
    <n v="193"/>
    <n v="-93"/>
    <x v="19"/>
    <x v="5"/>
    <x v="8"/>
    <x v="3"/>
    <x v="2"/>
    <x v="2"/>
  </r>
  <r>
    <x v="25"/>
    <n v="100"/>
    <n v="3900"/>
    <x v="11"/>
    <x v="0"/>
    <n v="2"/>
    <n v="4"/>
    <n v="2004"/>
    <x v="0"/>
    <n v="193"/>
    <n v="-93"/>
    <x v="19"/>
    <x v="5"/>
    <x v="0"/>
    <x v="0"/>
    <x v="0"/>
    <x v="2"/>
  </r>
  <r>
    <x v="30"/>
    <n v="100"/>
    <n v="4300"/>
    <x v="12"/>
    <x v="0"/>
    <n v="2"/>
    <n v="5"/>
    <n v="2004"/>
    <x v="0"/>
    <n v="193"/>
    <n v="-93"/>
    <x v="19"/>
    <x v="5"/>
    <x v="9"/>
    <x v="0"/>
    <x v="0"/>
    <x v="2"/>
  </r>
  <r>
    <x v="2"/>
    <n v="100"/>
    <n v="4100"/>
    <x v="13"/>
    <x v="0"/>
    <n v="2"/>
    <n v="6"/>
    <n v="2004"/>
    <x v="0"/>
    <n v="193"/>
    <n v="-93"/>
    <x v="19"/>
    <x v="5"/>
    <x v="10"/>
    <x v="0"/>
    <x v="0"/>
    <x v="2"/>
  </r>
  <r>
    <x v="5"/>
    <n v="100"/>
    <n v="3600"/>
    <x v="14"/>
    <x v="0"/>
    <n v="3"/>
    <n v="7"/>
    <n v="2004"/>
    <x v="0"/>
    <n v="193"/>
    <n v="-93"/>
    <x v="19"/>
    <x v="5"/>
    <x v="11"/>
    <x v="1"/>
    <x v="1"/>
    <x v="1"/>
  </r>
  <r>
    <x v="26"/>
    <n v="100"/>
    <n v="2700"/>
    <x v="15"/>
    <x v="0"/>
    <n v="3"/>
    <n v="8"/>
    <n v="2004"/>
    <x v="0"/>
    <n v="193"/>
    <n v="-93"/>
    <x v="19"/>
    <x v="5"/>
    <x v="12"/>
    <x v="0"/>
    <x v="0"/>
    <x v="1"/>
  </r>
  <r>
    <x v="6"/>
    <n v="100"/>
    <n v="2900"/>
    <x v="16"/>
    <x v="0"/>
    <n v="3"/>
    <n v="9"/>
    <n v="2004"/>
    <x v="0"/>
    <n v="193"/>
    <n v="-93"/>
    <x v="19"/>
    <x v="5"/>
    <x v="13"/>
    <x v="4"/>
    <x v="1"/>
    <x v="1"/>
  </r>
  <r>
    <x v="14"/>
    <n v="100"/>
    <n v="2000"/>
    <x v="17"/>
    <x v="0"/>
    <n v="4"/>
    <n v="10"/>
    <n v="2004"/>
    <x v="0"/>
    <n v="193"/>
    <n v="-93"/>
    <x v="19"/>
    <x v="5"/>
    <x v="39"/>
    <x v="0"/>
    <x v="0"/>
    <x v="1"/>
  </r>
  <r>
    <x v="9"/>
    <n v="100"/>
    <n v="3700"/>
    <x v="18"/>
    <x v="0"/>
    <n v="4"/>
    <n v="11"/>
    <n v="2004"/>
    <x v="0"/>
    <n v="193"/>
    <n v="-93"/>
    <x v="19"/>
    <x v="5"/>
    <x v="15"/>
    <x v="0"/>
    <x v="0"/>
    <x v="2"/>
  </r>
  <r>
    <x v="18"/>
    <n v="100"/>
    <n v="2600"/>
    <x v="19"/>
    <x v="0"/>
    <n v="4"/>
    <n v="11"/>
    <n v="2004"/>
    <x v="0"/>
    <n v="193"/>
    <n v="-93"/>
    <x v="19"/>
    <x v="5"/>
    <x v="0"/>
    <x v="0"/>
    <x v="0"/>
    <x v="1"/>
  </r>
  <r>
    <x v="25"/>
    <n v="76.67"/>
    <n v="2990.13"/>
    <x v="58"/>
    <x v="0"/>
    <n v="4"/>
    <n v="11"/>
    <n v="2004"/>
    <x v="0"/>
    <n v="193"/>
    <n v="-116.33"/>
    <x v="20"/>
    <x v="5"/>
    <x v="29"/>
    <x v="11"/>
    <x v="3"/>
    <x v="0"/>
  </r>
  <r>
    <x v="8"/>
    <n v="100"/>
    <n v="2200"/>
    <x v="61"/>
    <x v="0"/>
    <n v="1"/>
    <n v="1"/>
    <n v="2005"/>
    <x v="0"/>
    <n v="193"/>
    <n v="-93"/>
    <x v="19"/>
    <x v="5"/>
    <x v="5"/>
    <x v="0"/>
    <x v="0"/>
    <x v="1"/>
  </r>
  <r>
    <x v="8"/>
    <n v="100"/>
    <n v="2200"/>
    <x v="59"/>
    <x v="0"/>
    <n v="1"/>
    <n v="2"/>
    <n v="2005"/>
    <x v="0"/>
    <n v="193"/>
    <n v="-93"/>
    <x v="19"/>
    <x v="5"/>
    <x v="23"/>
    <x v="3"/>
    <x v="2"/>
    <x v="1"/>
  </r>
  <r>
    <x v="15"/>
    <n v="86.77"/>
    <n v="1822.1699999999998"/>
    <x v="23"/>
    <x v="0"/>
    <n v="1"/>
    <n v="3"/>
    <n v="2005"/>
    <x v="0"/>
    <n v="193"/>
    <n v="-106.23"/>
    <x v="21"/>
    <x v="5"/>
    <x v="18"/>
    <x v="0"/>
    <x v="0"/>
    <x v="0"/>
  </r>
  <r>
    <x v="17"/>
    <n v="100"/>
    <n v="6600"/>
    <x v="24"/>
    <x v="0"/>
    <n v="2"/>
    <n v="4"/>
    <n v="2005"/>
    <x v="0"/>
    <n v="193"/>
    <n v="-93"/>
    <x v="19"/>
    <x v="5"/>
    <x v="19"/>
    <x v="6"/>
    <x v="1"/>
    <x v="2"/>
  </r>
  <r>
    <x v="31"/>
    <n v="100"/>
    <n v="5600"/>
    <x v="25"/>
    <x v="1"/>
    <n v="2"/>
    <n v="5"/>
    <n v="2005"/>
    <x v="0"/>
    <n v="193"/>
    <n v="-93"/>
    <x v="19"/>
    <x v="5"/>
    <x v="20"/>
    <x v="7"/>
    <x v="1"/>
    <x v="2"/>
  </r>
  <r>
    <x v="24"/>
    <n v="100"/>
    <n v="5000"/>
    <x v="62"/>
    <x v="0"/>
    <n v="1"/>
    <n v="2"/>
    <n v="2003"/>
    <x v="1"/>
    <n v="136"/>
    <n v="-36"/>
    <x v="22"/>
    <x v="5"/>
    <x v="40"/>
    <x v="13"/>
    <x v="1"/>
    <x v="2"/>
  </r>
  <r>
    <x v="12"/>
    <n v="100"/>
    <n v="4600"/>
    <x v="63"/>
    <x v="0"/>
    <n v="2"/>
    <n v="4"/>
    <n v="2003"/>
    <x v="1"/>
    <n v="136"/>
    <n v="-36"/>
    <x v="22"/>
    <x v="5"/>
    <x v="16"/>
    <x v="5"/>
    <x v="1"/>
    <x v="1"/>
  </r>
  <r>
    <x v="29"/>
    <n v="100"/>
    <n v="3300"/>
    <x v="64"/>
    <x v="0"/>
    <n v="2"/>
    <n v="6"/>
    <n v="2003"/>
    <x v="1"/>
    <n v="136"/>
    <n v="-36"/>
    <x v="22"/>
    <x v="5"/>
    <x v="41"/>
    <x v="6"/>
    <x v="1"/>
    <x v="1"/>
  </r>
  <r>
    <x v="4"/>
    <n v="100"/>
    <n v="4900"/>
    <x v="65"/>
    <x v="0"/>
    <n v="3"/>
    <n v="8"/>
    <n v="2003"/>
    <x v="1"/>
    <n v="136"/>
    <n v="-36"/>
    <x v="22"/>
    <x v="5"/>
    <x v="18"/>
    <x v="0"/>
    <x v="0"/>
    <x v="1"/>
  </r>
  <r>
    <x v="22"/>
    <n v="100"/>
    <n v="3200"/>
    <x v="66"/>
    <x v="0"/>
    <n v="4"/>
    <n v="10"/>
    <n v="2003"/>
    <x v="1"/>
    <n v="136"/>
    <n v="-36"/>
    <x v="22"/>
    <x v="5"/>
    <x v="13"/>
    <x v="4"/>
    <x v="1"/>
    <x v="1"/>
  </r>
  <r>
    <x v="27"/>
    <n v="100"/>
    <n v="4400"/>
    <x v="67"/>
    <x v="3"/>
    <n v="4"/>
    <n v="10"/>
    <n v="2003"/>
    <x v="1"/>
    <n v="136"/>
    <n v="-36"/>
    <x v="22"/>
    <x v="5"/>
    <x v="31"/>
    <x v="8"/>
    <x v="1"/>
    <x v="1"/>
  </r>
  <r>
    <x v="16"/>
    <n v="100"/>
    <n v="2400"/>
    <x v="68"/>
    <x v="0"/>
    <n v="4"/>
    <n v="11"/>
    <n v="2003"/>
    <x v="1"/>
    <n v="136"/>
    <n v="-36"/>
    <x v="22"/>
    <x v="5"/>
    <x v="42"/>
    <x v="1"/>
    <x v="1"/>
    <x v="1"/>
  </r>
  <r>
    <x v="18"/>
    <n v="100"/>
    <n v="2600"/>
    <x v="69"/>
    <x v="0"/>
    <n v="4"/>
    <n v="11"/>
    <n v="2003"/>
    <x v="1"/>
    <n v="136"/>
    <n v="-36"/>
    <x v="22"/>
    <x v="5"/>
    <x v="41"/>
    <x v="6"/>
    <x v="1"/>
    <x v="1"/>
  </r>
  <r>
    <x v="3"/>
    <n v="100"/>
    <n v="4500"/>
    <x v="70"/>
    <x v="0"/>
    <n v="4"/>
    <n v="11"/>
    <n v="2003"/>
    <x v="1"/>
    <n v="136"/>
    <n v="-36"/>
    <x v="22"/>
    <x v="5"/>
    <x v="43"/>
    <x v="7"/>
    <x v="1"/>
    <x v="1"/>
  </r>
  <r>
    <x v="25"/>
    <n v="100"/>
    <n v="3900"/>
    <x v="71"/>
    <x v="0"/>
    <n v="1"/>
    <n v="1"/>
    <n v="2004"/>
    <x v="1"/>
    <n v="136"/>
    <n v="-36"/>
    <x v="22"/>
    <x v="5"/>
    <x v="44"/>
    <x v="0"/>
    <x v="0"/>
    <x v="1"/>
  </r>
  <r>
    <x v="4"/>
    <n v="100"/>
    <n v="4900"/>
    <x v="72"/>
    <x v="0"/>
    <n v="1"/>
    <n v="2"/>
    <n v="2004"/>
    <x v="1"/>
    <n v="136"/>
    <n v="-36"/>
    <x v="22"/>
    <x v="5"/>
    <x v="45"/>
    <x v="0"/>
    <x v="0"/>
    <x v="1"/>
  </r>
  <r>
    <x v="14"/>
    <n v="100"/>
    <n v="2000"/>
    <x v="73"/>
    <x v="3"/>
    <n v="2"/>
    <n v="5"/>
    <n v="2004"/>
    <x v="1"/>
    <n v="136"/>
    <n v="-36"/>
    <x v="22"/>
    <x v="5"/>
    <x v="0"/>
    <x v="0"/>
    <x v="0"/>
    <x v="0"/>
  </r>
  <r>
    <x v="26"/>
    <n v="100"/>
    <n v="2700"/>
    <x v="74"/>
    <x v="0"/>
    <n v="2"/>
    <n v="6"/>
    <n v="2004"/>
    <x v="1"/>
    <n v="136"/>
    <n v="-36"/>
    <x v="22"/>
    <x v="5"/>
    <x v="37"/>
    <x v="10"/>
    <x v="0"/>
    <x v="1"/>
  </r>
  <r>
    <x v="0"/>
    <n v="100"/>
    <n v="3000"/>
    <x v="75"/>
    <x v="0"/>
    <n v="3"/>
    <n v="7"/>
    <n v="2004"/>
    <x v="1"/>
    <n v="136"/>
    <n v="-36"/>
    <x v="22"/>
    <x v="5"/>
    <x v="46"/>
    <x v="14"/>
    <x v="1"/>
    <x v="1"/>
  </r>
  <r>
    <x v="32"/>
    <n v="100"/>
    <n v="2500"/>
    <x v="76"/>
    <x v="0"/>
    <n v="3"/>
    <n v="8"/>
    <n v="2004"/>
    <x v="1"/>
    <n v="136"/>
    <n v="-36"/>
    <x v="22"/>
    <x v="5"/>
    <x v="47"/>
    <x v="10"/>
    <x v="0"/>
    <x v="0"/>
  </r>
  <r>
    <x v="16"/>
    <n v="100"/>
    <n v="2400"/>
    <x v="77"/>
    <x v="0"/>
    <n v="3"/>
    <n v="9"/>
    <n v="2004"/>
    <x v="1"/>
    <n v="136"/>
    <n v="-36"/>
    <x v="22"/>
    <x v="5"/>
    <x v="48"/>
    <x v="0"/>
    <x v="0"/>
    <x v="1"/>
  </r>
  <r>
    <x v="8"/>
    <n v="100"/>
    <n v="2200"/>
    <x v="78"/>
    <x v="0"/>
    <n v="4"/>
    <n v="10"/>
    <n v="2004"/>
    <x v="1"/>
    <n v="136"/>
    <n v="-36"/>
    <x v="22"/>
    <x v="5"/>
    <x v="24"/>
    <x v="0"/>
    <x v="0"/>
    <x v="0"/>
  </r>
  <r>
    <x v="29"/>
    <n v="100"/>
    <n v="3300"/>
    <x v="79"/>
    <x v="0"/>
    <n v="4"/>
    <n v="11"/>
    <n v="2004"/>
    <x v="1"/>
    <n v="136"/>
    <n v="-36"/>
    <x v="22"/>
    <x v="5"/>
    <x v="49"/>
    <x v="6"/>
    <x v="1"/>
    <x v="1"/>
  </r>
  <r>
    <x v="20"/>
    <n v="64.930000000000007"/>
    <n v="3051.7100000000005"/>
    <x v="80"/>
    <x v="0"/>
    <n v="4"/>
    <n v="11"/>
    <n v="2004"/>
    <x v="1"/>
    <n v="136"/>
    <n v="-71.069999999999993"/>
    <x v="23"/>
    <x v="5"/>
    <x v="14"/>
    <x v="2"/>
    <x v="1"/>
    <x v="1"/>
  </r>
  <r>
    <x v="32"/>
    <n v="48.05"/>
    <n v="1201.25"/>
    <x v="81"/>
    <x v="0"/>
    <n v="4"/>
    <n v="11"/>
    <n v="2004"/>
    <x v="1"/>
    <n v="136"/>
    <n v="-87.95"/>
    <x v="24"/>
    <x v="5"/>
    <x v="0"/>
    <x v="0"/>
    <x v="0"/>
    <x v="0"/>
  </r>
  <r>
    <x v="18"/>
    <n v="75.47"/>
    <n v="1962.22"/>
    <x v="82"/>
    <x v="0"/>
    <n v="4"/>
    <n v="12"/>
    <n v="2004"/>
    <x v="1"/>
    <n v="136"/>
    <n v="-60.53"/>
    <x v="25"/>
    <x v="5"/>
    <x v="20"/>
    <x v="7"/>
    <x v="1"/>
    <x v="0"/>
  </r>
  <r>
    <x v="7"/>
    <n v="54.68"/>
    <n v="2624.64"/>
    <x v="83"/>
    <x v="0"/>
    <n v="4"/>
    <n v="12"/>
    <n v="2004"/>
    <x v="1"/>
    <n v="136"/>
    <n v="-81.319999999999993"/>
    <x v="26"/>
    <x v="5"/>
    <x v="1"/>
    <x v="1"/>
    <x v="1"/>
    <x v="0"/>
  </r>
  <r>
    <x v="25"/>
    <n v="100"/>
    <n v="3900"/>
    <x v="84"/>
    <x v="0"/>
    <n v="1"/>
    <n v="1"/>
    <n v="2005"/>
    <x v="1"/>
    <n v="136"/>
    <n v="-36"/>
    <x v="22"/>
    <x v="5"/>
    <x v="50"/>
    <x v="4"/>
    <x v="1"/>
    <x v="1"/>
  </r>
  <r>
    <x v="1"/>
    <n v="100"/>
    <n v="3400"/>
    <x v="85"/>
    <x v="0"/>
    <n v="1"/>
    <n v="2"/>
    <n v="2005"/>
    <x v="1"/>
    <n v="136"/>
    <n v="-36"/>
    <x v="22"/>
    <x v="5"/>
    <x v="4"/>
    <x v="0"/>
    <x v="0"/>
    <x v="1"/>
  </r>
  <r>
    <x v="22"/>
    <n v="100"/>
    <n v="3200"/>
    <x v="86"/>
    <x v="0"/>
    <n v="1"/>
    <n v="3"/>
    <n v="2005"/>
    <x v="1"/>
    <n v="136"/>
    <n v="-36"/>
    <x v="22"/>
    <x v="5"/>
    <x v="2"/>
    <x v="1"/>
    <x v="1"/>
    <x v="1"/>
  </r>
  <r>
    <x v="33"/>
    <n v="100"/>
    <n v="6400"/>
    <x v="87"/>
    <x v="0"/>
    <n v="2"/>
    <n v="4"/>
    <n v="2005"/>
    <x v="1"/>
    <n v="136"/>
    <n v="-36"/>
    <x v="22"/>
    <x v="5"/>
    <x v="51"/>
    <x v="0"/>
    <x v="0"/>
    <x v="2"/>
  </r>
  <r>
    <x v="34"/>
    <n v="100"/>
    <n v="1900"/>
    <x v="88"/>
    <x v="4"/>
    <n v="2"/>
    <n v="5"/>
    <n v="2005"/>
    <x v="1"/>
    <n v="136"/>
    <n v="-36"/>
    <x v="22"/>
    <x v="5"/>
    <x v="48"/>
    <x v="0"/>
    <x v="0"/>
    <x v="0"/>
  </r>
  <r>
    <x v="13"/>
    <n v="100"/>
    <n v="4200"/>
    <x v="26"/>
    <x v="0"/>
    <n v="1"/>
    <n v="1"/>
    <n v="2003"/>
    <x v="1"/>
    <n v="147"/>
    <n v="-47"/>
    <x v="27"/>
    <x v="5"/>
    <x v="14"/>
    <x v="2"/>
    <x v="1"/>
    <x v="1"/>
  </r>
  <r>
    <x v="28"/>
    <n v="100"/>
    <n v="3100"/>
    <x v="89"/>
    <x v="0"/>
    <n v="2"/>
    <n v="4"/>
    <n v="2003"/>
    <x v="1"/>
    <n v="147"/>
    <n v="-47"/>
    <x v="27"/>
    <x v="5"/>
    <x v="2"/>
    <x v="1"/>
    <x v="1"/>
    <x v="1"/>
  </r>
  <r>
    <x v="8"/>
    <n v="100"/>
    <n v="2200"/>
    <x v="28"/>
    <x v="0"/>
    <n v="2"/>
    <n v="5"/>
    <n v="2003"/>
    <x v="1"/>
    <n v="147"/>
    <n v="-47"/>
    <x v="27"/>
    <x v="5"/>
    <x v="20"/>
    <x v="7"/>
    <x v="1"/>
    <x v="1"/>
  </r>
  <r>
    <x v="18"/>
    <n v="100"/>
    <n v="2600"/>
    <x v="29"/>
    <x v="0"/>
    <n v="3"/>
    <n v="7"/>
    <n v="2003"/>
    <x v="1"/>
    <n v="147"/>
    <n v="-47"/>
    <x v="27"/>
    <x v="5"/>
    <x v="5"/>
    <x v="0"/>
    <x v="0"/>
    <x v="1"/>
  </r>
  <r>
    <x v="14"/>
    <n v="100"/>
    <n v="2000"/>
    <x v="30"/>
    <x v="0"/>
    <n v="3"/>
    <n v="9"/>
    <n v="2003"/>
    <x v="1"/>
    <n v="147"/>
    <n v="-47"/>
    <x v="27"/>
    <x v="5"/>
    <x v="22"/>
    <x v="9"/>
    <x v="2"/>
    <x v="1"/>
  </r>
  <r>
    <x v="15"/>
    <n v="100"/>
    <n v="2100"/>
    <x v="90"/>
    <x v="5"/>
    <n v="4"/>
    <n v="10"/>
    <n v="2003"/>
    <x v="1"/>
    <n v="147"/>
    <n v="-47"/>
    <x v="27"/>
    <x v="5"/>
    <x v="52"/>
    <x v="5"/>
    <x v="1"/>
    <x v="1"/>
  </r>
  <r>
    <x v="29"/>
    <n v="100"/>
    <n v="3300"/>
    <x v="32"/>
    <x v="0"/>
    <n v="4"/>
    <n v="11"/>
    <n v="2003"/>
    <x v="1"/>
    <n v="147"/>
    <n v="-47"/>
    <x v="27"/>
    <x v="5"/>
    <x v="41"/>
    <x v="6"/>
    <x v="1"/>
    <x v="1"/>
  </r>
  <r>
    <x v="11"/>
    <n v="100"/>
    <n v="2800"/>
    <x v="33"/>
    <x v="0"/>
    <n v="4"/>
    <n v="11"/>
    <n v="2003"/>
    <x v="1"/>
    <n v="147"/>
    <n v="-47"/>
    <x v="27"/>
    <x v="5"/>
    <x v="24"/>
    <x v="0"/>
    <x v="0"/>
    <x v="1"/>
  </r>
  <r>
    <x v="18"/>
    <n v="100"/>
    <n v="2600"/>
    <x v="34"/>
    <x v="0"/>
    <n v="4"/>
    <n v="11"/>
    <n v="2003"/>
    <x v="1"/>
    <n v="147"/>
    <n v="-47"/>
    <x v="27"/>
    <x v="5"/>
    <x v="25"/>
    <x v="1"/>
    <x v="1"/>
    <x v="1"/>
  </r>
  <r>
    <x v="28"/>
    <n v="100"/>
    <n v="3100"/>
    <x v="91"/>
    <x v="0"/>
    <n v="4"/>
    <n v="12"/>
    <n v="2003"/>
    <x v="1"/>
    <n v="147"/>
    <n v="-47"/>
    <x v="27"/>
    <x v="5"/>
    <x v="48"/>
    <x v="0"/>
    <x v="0"/>
    <x v="1"/>
  </r>
  <r>
    <x v="7"/>
    <n v="100"/>
    <n v="4800"/>
    <x v="92"/>
    <x v="0"/>
    <n v="1"/>
    <n v="2"/>
    <n v="2004"/>
    <x v="1"/>
    <n v="147"/>
    <n v="-47"/>
    <x v="27"/>
    <x v="5"/>
    <x v="22"/>
    <x v="9"/>
    <x v="2"/>
    <x v="2"/>
  </r>
  <r>
    <x v="24"/>
    <n v="100"/>
    <n v="5000"/>
    <x v="93"/>
    <x v="0"/>
    <n v="1"/>
    <n v="3"/>
    <n v="2004"/>
    <x v="1"/>
    <n v="147"/>
    <n v="-47"/>
    <x v="27"/>
    <x v="5"/>
    <x v="33"/>
    <x v="0"/>
    <x v="0"/>
    <x v="1"/>
  </r>
  <r>
    <x v="11"/>
    <n v="100"/>
    <n v="2800"/>
    <x v="38"/>
    <x v="0"/>
    <n v="2"/>
    <n v="5"/>
    <n v="2004"/>
    <x v="1"/>
    <n v="147"/>
    <n v="-47"/>
    <x v="27"/>
    <x v="5"/>
    <x v="28"/>
    <x v="0"/>
    <x v="0"/>
    <x v="1"/>
  </r>
  <r>
    <x v="18"/>
    <n v="100"/>
    <n v="2600"/>
    <x v="39"/>
    <x v="0"/>
    <n v="2"/>
    <n v="6"/>
    <n v="2004"/>
    <x v="1"/>
    <n v="147"/>
    <n v="-47"/>
    <x v="27"/>
    <x v="5"/>
    <x v="22"/>
    <x v="9"/>
    <x v="2"/>
    <x v="1"/>
  </r>
  <r>
    <x v="22"/>
    <n v="100"/>
    <n v="3200"/>
    <x v="40"/>
    <x v="0"/>
    <n v="3"/>
    <n v="7"/>
    <n v="2004"/>
    <x v="1"/>
    <n v="147"/>
    <n v="-47"/>
    <x v="27"/>
    <x v="5"/>
    <x v="17"/>
    <x v="3"/>
    <x v="2"/>
    <x v="1"/>
  </r>
  <r>
    <x v="27"/>
    <n v="100"/>
    <n v="4400"/>
    <x v="94"/>
    <x v="0"/>
    <n v="3"/>
    <n v="8"/>
    <n v="2004"/>
    <x v="1"/>
    <n v="147"/>
    <n v="-47"/>
    <x v="27"/>
    <x v="5"/>
    <x v="15"/>
    <x v="0"/>
    <x v="0"/>
    <x v="2"/>
  </r>
  <r>
    <x v="0"/>
    <n v="100"/>
    <n v="3000"/>
    <x v="42"/>
    <x v="0"/>
    <n v="3"/>
    <n v="9"/>
    <n v="2004"/>
    <x v="1"/>
    <n v="147"/>
    <n v="-47"/>
    <x v="27"/>
    <x v="5"/>
    <x v="31"/>
    <x v="8"/>
    <x v="1"/>
    <x v="1"/>
  </r>
  <r>
    <x v="19"/>
    <n v="100"/>
    <n v="3800"/>
    <x v="95"/>
    <x v="0"/>
    <n v="4"/>
    <n v="10"/>
    <n v="2004"/>
    <x v="1"/>
    <n v="147"/>
    <n v="-47"/>
    <x v="27"/>
    <x v="5"/>
    <x v="12"/>
    <x v="0"/>
    <x v="0"/>
    <x v="1"/>
  </r>
  <r>
    <x v="23"/>
    <n v="100"/>
    <n v="4000"/>
    <x v="96"/>
    <x v="0"/>
    <n v="4"/>
    <n v="10"/>
    <n v="2004"/>
    <x v="1"/>
    <n v="147"/>
    <n v="-47"/>
    <x v="27"/>
    <x v="5"/>
    <x v="26"/>
    <x v="10"/>
    <x v="0"/>
    <x v="1"/>
  </r>
  <r>
    <x v="12"/>
    <n v="61.99"/>
    <n v="2851.54"/>
    <x v="45"/>
    <x v="0"/>
    <n v="4"/>
    <n v="11"/>
    <n v="2004"/>
    <x v="1"/>
    <n v="147"/>
    <n v="-85.009999999999991"/>
    <x v="28"/>
    <x v="5"/>
    <x v="34"/>
    <x v="0"/>
    <x v="0"/>
    <x v="0"/>
  </r>
  <r>
    <x v="18"/>
    <n v="100"/>
    <n v="2600"/>
    <x v="97"/>
    <x v="4"/>
    <n v="4"/>
    <n v="11"/>
    <n v="2004"/>
    <x v="1"/>
    <n v="147"/>
    <n v="-47"/>
    <x v="27"/>
    <x v="5"/>
    <x v="21"/>
    <x v="8"/>
    <x v="1"/>
    <x v="1"/>
  </r>
  <r>
    <x v="26"/>
    <n v="100"/>
    <n v="2700"/>
    <x v="47"/>
    <x v="0"/>
    <n v="4"/>
    <n v="11"/>
    <n v="2004"/>
    <x v="1"/>
    <n v="147"/>
    <n v="-47"/>
    <x v="27"/>
    <x v="5"/>
    <x v="8"/>
    <x v="3"/>
    <x v="2"/>
    <x v="1"/>
  </r>
  <r>
    <x v="30"/>
    <n v="100"/>
    <n v="4300"/>
    <x v="48"/>
    <x v="0"/>
    <n v="4"/>
    <n v="12"/>
    <n v="2004"/>
    <x v="1"/>
    <n v="147"/>
    <n v="-47"/>
    <x v="27"/>
    <x v="5"/>
    <x v="33"/>
    <x v="0"/>
    <x v="0"/>
    <x v="1"/>
  </r>
  <r>
    <x v="21"/>
    <n v="65.63"/>
    <n v="2297.0499999999997"/>
    <x v="49"/>
    <x v="0"/>
    <n v="1"/>
    <n v="1"/>
    <n v="2005"/>
    <x v="1"/>
    <n v="147"/>
    <n v="-81.37"/>
    <x v="29"/>
    <x v="5"/>
    <x v="36"/>
    <x v="3"/>
    <x v="2"/>
    <x v="0"/>
  </r>
  <r>
    <x v="9"/>
    <n v="100"/>
    <n v="3700"/>
    <x v="50"/>
    <x v="0"/>
    <n v="1"/>
    <n v="2"/>
    <n v="2005"/>
    <x v="1"/>
    <n v="147"/>
    <n v="-47"/>
    <x v="27"/>
    <x v="5"/>
    <x v="4"/>
    <x v="0"/>
    <x v="0"/>
    <x v="1"/>
  </r>
  <r>
    <x v="9"/>
    <n v="46.9"/>
    <n v="1735.3"/>
    <x v="51"/>
    <x v="0"/>
    <n v="1"/>
    <n v="3"/>
    <n v="2005"/>
    <x v="1"/>
    <n v="147"/>
    <n v="-100.1"/>
    <x v="30"/>
    <x v="5"/>
    <x v="36"/>
    <x v="3"/>
    <x v="2"/>
    <x v="0"/>
  </r>
  <r>
    <x v="26"/>
    <n v="100"/>
    <n v="2700"/>
    <x v="52"/>
    <x v="0"/>
    <n v="2"/>
    <n v="5"/>
    <n v="2005"/>
    <x v="1"/>
    <n v="147"/>
    <n v="-47"/>
    <x v="27"/>
    <x v="5"/>
    <x v="37"/>
    <x v="10"/>
    <x v="0"/>
    <x v="1"/>
  </r>
  <r>
    <x v="19"/>
    <n v="100"/>
    <n v="3800"/>
    <x v="53"/>
    <x v="2"/>
    <n v="2"/>
    <n v="5"/>
    <n v="2005"/>
    <x v="1"/>
    <n v="147"/>
    <n v="-47"/>
    <x v="27"/>
    <x v="5"/>
    <x v="11"/>
    <x v="1"/>
    <x v="1"/>
    <x v="1"/>
  </r>
  <r>
    <x v="29"/>
    <n v="100"/>
    <n v="3300"/>
    <x v="98"/>
    <x v="0"/>
    <n v="1"/>
    <n v="3"/>
    <n v="2003"/>
    <x v="1"/>
    <n v="194"/>
    <n v="-94"/>
    <x v="31"/>
    <x v="5"/>
    <x v="53"/>
    <x v="15"/>
    <x v="2"/>
    <x v="1"/>
  </r>
  <r>
    <x v="13"/>
    <n v="100"/>
    <n v="4200"/>
    <x v="99"/>
    <x v="0"/>
    <n v="2"/>
    <n v="5"/>
    <n v="2003"/>
    <x v="1"/>
    <n v="194"/>
    <n v="-94"/>
    <x v="31"/>
    <x v="5"/>
    <x v="54"/>
    <x v="1"/>
    <x v="1"/>
    <x v="2"/>
  </r>
  <r>
    <x v="13"/>
    <n v="100"/>
    <n v="4200"/>
    <x v="100"/>
    <x v="0"/>
    <n v="3"/>
    <n v="7"/>
    <n v="2003"/>
    <x v="1"/>
    <n v="194"/>
    <n v="-94"/>
    <x v="31"/>
    <x v="5"/>
    <x v="33"/>
    <x v="0"/>
    <x v="0"/>
    <x v="2"/>
  </r>
  <r>
    <x v="7"/>
    <n v="100"/>
    <n v="4800"/>
    <x v="101"/>
    <x v="0"/>
    <n v="3"/>
    <n v="9"/>
    <n v="2003"/>
    <x v="1"/>
    <n v="194"/>
    <n v="-94"/>
    <x v="31"/>
    <x v="5"/>
    <x v="35"/>
    <x v="0"/>
    <x v="0"/>
    <x v="2"/>
  </r>
  <r>
    <x v="2"/>
    <n v="100"/>
    <n v="4100"/>
    <x v="4"/>
    <x v="0"/>
    <n v="4"/>
    <n v="10"/>
    <n v="2003"/>
    <x v="1"/>
    <n v="194"/>
    <n v="-94"/>
    <x v="31"/>
    <x v="5"/>
    <x v="4"/>
    <x v="0"/>
    <x v="0"/>
    <x v="2"/>
  </r>
  <r>
    <x v="0"/>
    <n v="100"/>
    <n v="3000"/>
    <x v="102"/>
    <x v="0"/>
    <n v="4"/>
    <n v="11"/>
    <n v="2003"/>
    <x v="1"/>
    <n v="194"/>
    <n v="-94"/>
    <x v="31"/>
    <x v="5"/>
    <x v="36"/>
    <x v="3"/>
    <x v="2"/>
    <x v="1"/>
  </r>
  <r>
    <x v="26"/>
    <n v="100"/>
    <n v="2700"/>
    <x v="103"/>
    <x v="0"/>
    <n v="4"/>
    <n v="11"/>
    <n v="2003"/>
    <x v="1"/>
    <n v="194"/>
    <n v="-94"/>
    <x v="31"/>
    <x v="5"/>
    <x v="7"/>
    <x v="2"/>
    <x v="1"/>
    <x v="1"/>
  </r>
  <r>
    <x v="15"/>
    <n v="100"/>
    <n v="2100"/>
    <x v="104"/>
    <x v="0"/>
    <n v="4"/>
    <n v="11"/>
    <n v="2003"/>
    <x v="1"/>
    <n v="194"/>
    <n v="-94"/>
    <x v="31"/>
    <x v="5"/>
    <x v="55"/>
    <x v="16"/>
    <x v="1"/>
    <x v="1"/>
  </r>
  <r>
    <x v="14"/>
    <n v="100"/>
    <n v="2000"/>
    <x v="105"/>
    <x v="0"/>
    <n v="4"/>
    <n v="12"/>
    <n v="2003"/>
    <x v="1"/>
    <n v="194"/>
    <n v="-94"/>
    <x v="31"/>
    <x v="5"/>
    <x v="20"/>
    <x v="7"/>
    <x v="1"/>
    <x v="1"/>
  </r>
  <r>
    <x v="2"/>
    <n v="100"/>
    <n v="4100"/>
    <x v="9"/>
    <x v="0"/>
    <n v="1"/>
    <n v="1"/>
    <n v="2004"/>
    <x v="1"/>
    <n v="194"/>
    <n v="-94"/>
    <x v="31"/>
    <x v="5"/>
    <x v="2"/>
    <x v="1"/>
    <x v="1"/>
    <x v="2"/>
  </r>
  <r>
    <x v="26"/>
    <n v="100"/>
    <n v="2700"/>
    <x v="106"/>
    <x v="0"/>
    <n v="1"/>
    <n v="2"/>
    <n v="2004"/>
    <x v="1"/>
    <n v="194"/>
    <n v="-94"/>
    <x v="31"/>
    <x v="5"/>
    <x v="56"/>
    <x v="17"/>
    <x v="1"/>
    <x v="1"/>
  </r>
  <r>
    <x v="11"/>
    <n v="100"/>
    <n v="2800"/>
    <x v="107"/>
    <x v="0"/>
    <n v="2"/>
    <n v="4"/>
    <n v="2004"/>
    <x v="1"/>
    <n v="194"/>
    <n v="-94"/>
    <x v="31"/>
    <x v="5"/>
    <x v="40"/>
    <x v="13"/>
    <x v="1"/>
    <x v="1"/>
  </r>
  <r>
    <x v="16"/>
    <n v="100"/>
    <n v="2400"/>
    <x v="108"/>
    <x v="3"/>
    <n v="2"/>
    <n v="6"/>
    <n v="2004"/>
    <x v="1"/>
    <n v="194"/>
    <n v="-94"/>
    <x v="31"/>
    <x v="5"/>
    <x v="19"/>
    <x v="6"/>
    <x v="1"/>
    <x v="1"/>
  </r>
  <r>
    <x v="27"/>
    <n v="100"/>
    <n v="4400"/>
    <x v="109"/>
    <x v="0"/>
    <n v="3"/>
    <n v="7"/>
    <n v="2004"/>
    <x v="1"/>
    <n v="194"/>
    <n v="-94"/>
    <x v="31"/>
    <x v="5"/>
    <x v="57"/>
    <x v="12"/>
    <x v="1"/>
    <x v="2"/>
  </r>
  <r>
    <x v="24"/>
    <n v="100"/>
    <n v="5000"/>
    <x v="110"/>
    <x v="0"/>
    <n v="3"/>
    <n v="8"/>
    <n v="2004"/>
    <x v="1"/>
    <n v="194"/>
    <n v="-94"/>
    <x v="31"/>
    <x v="5"/>
    <x v="35"/>
    <x v="0"/>
    <x v="0"/>
    <x v="2"/>
  </r>
  <r>
    <x v="15"/>
    <n v="100"/>
    <n v="2100"/>
    <x v="111"/>
    <x v="0"/>
    <n v="3"/>
    <n v="8"/>
    <n v="2004"/>
    <x v="1"/>
    <n v="194"/>
    <n v="-94"/>
    <x v="31"/>
    <x v="5"/>
    <x v="56"/>
    <x v="17"/>
    <x v="1"/>
    <x v="1"/>
  </r>
  <r>
    <x v="29"/>
    <n v="100"/>
    <n v="3300"/>
    <x v="112"/>
    <x v="0"/>
    <n v="4"/>
    <n v="10"/>
    <n v="2003"/>
    <x v="1"/>
    <n v="194"/>
    <n v="-94"/>
    <x v="31"/>
    <x v="5"/>
    <x v="58"/>
    <x v="16"/>
    <x v="1"/>
    <x v="1"/>
  </r>
  <r>
    <x v="29"/>
    <n v="100"/>
    <n v="3300"/>
    <x v="113"/>
    <x v="0"/>
    <n v="4"/>
    <n v="10"/>
    <n v="2004"/>
    <x v="1"/>
    <n v="194"/>
    <n v="-94"/>
    <x v="31"/>
    <x v="5"/>
    <x v="55"/>
    <x v="16"/>
    <x v="1"/>
    <x v="1"/>
  </r>
  <r>
    <x v="28"/>
    <n v="100"/>
    <n v="3100"/>
    <x v="114"/>
    <x v="0"/>
    <n v="4"/>
    <n v="11"/>
    <n v="2004"/>
    <x v="1"/>
    <n v="194"/>
    <n v="-94"/>
    <x v="31"/>
    <x v="5"/>
    <x v="21"/>
    <x v="8"/>
    <x v="1"/>
    <x v="1"/>
  </r>
  <r>
    <x v="2"/>
    <n v="71.47"/>
    <n v="2930.27"/>
    <x v="19"/>
    <x v="0"/>
    <n v="4"/>
    <n v="11"/>
    <n v="2004"/>
    <x v="1"/>
    <n v="194"/>
    <n v="-122.53"/>
    <x v="32"/>
    <x v="5"/>
    <x v="0"/>
    <x v="0"/>
    <x v="0"/>
    <x v="0"/>
  </r>
  <r>
    <x v="3"/>
    <n v="79.650000000000006"/>
    <n v="3584.2500000000005"/>
    <x v="20"/>
    <x v="0"/>
    <n v="4"/>
    <n v="11"/>
    <n v="2004"/>
    <x v="1"/>
    <n v="194"/>
    <n v="-114.35"/>
    <x v="33"/>
    <x v="5"/>
    <x v="16"/>
    <x v="5"/>
    <x v="1"/>
    <x v="1"/>
  </r>
  <r>
    <x v="29"/>
    <n v="85.39"/>
    <n v="2817.87"/>
    <x v="115"/>
    <x v="0"/>
    <n v="1"/>
    <n v="1"/>
    <n v="2005"/>
    <x v="1"/>
    <n v="194"/>
    <n v="-108.61"/>
    <x v="34"/>
    <x v="5"/>
    <x v="59"/>
    <x v="4"/>
    <x v="1"/>
    <x v="0"/>
  </r>
  <r>
    <x v="3"/>
    <n v="76"/>
    <n v="3420"/>
    <x v="22"/>
    <x v="0"/>
    <n v="1"/>
    <n v="2"/>
    <n v="2005"/>
    <x v="1"/>
    <n v="194"/>
    <n v="-118"/>
    <x v="35"/>
    <x v="5"/>
    <x v="11"/>
    <x v="1"/>
    <x v="1"/>
    <x v="1"/>
  </r>
  <r>
    <x v="18"/>
    <n v="99.04"/>
    <n v="2575.04"/>
    <x v="23"/>
    <x v="0"/>
    <n v="1"/>
    <n v="3"/>
    <n v="2005"/>
    <x v="1"/>
    <n v="194"/>
    <n v="-94.96"/>
    <x v="36"/>
    <x v="5"/>
    <x v="31"/>
    <x v="8"/>
    <x v="1"/>
    <x v="0"/>
  </r>
  <r>
    <x v="35"/>
    <n v="100"/>
    <n v="1200"/>
    <x v="116"/>
    <x v="0"/>
    <n v="2"/>
    <n v="5"/>
    <n v="2005"/>
    <x v="1"/>
    <n v="194"/>
    <n v="-94"/>
    <x v="31"/>
    <x v="5"/>
    <x v="16"/>
    <x v="5"/>
    <x v="1"/>
    <x v="0"/>
  </r>
  <r>
    <x v="2"/>
    <n v="100"/>
    <n v="4100"/>
    <x v="62"/>
    <x v="0"/>
    <n v="1"/>
    <n v="2"/>
    <n v="2003"/>
    <x v="1"/>
    <n v="207"/>
    <n v="-107"/>
    <x v="37"/>
    <x v="5"/>
    <x v="40"/>
    <x v="13"/>
    <x v="1"/>
    <x v="2"/>
  </r>
  <r>
    <x v="29"/>
    <n v="100"/>
    <n v="3300"/>
    <x v="117"/>
    <x v="0"/>
    <n v="2"/>
    <n v="4"/>
    <n v="2003"/>
    <x v="1"/>
    <n v="207"/>
    <n v="-107"/>
    <x v="37"/>
    <x v="5"/>
    <x v="22"/>
    <x v="9"/>
    <x v="2"/>
    <x v="1"/>
  </r>
  <r>
    <x v="12"/>
    <n v="100"/>
    <n v="4600"/>
    <x v="118"/>
    <x v="0"/>
    <n v="2"/>
    <n v="6"/>
    <n v="2003"/>
    <x v="1"/>
    <n v="207"/>
    <n v="-107"/>
    <x v="37"/>
    <x v="5"/>
    <x v="0"/>
    <x v="0"/>
    <x v="0"/>
    <x v="2"/>
  </r>
  <r>
    <x v="29"/>
    <n v="100"/>
    <n v="3300"/>
    <x v="119"/>
    <x v="0"/>
    <n v="3"/>
    <n v="8"/>
    <n v="2003"/>
    <x v="1"/>
    <n v="207"/>
    <n v="-107"/>
    <x v="37"/>
    <x v="5"/>
    <x v="33"/>
    <x v="0"/>
    <x v="0"/>
    <x v="2"/>
  </r>
  <r>
    <x v="14"/>
    <n v="100"/>
    <n v="2000"/>
    <x v="120"/>
    <x v="0"/>
    <n v="3"/>
    <n v="9"/>
    <n v="2003"/>
    <x v="1"/>
    <n v="207"/>
    <n v="-107"/>
    <x v="37"/>
    <x v="5"/>
    <x v="20"/>
    <x v="7"/>
    <x v="1"/>
    <x v="1"/>
  </r>
  <r>
    <x v="27"/>
    <n v="100"/>
    <n v="4400"/>
    <x v="121"/>
    <x v="0"/>
    <n v="4"/>
    <n v="10"/>
    <n v="2003"/>
    <x v="1"/>
    <n v="207"/>
    <n v="-107"/>
    <x v="37"/>
    <x v="5"/>
    <x v="22"/>
    <x v="9"/>
    <x v="2"/>
    <x v="2"/>
  </r>
  <r>
    <x v="29"/>
    <n v="100"/>
    <n v="3300"/>
    <x v="32"/>
    <x v="0"/>
    <n v="4"/>
    <n v="11"/>
    <n v="2003"/>
    <x v="1"/>
    <n v="207"/>
    <n v="-107"/>
    <x v="37"/>
    <x v="5"/>
    <x v="57"/>
    <x v="12"/>
    <x v="1"/>
    <x v="2"/>
  </r>
  <r>
    <x v="15"/>
    <n v="100"/>
    <n v="2100"/>
    <x v="69"/>
    <x v="0"/>
    <n v="4"/>
    <n v="11"/>
    <n v="2003"/>
    <x v="1"/>
    <n v="207"/>
    <n v="-107"/>
    <x v="37"/>
    <x v="5"/>
    <x v="18"/>
    <x v="0"/>
    <x v="0"/>
    <x v="1"/>
  </r>
  <r>
    <x v="20"/>
    <n v="100"/>
    <n v="4700"/>
    <x v="70"/>
    <x v="0"/>
    <n v="4"/>
    <n v="11"/>
    <n v="2003"/>
    <x v="1"/>
    <n v="207"/>
    <n v="-107"/>
    <x v="37"/>
    <x v="5"/>
    <x v="28"/>
    <x v="0"/>
    <x v="0"/>
    <x v="2"/>
  </r>
  <r>
    <x v="12"/>
    <n v="100"/>
    <n v="4600"/>
    <x v="122"/>
    <x v="0"/>
    <n v="1"/>
    <n v="1"/>
    <n v="2004"/>
    <x v="1"/>
    <n v="207"/>
    <n v="-107"/>
    <x v="37"/>
    <x v="5"/>
    <x v="25"/>
    <x v="1"/>
    <x v="1"/>
    <x v="2"/>
  </r>
  <r>
    <x v="22"/>
    <n v="100"/>
    <n v="3200"/>
    <x v="123"/>
    <x v="0"/>
    <n v="1"/>
    <n v="2"/>
    <n v="2004"/>
    <x v="1"/>
    <n v="207"/>
    <n v="-107"/>
    <x v="37"/>
    <x v="5"/>
    <x v="60"/>
    <x v="18"/>
    <x v="1"/>
    <x v="2"/>
  </r>
  <r>
    <x v="13"/>
    <n v="100"/>
    <n v="4200"/>
    <x v="124"/>
    <x v="0"/>
    <n v="1"/>
    <n v="3"/>
    <n v="2004"/>
    <x v="1"/>
    <n v="207"/>
    <n v="-107"/>
    <x v="37"/>
    <x v="5"/>
    <x v="20"/>
    <x v="7"/>
    <x v="1"/>
    <x v="2"/>
  </r>
  <r>
    <x v="27"/>
    <n v="100"/>
    <n v="4400"/>
    <x v="125"/>
    <x v="0"/>
    <n v="2"/>
    <n v="5"/>
    <n v="2004"/>
    <x v="1"/>
    <n v="207"/>
    <n v="-107"/>
    <x v="37"/>
    <x v="5"/>
    <x v="59"/>
    <x v="4"/>
    <x v="1"/>
    <x v="2"/>
  </r>
  <r>
    <x v="21"/>
    <n v="100"/>
    <n v="3500"/>
    <x v="126"/>
    <x v="0"/>
    <n v="3"/>
    <n v="7"/>
    <n v="2004"/>
    <x v="1"/>
    <n v="207"/>
    <n v="-107"/>
    <x v="37"/>
    <x v="5"/>
    <x v="15"/>
    <x v="0"/>
    <x v="0"/>
    <x v="1"/>
  </r>
  <r>
    <x v="2"/>
    <n v="100"/>
    <n v="4100"/>
    <x v="76"/>
    <x v="0"/>
    <n v="3"/>
    <n v="8"/>
    <n v="2004"/>
    <x v="1"/>
    <n v="207"/>
    <n v="-107"/>
    <x v="37"/>
    <x v="5"/>
    <x v="33"/>
    <x v="0"/>
    <x v="0"/>
    <x v="2"/>
  </r>
  <r>
    <x v="12"/>
    <n v="100"/>
    <n v="4600"/>
    <x v="127"/>
    <x v="0"/>
    <n v="3"/>
    <n v="9"/>
    <n v="2004"/>
    <x v="1"/>
    <n v="207"/>
    <n v="-107"/>
    <x v="37"/>
    <x v="5"/>
    <x v="30"/>
    <x v="12"/>
    <x v="1"/>
    <x v="2"/>
  </r>
  <r>
    <x v="28"/>
    <n v="100"/>
    <n v="3100"/>
    <x v="78"/>
    <x v="0"/>
    <n v="4"/>
    <n v="10"/>
    <n v="2004"/>
    <x v="1"/>
    <n v="207"/>
    <n v="-107"/>
    <x v="37"/>
    <x v="5"/>
    <x v="61"/>
    <x v="6"/>
    <x v="1"/>
    <x v="1"/>
  </r>
  <r>
    <x v="19"/>
    <n v="100"/>
    <n v="3800"/>
    <x v="96"/>
    <x v="0"/>
    <n v="4"/>
    <n v="10"/>
    <n v="2004"/>
    <x v="1"/>
    <n v="207"/>
    <n v="-107"/>
    <x v="37"/>
    <x v="5"/>
    <x v="62"/>
    <x v="13"/>
    <x v="1"/>
    <x v="2"/>
  </r>
  <r>
    <x v="13"/>
    <n v="64"/>
    <n v="2688"/>
    <x v="80"/>
    <x v="0"/>
    <n v="4"/>
    <n v="11"/>
    <n v="2004"/>
    <x v="1"/>
    <n v="207"/>
    <n v="-143"/>
    <x v="38"/>
    <x v="5"/>
    <x v="14"/>
    <x v="2"/>
    <x v="1"/>
    <x v="0"/>
  </r>
  <r>
    <x v="29"/>
    <n v="57.22"/>
    <n v="1888.26"/>
    <x v="128"/>
    <x v="0"/>
    <n v="4"/>
    <n v="11"/>
    <n v="2004"/>
    <x v="1"/>
    <n v="207"/>
    <n v="-149.78"/>
    <x v="39"/>
    <x v="5"/>
    <x v="2"/>
    <x v="1"/>
    <x v="1"/>
    <x v="0"/>
  </r>
  <r>
    <x v="7"/>
    <n v="52.36"/>
    <n v="2513.2799999999997"/>
    <x v="79"/>
    <x v="0"/>
    <n v="4"/>
    <n v="11"/>
    <n v="2004"/>
    <x v="1"/>
    <n v="207"/>
    <n v="-154.63999999999999"/>
    <x v="40"/>
    <x v="5"/>
    <x v="20"/>
    <x v="7"/>
    <x v="1"/>
    <x v="0"/>
  </r>
  <r>
    <x v="13"/>
    <n v="100"/>
    <n v="4200"/>
    <x v="83"/>
    <x v="0"/>
    <n v="4"/>
    <n v="12"/>
    <n v="2004"/>
    <x v="1"/>
    <n v="207"/>
    <n v="-107"/>
    <x v="37"/>
    <x v="5"/>
    <x v="1"/>
    <x v="1"/>
    <x v="1"/>
    <x v="1"/>
  </r>
  <r>
    <x v="22"/>
    <n v="100"/>
    <n v="3200"/>
    <x v="129"/>
    <x v="0"/>
    <n v="1"/>
    <n v="1"/>
    <n v="2005"/>
    <x v="1"/>
    <n v="207"/>
    <n v="-107"/>
    <x v="37"/>
    <x v="5"/>
    <x v="33"/>
    <x v="0"/>
    <x v="0"/>
    <x v="1"/>
  </r>
  <r>
    <x v="1"/>
    <n v="100"/>
    <n v="3400"/>
    <x v="50"/>
    <x v="0"/>
    <n v="1"/>
    <n v="2"/>
    <n v="2005"/>
    <x v="1"/>
    <n v="207"/>
    <n v="-107"/>
    <x v="37"/>
    <x v="5"/>
    <x v="33"/>
    <x v="0"/>
    <x v="0"/>
    <x v="1"/>
  </r>
  <r>
    <x v="29"/>
    <n v="69.12"/>
    <n v="2280.96"/>
    <x v="86"/>
    <x v="0"/>
    <n v="1"/>
    <n v="3"/>
    <n v="2005"/>
    <x v="1"/>
    <n v="207"/>
    <n v="-137.88"/>
    <x v="41"/>
    <x v="5"/>
    <x v="2"/>
    <x v="1"/>
    <x v="1"/>
    <x v="0"/>
  </r>
  <r>
    <x v="5"/>
    <n v="100"/>
    <n v="3600"/>
    <x v="130"/>
    <x v="0"/>
    <n v="2"/>
    <n v="5"/>
    <n v="2005"/>
    <x v="1"/>
    <n v="207"/>
    <n v="-107"/>
    <x v="37"/>
    <x v="5"/>
    <x v="10"/>
    <x v="0"/>
    <x v="0"/>
    <x v="2"/>
  </r>
  <r>
    <x v="26"/>
    <n v="100"/>
    <n v="2700"/>
    <x v="26"/>
    <x v="0"/>
    <n v="1"/>
    <n v="1"/>
    <n v="2003"/>
    <x v="2"/>
    <n v="136"/>
    <n v="-36"/>
    <x v="22"/>
    <x v="5"/>
    <x v="14"/>
    <x v="2"/>
    <x v="1"/>
    <x v="1"/>
  </r>
  <r>
    <x v="15"/>
    <n v="100"/>
    <n v="2100"/>
    <x v="131"/>
    <x v="0"/>
    <n v="1"/>
    <n v="3"/>
    <n v="2003"/>
    <x v="2"/>
    <n v="136"/>
    <n v="-36"/>
    <x v="22"/>
    <x v="5"/>
    <x v="33"/>
    <x v="0"/>
    <x v="0"/>
    <x v="1"/>
  </r>
  <r>
    <x v="15"/>
    <n v="100"/>
    <n v="2100"/>
    <x v="28"/>
    <x v="0"/>
    <n v="2"/>
    <n v="5"/>
    <n v="2003"/>
    <x v="2"/>
    <n v="136"/>
    <n v="-36"/>
    <x v="22"/>
    <x v="5"/>
    <x v="20"/>
    <x v="7"/>
    <x v="1"/>
    <x v="0"/>
  </r>
  <r>
    <x v="19"/>
    <n v="100"/>
    <n v="3800"/>
    <x v="29"/>
    <x v="0"/>
    <n v="3"/>
    <n v="7"/>
    <n v="2003"/>
    <x v="2"/>
    <n v="136"/>
    <n v="-36"/>
    <x v="22"/>
    <x v="5"/>
    <x v="5"/>
    <x v="0"/>
    <x v="0"/>
    <x v="1"/>
  </r>
  <r>
    <x v="0"/>
    <n v="100"/>
    <n v="3000"/>
    <x v="30"/>
    <x v="0"/>
    <n v="3"/>
    <n v="9"/>
    <n v="2003"/>
    <x v="2"/>
    <n v="136"/>
    <n v="-36"/>
    <x v="22"/>
    <x v="5"/>
    <x v="22"/>
    <x v="9"/>
    <x v="2"/>
    <x v="1"/>
  </r>
  <r>
    <x v="4"/>
    <n v="100"/>
    <n v="4900"/>
    <x v="90"/>
    <x v="5"/>
    <n v="4"/>
    <n v="10"/>
    <n v="2003"/>
    <x v="2"/>
    <n v="136"/>
    <n v="-36"/>
    <x v="22"/>
    <x v="5"/>
    <x v="52"/>
    <x v="5"/>
    <x v="1"/>
    <x v="1"/>
  </r>
  <r>
    <x v="30"/>
    <n v="100"/>
    <n v="4300"/>
    <x v="32"/>
    <x v="0"/>
    <n v="4"/>
    <n v="11"/>
    <n v="2003"/>
    <x v="2"/>
    <n v="136"/>
    <n v="-36"/>
    <x v="22"/>
    <x v="5"/>
    <x v="23"/>
    <x v="3"/>
    <x v="2"/>
    <x v="1"/>
  </r>
  <r>
    <x v="2"/>
    <n v="100"/>
    <n v="4100"/>
    <x v="33"/>
    <x v="0"/>
    <n v="4"/>
    <n v="11"/>
    <n v="2003"/>
    <x v="2"/>
    <n v="136"/>
    <n v="-36"/>
    <x v="22"/>
    <x v="5"/>
    <x v="24"/>
    <x v="0"/>
    <x v="0"/>
    <x v="1"/>
  </r>
  <r>
    <x v="19"/>
    <n v="100"/>
    <n v="3800"/>
    <x v="34"/>
    <x v="0"/>
    <n v="4"/>
    <n v="11"/>
    <n v="2003"/>
    <x v="2"/>
    <n v="136"/>
    <n v="-36"/>
    <x v="22"/>
    <x v="5"/>
    <x v="25"/>
    <x v="1"/>
    <x v="1"/>
    <x v="1"/>
  </r>
  <r>
    <x v="11"/>
    <n v="100"/>
    <n v="2800"/>
    <x v="35"/>
    <x v="0"/>
    <n v="4"/>
    <n v="12"/>
    <n v="2003"/>
    <x v="2"/>
    <n v="136"/>
    <n v="-36"/>
    <x v="22"/>
    <x v="5"/>
    <x v="26"/>
    <x v="10"/>
    <x v="0"/>
    <x v="1"/>
  </r>
  <r>
    <x v="30"/>
    <n v="100"/>
    <n v="4300"/>
    <x v="132"/>
    <x v="0"/>
    <n v="1"/>
    <n v="2"/>
    <n v="2004"/>
    <x v="2"/>
    <n v="136"/>
    <n v="-36"/>
    <x v="22"/>
    <x v="5"/>
    <x v="32"/>
    <x v="1"/>
    <x v="1"/>
    <x v="1"/>
  </r>
  <r>
    <x v="32"/>
    <n v="100"/>
    <n v="2500"/>
    <x v="93"/>
    <x v="0"/>
    <n v="1"/>
    <n v="3"/>
    <n v="2004"/>
    <x v="2"/>
    <n v="136"/>
    <n v="-36"/>
    <x v="22"/>
    <x v="5"/>
    <x v="33"/>
    <x v="0"/>
    <x v="0"/>
    <x v="1"/>
  </r>
  <r>
    <x v="19"/>
    <n v="100"/>
    <n v="3800"/>
    <x v="38"/>
    <x v="0"/>
    <n v="2"/>
    <n v="5"/>
    <n v="2004"/>
    <x v="2"/>
    <n v="136"/>
    <n v="-36"/>
    <x v="22"/>
    <x v="5"/>
    <x v="28"/>
    <x v="0"/>
    <x v="0"/>
    <x v="1"/>
  </r>
  <r>
    <x v="2"/>
    <n v="100"/>
    <n v="4100"/>
    <x v="39"/>
    <x v="0"/>
    <n v="2"/>
    <n v="6"/>
    <n v="2004"/>
    <x v="2"/>
    <n v="136"/>
    <n v="-36"/>
    <x v="22"/>
    <x v="5"/>
    <x v="29"/>
    <x v="11"/>
    <x v="3"/>
    <x v="1"/>
  </r>
  <r>
    <x v="11"/>
    <n v="100"/>
    <n v="2800"/>
    <x v="40"/>
    <x v="0"/>
    <n v="3"/>
    <n v="7"/>
    <n v="2004"/>
    <x v="2"/>
    <n v="136"/>
    <n v="-36"/>
    <x v="22"/>
    <x v="5"/>
    <x v="17"/>
    <x v="3"/>
    <x v="2"/>
    <x v="1"/>
  </r>
  <r>
    <x v="32"/>
    <n v="100"/>
    <n v="2500"/>
    <x v="94"/>
    <x v="0"/>
    <n v="3"/>
    <n v="8"/>
    <n v="2004"/>
    <x v="2"/>
    <n v="136"/>
    <n v="-36"/>
    <x v="22"/>
    <x v="5"/>
    <x v="15"/>
    <x v="0"/>
    <x v="0"/>
    <x v="0"/>
  </r>
  <r>
    <x v="2"/>
    <n v="100"/>
    <n v="4100"/>
    <x v="42"/>
    <x v="0"/>
    <n v="3"/>
    <n v="9"/>
    <n v="2004"/>
    <x v="2"/>
    <n v="136"/>
    <n v="-36"/>
    <x v="22"/>
    <x v="5"/>
    <x v="31"/>
    <x v="8"/>
    <x v="1"/>
    <x v="1"/>
  </r>
  <r>
    <x v="25"/>
    <n v="100"/>
    <n v="3900"/>
    <x v="43"/>
    <x v="0"/>
    <n v="4"/>
    <n v="10"/>
    <n v="2004"/>
    <x v="2"/>
    <n v="136"/>
    <n v="-36"/>
    <x v="22"/>
    <x v="5"/>
    <x v="32"/>
    <x v="1"/>
    <x v="1"/>
    <x v="1"/>
  </r>
  <r>
    <x v="15"/>
    <n v="100"/>
    <n v="2100"/>
    <x v="96"/>
    <x v="0"/>
    <n v="4"/>
    <n v="10"/>
    <n v="2004"/>
    <x v="2"/>
    <n v="136"/>
    <n v="-36"/>
    <x v="22"/>
    <x v="5"/>
    <x v="26"/>
    <x v="10"/>
    <x v="0"/>
    <x v="0"/>
  </r>
  <r>
    <x v="26"/>
    <n v="100"/>
    <n v="2700"/>
    <x v="45"/>
    <x v="0"/>
    <n v="4"/>
    <n v="11"/>
    <n v="2004"/>
    <x v="2"/>
    <n v="136"/>
    <n v="-36"/>
    <x v="22"/>
    <x v="5"/>
    <x v="34"/>
    <x v="0"/>
    <x v="0"/>
    <x v="1"/>
  </r>
  <r>
    <x v="29"/>
    <n v="99.21"/>
    <n v="3273.93"/>
    <x v="46"/>
    <x v="0"/>
    <n v="4"/>
    <n v="11"/>
    <n v="2004"/>
    <x v="2"/>
    <n v="136"/>
    <n v="-36.790000000000006"/>
    <x v="42"/>
    <x v="5"/>
    <x v="4"/>
    <x v="0"/>
    <x v="0"/>
    <x v="1"/>
  </r>
  <r>
    <x v="6"/>
    <n v="100"/>
    <n v="2900"/>
    <x v="47"/>
    <x v="0"/>
    <n v="4"/>
    <n v="11"/>
    <n v="2004"/>
    <x v="2"/>
    <n v="136"/>
    <n v="-36"/>
    <x v="22"/>
    <x v="5"/>
    <x v="8"/>
    <x v="3"/>
    <x v="2"/>
    <x v="1"/>
  </r>
  <r>
    <x v="4"/>
    <n v="100"/>
    <n v="4900"/>
    <x v="48"/>
    <x v="0"/>
    <n v="4"/>
    <n v="12"/>
    <n v="2004"/>
    <x v="2"/>
    <n v="136"/>
    <n v="-36"/>
    <x v="22"/>
    <x v="5"/>
    <x v="33"/>
    <x v="0"/>
    <x v="0"/>
    <x v="1"/>
  </r>
  <r>
    <x v="4"/>
    <n v="100"/>
    <n v="4900"/>
    <x v="49"/>
    <x v="0"/>
    <n v="1"/>
    <n v="1"/>
    <n v="2005"/>
    <x v="2"/>
    <n v="136"/>
    <n v="-36"/>
    <x v="22"/>
    <x v="5"/>
    <x v="36"/>
    <x v="3"/>
    <x v="2"/>
    <x v="2"/>
  </r>
  <r>
    <x v="14"/>
    <n v="100"/>
    <n v="2000"/>
    <x v="50"/>
    <x v="0"/>
    <n v="1"/>
    <n v="2"/>
    <n v="2005"/>
    <x v="2"/>
    <n v="136"/>
    <n v="-36"/>
    <x v="22"/>
    <x v="5"/>
    <x v="4"/>
    <x v="0"/>
    <x v="0"/>
    <x v="0"/>
  </r>
  <r>
    <x v="25"/>
    <n v="63.2"/>
    <n v="2464.8000000000002"/>
    <x v="51"/>
    <x v="0"/>
    <n v="1"/>
    <n v="3"/>
    <n v="2005"/>
    <x v="2"/>
    <n v="136"/>
    <n v="-72.8"/>
    <x v="43"/>
    <x v="5"/>
    <x v="36"/>
    <x v="3"/>
    <x v="2"/>
    <x v="0"/>
  </r>
  <r>
    <x v="23"/>
    <n v="100"/>
    <n v="4000"/>
    <x v="52"/>
    <x v="0"/>
    <n v="2"/>
    <n v="5"/>
    <n v="2005"/>
    <x v="2"/>
    <n v="136"/>
    <n v="-36"/>
    <x v="22"/>
    <x v="5"/>
    <x v="37"/>
    <x v="10"/>
    <x v="0"/>
    <x v="1"/>
  </r>
  <r>
    <x v="4"/>
    <n v="100"/>
    <n v="4900"/>
    <x v="53"/>
    <x v="2"/>
    <n v="2"/>
    <n v="5"/>
    <n v="2005"/>
    <x v="2"/>
    <n v="136"/>
    <n v="-36"/>
    <x v="22"/>
    <x v="5"/>
    <x v="20"/>
    <x v="7"/>
    <x v="1"/>
    <x v="2"/>
  </r>
  <r>
    <x v="15"/>
    <n v="100"/>
    <n v="2100"/>
    <x v="0"/>
    <x v="0"/>
    <n v="1"/>
    <n v="2"/>
    <n v="2003"/>
    <x v="0"/>
    <n v="150"/>
    <n v="-50"/>
    <x v="44"/>
    <x v="5"/>
    <x v="0"/>
    <x v="0"/>
    <x v="0"/>
    <x v="1"/>
  </r>
  <r>
    <x v="24"/>
    <n v="100"/>
    <n v="5000"/>
    <x v="1"/>
    <x v="0"/>
    <n v="2"/>
    <n v="5"/>
    <n v="2003"/>
    <x v="0"/>
    <n v="150"/>
    <n v="-50"/>
    <x v="44"/>
    <x v="5"/>
    <x v="1"/>
    <x v="1"/>
    <x v="1"/>
    <x v="2"/>
  </r>
  <r>
    <x v="14"/>
    <n v="100"/>
    <n v="2000"/>
    <x v="2"/>
    <x v="0"/>
    <n v="3"/>
    <n v="7"/>
    <n v="2003"/>
    <x v="0"/>
    <n v="150"/>
    <n v="-50"/>
    <x v="44"/>
    <x v="5"/>
    <x v="2"/>
    <x v="1"/>
    <x v="1"/>
    <x v="0"/>
  </r>
  <r>
    <x v="4"/>
    <n v="100"/>
    <n v="4900"/>
    <x v="3"/>
    <x v="0"/>
    <n v="3"/>
    <n v="8"/>
    <n v="2003"/>
    <x v="0"/>
    <n v="150"/>
    <n v="-50"/>
    <x v="44"/>
    <x v="5"/>
    <x v="3"/>
    <x v="0"/>
    <x v="0"/>
    <x v="2"/>
  </r>
  <r>
    <x v="19"/>
    <n v="100"/>
    <n v="3800"/>
    <x v="4"/>
    <x v="0"/>
    <n v="4"/>
    <n v="10"/>
    <n v="2003"/>
    <x v="0"/>
    <n v="150"/>
    <n v="-50"/>
    <x v="44"/>
    <x v="5"/>
    <x v="4"/>
    <x v="0"/>
    <x v="0"/>
    <x v="1"/>
  </r>
  <r>
    <x v="21"/>
    <n v="100"/>
    <n v="3500"/>
    <x v="102"/>
    <x v="0"/>
    <n v="4"/>
    <n v="11"/>
    <n v="2003"/>
    <x v="0"/>
    <n v="150"/>
    <n v="-50"/>
    <x v="44"/>
    <x v="5"/>
    <x v="36"/>
    <x v="3"/>
    <x v="2"/>
    <x v="1"/>
  </r>
  <r>
    <x v="23"/>
    <n v="100"/>
    <n v="4000"/>
    <x v="6"/>
    <x v="0"/>
    <n v="4"/>
    <n v="11"/>
    <n v="2003"/>
    <x v="0"/>
    <n v="150"/>
    <n v="-50"/>
    <x v="44"/>
    <x v="5"/>
    <x v="6"/>
    <x v="1"/>
    <x v="1"/>
    <x v="1"/>
  </r>
  <r>
    <x v="11"/>
    <n v="100"/>
    <n v="2800"/>
    <x v="7"/>
    <x v="0"/>
    <n v="4"/>
    <n v="11"/>
    <n v="2003"/>
    <x v="0"/>
    <n v="150"/>
    <n v="-50"/>
    <x v="44"/>
    <x v="5"/>
    <x v="3"/>
    <x v="0"/>
    <x v="0"/>
    <x v="1"/>
  </r>
  <r>
    <x v="32"/>
    <n v="100"/>
    <n v="2500"/>
    <x v="8"/>
    <x v="0"/>
    <n v="4"/>
    <n v="12"/>
    <n v="2003"/>
    <x v="0"/>
    <n v="150"/>
    <n v="-50"/>
    <x v="44"/>
    <x v="5"/>
    <x v="4"/>
    <x v="0"/>
    <x v="0"/>
    <x v="1"/>
  </r>
  <r>
    <x v="5"/>
    <n v="100"/>
    <n v="3600"/>
    <x v="9"/>
    <x v="0"/>
    <n v="1"/>
    <n v="1"/>
    <n v="2004"/>
    <x v="0"/>
    <n v="150"/>
    <n v="-50"/>
    <x v="44"/>
    <x v="5"/>
    <x v="2"/>
    <x v="1"/>
    <x v="1"/>
    <x v="1"/>
  </r>
  <r>
    <x v="30"/>
    <n v="100"/>
    <n v="4300"/>
    <x v="133"/>
    <x v="0"/>
    <n v="1"/>
    <n v="2"/>
    <n v="2004"/>
    <x v="0"/>
    <n v="150"/>
    <n v="-50"/>
    <x v="44"/>
    <x v="5"/>
    <x v="6"/>
    <x v="1"/>
    <x v="1"/>
    <x v="1"/>
  </r>
  <r>
    <x v="22"/>
    <n v="100"/>
    <n v="3200"/>
    <x v="11"/>
    <x v="0"/>
    <n v="2"/>
    <n v="4"/>
    <n v="2004"/>
    <x v="0"/>
    <n v="150"/>
    <n v="-50"/>
    <x v="44"/>
    <x v="5"/>
    <x v="0"/>
    <x v="0"/>
    <x v="0"/>
    <x v="1"/>
  </r>
  <r>
    <x v="12"/>
    <n v="100"/>
    <n v="4600"/>
    <x v="12"/>
    <x v="0"/>
    <n v="2"/>
    <n v="5"/>
    <n v="2004"/>
    <x v="0"/>
    <n v="150"/>
    <n v="-50"/>
    <x v="44"/>
    <x v="5"/>
    <x v="9"/>
    <x v="0"/>
    <x v="0"/>
    <x v="2"/>
  </r>
  <r>
    <x v="7"/>
    <n v="100"/>
    <n v="4800"/>
    <x v="13"/>
    <x v="0"/>
    <n v="2"/>
    <n v="6"/>
    <n v="2004"/>
    <x v="0"/>
    <n v="150"/>
    <n v="-50"/>
    <x v="44"/>
    <x v="5"/>
    <x v="10"/>
    <x v="0"/>
    <x v="0"/>
    <x v="1"/>
  </r>
  <r>
    <x v="30"/>
    <n v="100"/>
    <n v="4300"/>
    <x v="110"/>
    <x v="0"/>
    <n v="3"/>
    <n v="8"/>
    <n v="2004"/>
    <x v="0"/>
    <n v="150"/>
    <n v="-50"/>
    <x v="44"/>
    <x v="5"/>
    <x v="35"/>
    <x v="0"/>
    <x v="0"/>
    <x v="1"/>
  </r>
  <r>
    <x v="4"/>
    <n v="100"/>
    <n v="4900"/>
    <x v="15"/>
    <x v="0"/>
    <n v="3"/>
    <n v="8"/>
    <n v="2004"/>
    <x v="0"/>
    <n v="150"/>
    <n v="-50"/>
    <x v="44"/>
    <x v="5"/>
    <x v="12"/>
    <x v="0"/>
    <x v="0"/>
    <x v="1"/>
  </r>
  <r>
    <x v="16"/>
    <n v="100"/>
    <n v="2400"/>
    <x v="16"/>
    <x v="0"/>
    <n v="3"/>
    <n v="9"/>
    <n v="2004"/>
    <x v="0"/>
    <n v="150"/>
    <n v="-50"/>
    <x v="44"/>
    <x v="5"/>
    <x v="13"/>
    <x v="4"/>
    <x v="1"/>
    <x v="1"/>
  </r>
  <r>
    <x v="18"/>
    <n v="100"/>
    <n v="2600"/>
    <x v="17"/>
    <x v="0"/>
    <n v="4"/>
    <n v="10"/>
    <n v="2004"/>
    <x v="0"/>
    <n v="150"/>
    <n v="-50"/>
    <x v="44"/>
    <x v="5"/>
    <x v="14"/>
    <x v="2"/>
    <x v="1"/>
    <x v="1"/>
  </r>
  <r>
    <x v="0"/>
    <n v="100"/>
    <n v="3000"/>
    <x v="114"/>
    <x v="0"/>
    <n v="4"/>
    <n v="11"/>
    <n v="2004"/>
    <x v="0"/>
    <n v="150"/>
    <n v="-50"/>
    <x v="44"/>
    <x v="5"/>
    <x v="0"/>
    <x v="0"/>
    <x v="0"/>
    <x v="1"/>
  </r>
  <r>
    <x v="16"/>
    <n v="100"/>
    <n v="2400"/>
    <x v="19"/>
    <x v="0"/>
    <n v="4"/>
    <n v="11"/>
    <n v="2004"/>
    <x v="0"/>
    <n v="150"/>
    <n v="-50"/>
    <x v="44"/>
    <x v="5"/>
    <x v="0"/>
    <x v="0"/>
    <x v="0"/>
    <x v="1"/>
  </r>
  <r>
    <x v="36"/>
    <n v="100"/>
    <n v="5500"/>
    <x v="20"/>
    <x v="0"/>
    <n v="4"/>
    <n v="11"/>
    <n v="2004"/>
    <x v="0"/>
    <n v="150"/>
    <n v="-50"/>
    <x v="44"/>
    <x v="5"/>
    <x v="16"/>
    <x v="5"/>
    <x v="1"/>
    <x v="2"/>
  </r>
  <r>
    <x v="8"/>
    <n v="100"/>
    <n v="2200"/>
    <x v="61"/>
    <x v="0"/>
    <n v="1"/>
    <n v="1"/>
    <n v="2005"/>
    <x v="0"/>
    <n v="150"/>
    <n v="-50"/>
    <x v="44"/>
    <x v="5"/>
    <x v="5"/>
    <x v="0"/>
    <x v="0"/>
    <x v="1"/>
  </r>
  <r>
    <x v="4"/>
    <n v="78.92"/>
    <n v="3867.08"/>
    <x v="22"/>
    <x v="0"/>
    <n v="1"/>
    <n v="2"/>
    <n v="2005"/>
    <x v="0"/>
    <n v="150"/>
    <n v="-71.08"/>
    <x v="45"/>
    <x v="5"/>
    <x v="11"/>
    <x v="1"/>
    <x v="1"/>
    <x v="1"/>
  </r>
  <r>
    <x v="27"/>
    <n v="100"/>
    <n v="4400"/>
    <x v="23"/>
    <x v="0"/>
    <n v="1"/>
    <n v="3"/>
    <n v="2005"/>
    <x v="0"/>
    <n v="150"/>
    <n v="-50"/>
    <x v="44"/>
    <x v="5"/>
    <x v="18"/>
    <x v="0"/>
    <x v="0"/>
    <x v="1"/>
  </r>
  <r>
    <x v="17"/>
    <n v="100"/>
    <n v="6600"/>
    <x v="24"/>
    <x v="0"/>
    <n v="2"/>
    <n v="4"/>
    <n v="2005"/>
    <x v="0"/>
    <n v="150"/>
    <n v="-50"/>
    <x v="44"/>
    <x v="5"/>
    <x v="19"/>
    <x v="6"/>
    <x v="1"/>
    <x v="2"/>
  </r>
  <r>
    <x v="15"/>
    <n v="100"/>
    <n v="2100"/>
    <x v="25"/>
    <x v="1"/>
    <n v="2"/>
    <n v="5"/>
    <n v="2005"/>
    <x v="0"/>
    <n v="150"/>
    <n v="-50"/>
    <x v="44"/>
    <x v="5"/>
    <x v="20"/>
    <x v="7"/>
    <x v="1"/>
    <x v="1"/>
  </r>
  <r>
    <x v="1"/>
    <n v="100"/>
    <n v="3400"/>
    <x v="134"/>
    <x v="0"/>
    <n v="1"/>
    <n v="1"/>
    <n v="2003"/>
    <x v="1"/>
    <n v="151"/>
    <n v="-51"/>
    <x v="46"/>
    <x v="5"/>
    <x v="20"/>
    <x v="7"/>
    <x v="1"/>
    <x v="1"/>
  </r>
  <r>
    <x v="30"/>
    <n v="100"/>
    <n v="4300"/>
    <x v="117"/>
    <x v="0"/>
    <n v="2"/>
    <n v="4"/>
    <n v="2003"/>
    <x v="1"/>
    <n v="151"/>
    <n v="-51"/>
    <x v="46"/>
    <x v="5"/>
    <x v="22"/>
    <x v="9"/>
    <x v="2"/>
    <x v="1"/>
  </r>
  <r>
    <x v="12"/>
    <n v="100"/>
    <n v="4600"/>
    <x v="118"/>
    <x v="0"/>
    <n v="2"/>
    <n v="6"/>
    <n v="2003"/>
    <x v="1"/>
    <n v="151"/>
    <n v="-51"/>
    <x v="46"/>
    <x v="5"/>
    <x v="0"/>
    <x v="0"/>
    <x v="0"/>
    <x v="2"/>
  </r>
  <r>
    <x v="29"/>
    <n v="100"/>
    <n v="3300"/>
    <x v="119"/>
    <x v="0"/>
    <n v="3"/>
    <n v="8"/>
    <n v="2003"/>
    <x v="1"/>
    <n v="151"/>
    <n v="-51"/>
    <x v="46"/>
    <x v="5"/>
    <x v="33"/>
    <x v="0"/>
    <x v="0"/>
    <x v="1"/>
  </r>
  <r>
    <x v="13"/>
    <n v="100"/>
    <n v="4200"/>
    <x v="120"/>
    <x v="0"/>
    <n v="3"/>
    <n v="9"/>
    <n v="2003"/>
    <x v="1"/>
    <n v="151"/>
    <n v="-51"/>
    <x v="46"/>
    <x v="5"/>
    <x v="20"/>
    <x v="7"/>
    <x v="1"/>
    <x v="1"/>
  </r>
  <r>
    <x v="1"/>
    <n v="100"/>
    <n v="3400"/>
    <x v="121"/>
    <x v="0"/>
    <n v="4"/>
    <n v="10"/>
    <n v="2003"/>
    <x v="1"/>
    <n v="151"/>
    <n v="-51"/>
    <x v="46"/>
    <x v="5"/>
    <x v="22"/>
    <x v="9"/>
    <x v="2"/>
    <x v="1"/>
  </r>
  <r>
    <x v="20"/>
    <n v="100"/>
    <n v="4700"/>
    <x v="32"/>
    <x v="0"/>
    <n v="4"/>
    <n v="11"/>
    <n v="2003"/>
    <x v="1"/>
    <n v="151"/>
    <n v="-51"/>
    <x v="46"/>
    <x v="5"/>
    <x v="57"/>
    <x v="12"/>
    <x v="1"/>
    <x v="2"/>
  </r>
  <r>
    <x v="29"/>
    <n v="100"/>
    <n v="3300"/>
    <x v="69"/>
    <x v="0"/>
    <n v="4"/>
    <n v="11"/>
    <n v="2003"/>
    <x v="1"/>
    <n v="151"/>
    <n v="-51"/>
    <x v="46"/>
    <x v="5"/>
    <x v="18"/>
    <x v="0"/>
    <x v="0"/>
    <x v="1"/>
  </r>
  <r>
    <x v="16"/>
    <n v="100"/>
    <n v="2400"/>
    <x v="70"/>
    <x v="0"/>
    <n v="4"/>
    <n v="11"/>
    <n v="2003"/>
    <x v="1"/>
    <n v="151"/>
    <n v="-51"/>
    <x v="46"/>
    <x v="5"/>
    <x v="28"/>
    <x v="0"/>
    <x v="0"/>
    <x v="1"/>
  </r>
  <r>
    <x v="18"/>
    <n v="100"/>
    <n v="2600"/>
    <x v="122"/>
    <x v="0"/>
    <n v="1"/>
    <n v="1"/>
    <n v="2004"/>
    <x v="1"/>
    <n v="151"/>
    <n v="-51"/>
    <x v="46"/>
    <x v="5"/>
    <x v="25"/>
    <x v="1"/>
    <x v="1"/>
    <x v="1"/>
  </r>
  <r>
    <x v="0"/>
    <n v="100"/>
    <n v="3000"/>
    <x v="123"/>
    <x v="0"/>
    <n v="1"/>
    <n v="2"/>
    <n v="2004"/>
    <x v="1"/>
    <n v="151"/>
    <n v="-51"/>
    <x v="46"/>
    <x v="5"/>
    <x v="60"/>
    <x v="18"/>
    <x v="1"/>
    <x v="1"/>
  </r>
  <r>
    <x v="30"/>
    <n v="100"/>
    <n v="4300"/>
    <x v="135"/>
    <x v="0"/>
    <n v="1"/>
    <n v="3"/>
    <n v="2004"/>
    <x v="1"/>
    <n v="151"/>
    <n v="-51"/>
    <x v="46"/>
    <x v="5"/>
    <x v="58"/>
    <x v="16"/>
    <x v="1"/>
    <x v="2"/>
  </r>
  <r>
    <x v="32"/>
    <n v="100"/>
    <n v="2500"/>
    <x v="125"/>
    <x v="0"/>
    <n v="2"/>
    <n v="5"/>
    <n v="2004"/>
    <x v="1"/>
    <n v="151"/>
    <n v="-51"/>
    <x v="46"/>
    <x v="5"/>
    <x v="59"/>
    <x v="4"/>
    <x v="1"/>
    <x v="1"/>
  </r>
  <r>
    <x v="26"/>
    <n v="100"/>
    <n v="2700"/>
    <x v="126"/>
    <x v="0"/>
    <n v="3"/>
    <n v="7"/>
    <n v="2004"/>
    <x v="1"/>
    <n v="151"/>
    <n v="-51"/>
    <x v="46"/>
    <x v="5"/>
    <x v="15"/>
    <x v="0"/>
    <x v="0"/>
    <x v="1"/>
  </r>
  <r>
    <x v="26"/>
    <n v="100"/>
    <n v="2700"/>
    <x v="76"/>
    <x v="0"/>
    <n v="3"/>
    <n v="8"/>
    <n v="2004"/>
    <x v="1"/>
    <n v="151"/>
    <n v="-51"/>
    <x v="46"/>
    <x v="5"/>
    <x v="33"/>
    <x v="0"/>
    <x v="0"/>
    <x v="1"/>
  </r>
  <r>
    <x v="16"/>
    <n v="100"/>
    <n v="2400"/>
    <x v="127"/>
    <x v="0"/>
    <n v="3"/>
    <n v="9"/>
    <n v="2004"/>
    <x v="1"/>
    <n v="151"/>
    <n v="-51"/>
    <x v="46"/>
    <x v="5"/>
    <x v="30"/>
    <x v="12"/>
    <x v="1"/>
    <x v="1"/>
  </r>
  <r>
    <x v="1"/>
    <n v="100"/>
    <n v="3400"/>
    <x v="78"/>
    <x v="0"/>
    <n v="4"/>
    <n v="10"/>
    <n v="2004"/>
    <x v="1"/>
    <n v="151"/>
    <n v="-51"/>
    <x v="46"/>
    <x v="5"/>
    <x v="61"/>
    <x v="6"/>
    <x v="1"/>
    <x v="1"/>
  </r>
  <r>
    <x v="12"/>
    <n v="100"/>
    <n v="4600"/>
    <x v="96"/>
    <x v="0"/>
    <n v="4"/>
    <n v="10"/>
    <n v="2004"/>
    <x v="1"/>
    <n v="151"/>
    <n v="-51"/>
    <x v="46"/>
    <x v="5"/>
    <x v="62"/>
    <x v="13"/>
    <x v="1"/>
    <x v="1"/>
  </r>
  <r>
    <x v="26"/>
    <n v="54.33"/>
    <n v="1466.9099999999999"/>
    <x v="80"/>
    <x v="0"/>
    <n v="4"/>
    <n v="11"/>
    <n v="2004"/>
    <x v="1"/>
    <n v="151"/>
    <n v="-96.67"/>
    <x v="47"/>
    <x v="5"/>
    <x v="0"/>
    <x v="0"/>
    <x v="0"/>
    <x v="0"/>
  </r>
  <r>
    <x v="29"/>
    <n v="100"/>
    <n v="3300"/>
    <x v="128"/>
    <x v="0"/>
    <n v="4"/>
    <n v="11"/>
    <n v="2004"/>
    <x v="1"/>
    <n v="151"/>
    <n v="-51"/>
    <x v="46"/>
    <x v="5"/>
    <x v="2"/>
    <x v="1"/>
    <x v="1"/>
    <x v="1"/>
  </r>
  <r>
    <x v="20"/>
    <n v="100"/>
    <n v="4700"/>
    <x v="79"/>
    <x v="0"/>
    <n v="4"/>
    <n v="11"/>
    <n v="2004"/>
    <x v="1"/>
    <n v="151"/>
    <n v="-51"/>
    <x v="46"/>
    <x v="5"/>
    <x v="20"/>
    <x v="7"/>
    <x v="1"/>
    <x v="1"/>
  </r>
  <r>
    <x v="4"/>
    <n v="55.34"/>
    <n v="2711.6600000000003"/>
    <x v="48"/>
    <x v="0"/>
    <n v="4"/>
    <n v="12"/>
    <n v="2004"/>
    <x v="1"/>
    <n v="151"/>
    <n v="-95.66"/>
    <x v="48"/>
    <x v="5"/>
    <x v="20"/>
    <x v="7"/>
    <x v="1"/>
    <x v="0"/>
  </r>
  <r>
    <x v="23"/>
    <n v="100"/>
    <n v="4000"/>
    <x v="136"/>
    <x v="0"/>
    <n v="1"/>
    <n v="1"/>
    <n v="2005"/>
    <x v="1"/>
    <n v="151"/>
    <n v="-51"/>
    <x v="46"/>
    <x v="5"/>
    <x v="29"/>
    <x v="11"/>
    <x v="3"/>
    <x v="1"/>
  </r>
  <r>
    <x v="9"/>
    <n v="100"/>
    <n v="3700"/>
    <x v="50"/>
    <x v="0"/>
    <n v="1"/>
    <n v="2"/>
    <n v="2005"/>
    <x v="1"/>
    <n v="151"/>
    <n v="-51"/>
    <x v="46"/>
    <x v="5"/>
    <x v="33"/>
    <x v="0"/>
    <x v="0"/>
    <x v="1"/>
  </r>
  <r>
    <x v="20"/>
    <n v="100"/>
    <n v="4700"/>
    <x v="130"/>
    <x v="0"/>
    <n v="2"/>
    <n v="5"/>
    <n v="2005"/>
    <x v="1"/>
    <n v="151"/>
    <n v="-51"/>
    <x v="46"/>
    <x v="5"/>
    <x v="10"/>
    <x v="0"/>
    <x v="0"/>
    <x v="2"/>
  </r>
  <r>
    <x v="3"/>
    <n v="100"/>
    <n v="4500"/>
    <x v="98"/>
    <x v="0"/>
    <n v="1"/>
    <n v="3"/>
    <n v="2003"/>
    <x v="1"/>
    <n v="117"/>
    <n v="-17"/>
    <x v="49"/>
    <x v="1"/>
    <x v="53"/>
    <x v="15"/>
    <x v="2"/>
    <x v="1"/>
  </r>
  <r>
    <x v="9"/>
    <n v="99.82"/>
    <n v="3693.3399999999997"/>
    <x v="99"/>
    <x v="0"/>
    <n v="2"/>
    <n v="5"/>
    <n v="2003"/>
    <x v="1"/>
    <n v="117"/>
    <n v="-17.180000000000007"/>
    <x v="50"/>
    <x v="1"/>
    <x v="54"/>
    <x v="1"/>
    <x v="1"/>
    <x v="1"/>
  </r>
  <r>
    <x v="7"/>
    <n v="100"/>
    <n v="4800"/>
    <x v="100"/>
    <x v="0"/>
    <n v="3"/>
    <n v="7"/>
    <n v="2003"/>
    <x v="1"/>
    <n v="117"/>
    <n v="-17"/>
    <x v="49"/>
    <x v="1"/>
    <x v="33"/>
    <x v="0"/>
    <x v="0"/>
    <x v="1"/>
  </r>
  <r>
    <x v="28"/>
    <n v="100"/>
    <n v="3100"/>
    <x v="101"/>
    <x v="0"/>
    <n v="3"/>
    <n v="9"/>
    <n v="2003"/>
    <x v="1"/>
    <n v="117"/>
    <n v="-17"/>
    <x v="49"/>
    <x v="1"/>
    <x v="35"/>
    <x v="0"/>
    <x v="0"/>
    <x v="1"/>
  </r>
  <r>
    <x v="12"/>
    <n v="100"/>
    <n v="4600"/>
    <x v="137"/>
    <x v="0"/>
    <n v="4"/>
    <n v="10"/>
    <n v="2003"/>
    <x v="1"/>
    <n v="117"/>
    <n v="-17"/>
    <x v="49"/>
    <x v="1"/>
    <x v="44"/>
    <x v="0"/>
    <x v="0"/>
    <x v="1"/>
  </r>
  <r>
    <x v="20"/>
    <n v="100"/>
    <n v="4700"/>
    <x v="102"/>
    <x v="0"/>
    <n v="4"/>
    <n v="11"/>
    <n v="2003"/>
    <x v="1"/>
    <n v="117"/>
    <n v="-17"/>
    <x v="49"/>
    <x v="1"/>
    <x v="52"/>
    <x v="5"/>
    <x v="1"/>
    <x v="1"/>
  </r>
  <r>
    <x v="11"/>
    <n v="100"/>
    <n v="2800"/>
    <x v="103"/>
    <x v="0"/>
    <n v="4"/>
    <n v="11"/>
    <n v="2003"/>
    <x v="1"/>
    <n v="117"/>
    <n v="-17"/>
    <x v="49"/>
    <x v="1"/>
    <x v="7"/>
    <x v="2"/>
    <x v="1"/>
    <x v="0"/>
  </r>
  <r>
    <x v="23"/>
    <n v="100"/>
    <n v="4000"/>
    <x v="104"/>
    <x v="0"/>
    <n v="4"/>
    <n v="11"/>
    <n v="2003"/>
    <x v="1"/>
    <n v="117"/>
    <n v="-17"/>
    <x v="49"/>
    <x v="1"/>
    <x v="55"/>
    <x v="16"/>
    <x v="1"/>
    <x v="1"/>
  </r>
  <r>
    <x v="14"/>
    <n v="100"/>
    <n v="2000"/>
    <x v="105"/>
    <x v="0"/>
    <n v="4"/>
    <n v="12"/>
    <n v="2003"/>
    <x v="1"/>
    <n v="117"/>
    <n v="-17"/>
    <x v="49"/>
    <x v="1"/>
    <x v="20"/>
    <x v="7"/>
    <x v="1"/>
    <x v="0"/>
  </r>
  <r>
    <x v="25"/>
    <n v="100"/>
    <n v="3900"/>
    <x v="138"/>
    <x v="0"/>
    <n v="1"/>
    <n v="1"/>
    <n v="2004"/>
    <x v="1"/>
    <n v="117"/>
    <n v="-17"/>
    <x v="49"/>
    <x v="1"/>
    <x v="20"/>
    <x v="7"/>
    <x v="1"/>
    <x v="1"/>
  </r>
  <r>
    <x v="32"/>
    <n v="99.82"/>
    <n v="2495.5"/>
    <x v="106"/>
    <x v="0"/>
    <n v="1"/>
    <n v="2"/>
    <n v="2004"/>
    <x v="1"/>
    <n v="117"/>
    <n v="-17.180000000000007"/>
    <x v="50"/>
    <x v="1"/>
    <x v="56"/>
    <x v="17"/>
    <x v="1"/>
    <x v="0"/>
  </r>
  <r>
    <x v="6"/>
    <n v="100"/>
    <n v="2900"/>
    <x v="107"/>
    <x v="0"/>
    <n v="2"/>
    <n v="4"/>
    <n v="2004"/>
    <x v="1"/>
    <n v="117"/>
    <n v="-17"/>
    <x v="49"/>
    <x v="1"/>
    <x v="40"/>
    <x v="13"/>
    <x v="1"/>
    <x v="1"/>
  </r>
  <r>
    <x v="8"/>
    <n v="100"/>
    <n v="2200"/>
    <x v="108"/>
    <x v="3"/>
    <n v="2"/>
    <n v="6"/>
    <n v="2004"/>
    <x v="1"/>
    <n v="117"/>
    <n v="-17"/>
    <x v="49"/>
    <x v="1"/>
    <x v="19"/>
    <x v="6"/>
    <x v="1"/>
    <x v="0"/>
  </r>
  <r>
    <x v="8"/>
    <n v="100"/>
    <n v="2200"/>
    <x v="109"/>
    <x v="0"/>
    <n v="3"/>
    <n v="7"/>
    <n v="2004"/>
    <x v="1"/>
    <n v="117"/>
    <n v="-17"/>
    <x v="49"/>
    <x v="1"/>
    <x v="57"/>
    <x v="12"/>
    <x v="1"/>
    <x v="0"/>
  </r>
  <r>
    <x v="20"/>
    <n v="100"/>
    <n v="4700"/>
    <x v="110"/>
    <x v="0"/>
    <n v="3"/>
    <n v="8"/>
    <n v="2004"/>
    <x v="1"/>
    <n v="117"/>
    <n v="-17"/>
    <x v="49"/>
    <x v="1"/>
    <x v="35"/>
    <x v="0"/>
    <x v="0"/>
    <x v="1"/>
  </r>
  <r>
    <x v="3"/>
    <n v="100"/>
    <n v="4500"/>
    <x v="111"/>
    <x v="0"/>
    <n v="3"/>
    <n v="8"/>
    <n v="2004"/>
    <x v="1"/>
    <n v="117"/>
    <n v="-17"/>
    <x v="49"/>
    <x v="1"/>
    <x v="56"/>
    <x v="17"/>
    <x v="1"/>
    <x v="1"/>
  </r>
  <r>
    <x v="6"/>
    <n v="100"/>
    <n v="2900"/>
    <x v="112"/>
    <x v="0"/>
    <n v="4"/>
    <n v="10"/>
    <n v="2003"/>
    <x v="1"/>
    <n v="117"/>
    <n v="-17"/>
    <x v="49"/>
    <x v="1"/>
    <x v="58"/>
    <x v="16"/>
    <x v="1"/>
    <x v="1"/>
  </r>
  <r>
    <x v="16"/>
    <n v="100"/>
    <n v="2400"/>
    <x v="113"/>
    <x v="0"/>
    <n v="4"/>
    <n v="10"/>
    <n v="2004"/>
    <x v="1"/>
    <n v="117"/>
    <n v="-17"/>
    <x v="49"/>
    <x v="1"/>
    <x v="55"/>
    <x v="16"/>
    <x v="1"/>
    <x v="1"/>
  </r>
  <r>
    <x v="21"/>
    <n v="100"/>
    <n v="3500"/>
    <x v="114"/>
    <x v="0"/>
    <n v="4"/>
    <n v="11"/>
    <n v="2004"/>
    <x v="1"/>
    <n v="117"/>
    <n v="-17"/>
    <x v="49"/>
    <x v="1"/>
    <x v="21"/>
    <x v="8"/>
    <x v="1"/>
    <x v="1"/>
  </r>
  <r>
    <x v="12"/>
    <n v="83.63"/>
    <n v="3846.9799999999996"/>
    <x v="19"/>
    <x v="0"/>
    <n v="4"/>
    <n v="11"/>
    <n v="2004"/>
    <x v="1"/>
    <n v="117"/>
    <n v="-33.370000000000005"/>
    <x v="51"/>
    <x v="5"/>
    <x v="0"/>
    <x v="0"/>
    <x v="0"/>
    <x v="1"/>
  </r>
  <r>
    <x v="27"/>
    <n v="95.93"/>
    <n v="4220.92"/>
    <x v="20"/>
    <x v="0"/>
    <n v="4"/>
    <n v="11"/>
    <n v="2004"/>
    <x v="1"/>
    <n v="117"/>
    <n v="-21.069999999999993"/>
    <x v="52"/>
    <x v="6"/>
    <x v="16"/>
    <x v="5"/>
    <x v="1"/>
    <x v="1"/>
  </r>
  <r>
    <x v="1"/>
    <n v="96.73"/>
    <n v="3288.82"/>
    <x v="115"/>
    <x v="0"/>
    <n v="1"/>
    <n v="1"/>
    <n v="2005"/>
    <x v="1"/>
    <n v="117"/>
    <n v="-20.269999999999996"/>
    <x v="53"/>
    <x v="6"/>
    <x v="59"/>
    <x v="4"/>
    <x v="1"/>
    <x v="1"/>
  </r>
  <r>
    <x v="21"/>
    <n v="100"/>
    <n v="3500"/>
    <x v="139"/>
    <x v="0"/>
    <n v="1"/>
    <n v="2"/>
    <n v="2005"/>
    <x v="1"/>
    <n v="117"/>
    <n v="-17"/>
    <x v="49"/>
    <x v="1"/>
    <x v="63"/>
    <x v="0"/>
    <x v="0"/>
    <x v="1"/>
  </r>
  <r>
    <x v="32"/>
    <n v="72.38"/>
    <n v="1809.5"/>
    <x v="23"/>
    <x v="0"/>
    <n v="1"/>
    <n v="3"/>
    <n v="2005"/>
    <x v="1"/>
    <n v="117"/>
    <n v="-44.620000000000005"/>
    <x v="54"/>
    <x v="5"/>
    <x v="31"/>
    <x v="8"/>
    <x v="1"/>
    <x v="0"/>
  </r>
  <r>
    <x v="37"/>
    <n v="100"/>
    <n v="1000"/>
    <x v="116"/>
    <x v="0"/>
    <n v="2"/>
    <n v="5"/>
    <n v="2005"/>
    <x v="1"/>
    <n v="117"/>
    <n v="-17"/>
    <x v="49"/>
    <x v="1"/>
    <x v="16"/>
    <x v="5"/>
    <x v="1"/>
    <x v="0"/>
  </r>
  <r>
    <x v="6"/>
    <n v="100"/>
    <n v="2900"/>
    <x v="62"/>
    <x v="0"/>
    <n v="1"/>
    <n v="2"/>
    <n v="2003"/>
    <x v="1"/>
    <n v="173"/>
    <n v="-73"/>
    <x v="55"/>
    <x v="5"/>
    <x v="40"/>
    <x v="13"/>
    <x v="1"/>
    <x v="1"/>
  </r>
  <r>
    <x v="25"/>
    <n v="100"/>
    <n v="3900"/>
    <x v="117"/>
    <x v="0"/>
    <n v="2"/>
    <n v="4"/>
    <n v="2003"/>
    <x v="1"/>
    <n v="173"/>
    <n v="-73"/>
    <x v="55"/>
    <x v="5"/>
    <x v="22"/>
    <x v="9"/>
    <x v="2"/>
    <x v="1"/>
  </r>
  <r>
    <x v="13"/>
    <n v="100"/>
    <n v="4200"/>
    <x v="118"/>
    <x v="0"/>
    <n v="2"/>
    <n v="6"/>
    <n v="2003"/>
    <x v="1"/>
    <n v="173"/>
    <n v="-73"/>
    <x v="55"/>
    <x v="5"/>
    <x v="0"/>
    <x v="0"/>
    <x v="0"/>
    <x v="2"/>
  </r>
  <r>
    <x v="12"/>
    <n v="100"/>
    <n v="4600"/>
    <x v="119"/>
    <x v="0"/>
    <n v="3"/>
    <n v="8"/>
    <n v="2003"/>
    <x v="1"/>
    <n v="173"/>
    <n v="-73"/>
    <x v="55"/>
    <x v="5"/>
    <x v="33"/>
    <x v="0"/>
    <x v="0"/>
    <x v="2"/>
  </r>
  <r>
    <x v="4"/>
    <n v="100"/>
    <n v="4900"/>
    <x v="120"/>
    <x v="0"/>
    <n v="3"/>
    <n v="9"/>
    <n v="2003"/>
    <x v="1"/>
    <n v="173"/>
    <n v="-73"/>
    <x v="55"/>
    <x v="5"/>
    <x v="20"/>
    <x v="7"/>
    <x v="1"/>
    <x v="2"/>
  </r>
  <r>
    <x v="26"/>
    <n v="100"/>
    <n v="2700"/>
    <x v="121"/>
    <x v="0"/>
    <n v="4"/>
    <n v="10"/>
    <n v="2003"/>
    <x v="1"/>
    <n v="173"/>
    <n v="-73"/>
    <x v="55"/>
    <x v="5"/>
    <x v="22"/>
    <x v="9"/>
    <x v="2"/>
    <x v="1"/>
  </r>
  <r>
    <x v="24"/>
    <n v="100"/>
    <n v="5000"/>
    <x v="32"/>
    <x v="0"/>
    <n v="4"/>
    <n v="11"/>
    <n v="2003"/>
    <x v="1"/>
    <n v="173"/>
    <n v="-73"/>
    <x v="55"/>
    <x v="5"/>
    <x v="57"/>
    <x v="12"/>
    <x v="1"/>
    <x v="2"/>
  </r>
  <r>
    <x v="30"/>
    <n v="100"/>
    <n v="4300"/>
    <x v="69"/>
    <x v="0"/>
    <n v="4"/>
    <n v="11"/>
    <n v="2003"/>
    <x v="1"/>
    <n v="173"/>
    <n v="-73"/>
    <x v="55"/>
    <x v="5"/>
    <x v="18"/>
    <x v="0"/>
    <x v="0"/>
    <x v="2"/>
  </r>
  <r>
    <x v="19"/>
    <n v="100"/>
    <n v="3800"/>
    <x v="70"/>
    <x v="0"/>
    <n v="4"/>
    <n v="11"/>
    <n v="2003"/>
    <x v="1"/>
    <n v="173"/>
    <n v="-73"/>
    <x v="55"/>
    <x v="5"/>
    <x v="28"/>
    <x v="0"/>
    <x v="0"/>
    <x v="2"/>
  </r>
  <r>
    <x v="14"/>
    <n v="100"/>
    <n v="2000"/>
    <x v="122"/>
    <x v="0"/>
    <n v="1"/>
    <n v="1"/>
    <n v="2004"/>
    <x v="1"/>
    <n v="173"/>
    <n v="-73"/>
    <x v="55"/>
    <x v="5"/>
    <x v="25"/>
    <x v="1"/>
    <x v="1"/>
    <x v="1"/>
  </r>
  <r>
    <x v="26"/>
    <n v="100"/>
    <n v="2700"/>
    <x v="123"/>
    <x v="0"/>
    <n v="1"/>
    <n v="2"/>
    <n v="2004"/>
    <x v="1"/>
    <n v="173"/>
    <n v="-73"/>
    <x v="55"/>
    <x v="5"/>
    <x v="60"/>
    <x v="18"/>
    <x v="1"/>
    <x v="1"/>
  </r>
  <r>
    <x v="4"/>
    <n v="100"/>
    <n v="4900"/>
    <x v="124"/>
    <x v="0"/>
    <n v="1"/>
    <n v="3"/>
    <n v="2004"/>
    <x v="1"/>
    <n v="173"/>
    <n v="-73"/>
    <x v="55"/>
    <x v="5"/>
    <x v="20"/>
    <x v="7"/>
    <x v="1"/>
    <x v="1"/>
  </r>
  <r>
    <x v="26"/>
    <n v="100"/>
    <n v="2700"/>
    <x v="125"/>
    <x v="0"/>
    <n v="2"/>
    <n v="5"/>
    <n v="2004"/>
    <x v="1"/>
    <n v="173"/>
    <n v="-73"/>
    <x v="55"/>
    <x v="5"/>
    <x v="59"/>
    <x v="4"/>
    <x v="1"/>
    <x v="1"/>
  </r>
  <r>
    <x v="25"/>
    <n v="100"/>
    <n v="3900"/>
    <x v="126"/>
    <x v="0"/>
    <n v="3"/>
    <n v="7"/>
    <n v="2004"/>
    <x v="1"/>
    <n v="173"/>
    <n v="-73"/>
    <x v="55"/>
    <x v="5"/>
    <x v="15"/>
    <x v="0"/>
    <x v="0"/>
    <x v="2"/>
  </r>
  <r>
    <x v="16"/>
    <n v="100"/>
    <n v="2400"/>
    <x v="76"/>
    <x v="0"/>
    <n v="3"/>
    <n v="8"/>
    <n v="2004"/>
    <x v="1"/>
    <n v="173"/>
    <n v="-73"/>
    <x v="55"/>
    <x v="5"/>
    <x v="33"/>
    <x v="0"/>
    <x v="0"/>
    <x v="1"/>
  </r>
  <r>
    <x v="3"/>
    <n v="100"/>
    <n v="4500"/>
    <x v="127"/>
    <x v="0"/>
    <n v="3"/>
    <n v="9"/>
    <n v="2004"/>
    <x v="1"/>
    <n v="173"/>
    <n v="-73"/>
    <x v="55"/>
    <x v="5"/>
    <x v="30"/>
    <x v="12"/>
    <x v="1"/>
    <x v="2"/>
  </r>
  <r>
    <x v="14"/>
    <n v="100"/>
    <n v="2000"/>
    <x v="78"/>
    <x v="0"/>
    <n v="4"/>
    <n v="10"/>
    <n v="2004"/>
    <x v="1"/>
    <n v="173"/>
    <n v="-73"/>
    <x v="55"/>
    <x v="5"/>
    <x v="61"/>
    <x v="6"/>
    <x v="1"/>
    <x v="1"/>
  </r>
  <r>
    <x v="5"/>
    <n v="100"/>
    <n v="3600"/>
    <x v="96"/>
    <x v="0"/>
    <n v="4"/>
    <n v="10"/>
    <n v="2004"/>
    <x v="1"/>
    <n v="173"/>
    <n v="-73"/>
    <x v="55"/>
    <x v="5"/>
    <x v="62"/>
    <x v="13"/>
    <x v="1"/>
    <x v="1"/>
  </r>
  <r>
    <x v="16"/>
    <n v="100"/>
    <n v="2400"/>
    <x v="80"/>
    <x v="0"/>
    <n v="4"/>
    <n v="11"/>
    <n v="2004"/>
    <x v="1"/>
    <n v="173"/>
    <n v="-73"/>
    <x v="55"/>
    <x v="5"/>
    <x v="14"/>
    <x v="2"/>
    <x v="1"/>
    <x v="0"/>
  </r>
  <r>
    <x v="4"/>
    <n v="63.38"/>
    <n v="3105.6200000000003"/>
    <x v="128"/>
    <x v="0"/>
    <n v="4"/>
    <n v="11"/>
    <n v="2004"/>
    <x v="1"/>
    <n v="173"/>
    <n v="-109.62"/>
    <x v="56"/>
    <x v="5"/>
    <x v="2"/>
    <x v="1"/>
    <x v="1"/>
    <x v="1"/>
  </r>
  <r>
    <x v="18"/>
    <n v="100"/>
    <n v="2600"/>
    <x v="140"/>
    <x v="0"/>
    <n v="4"/>
    <n v="12"/>
    <n v="2004"/>
    <x v="1"/>
    <n v="173"/>
    <n v="-73"/>
    <x v="55"/>
    <x v="5"/>
    <x v="0"/>
    <x v="0"/>
    <x v="0"/>
    <x v="1"/>
  </r>
  <r>
    <x v="4"/>
    <n v="62.09"/>
    <n v="3042.4100000000003"/>
    <x v="83"/>
    <x v="0"/>
    <n v="4"/>
    <n v="12"/>
    <n v="2004"/>
    <x v="1"/>
    <n v="173"/>
    <n v="-110.91"/>
    <x v="57"/>
    <x v="5"/>
    <x v="1"/>
    <x v="1"/>
    <x v="1"/>
    <x v="1"/>
  </r>
  <r>
    <x v="1"/>
    <n v="100"/>
    <n v="3400"/>
    <x v="136"/>
    <x v="0"/>
    <n v="1"/>
    <n v="1"/>
    <n v="2005"/>
    <x v="1"/>
    <n v="173"/>
    <n v="-73"/>
    <x v="55"/>
    <x v="5"/>
    <x v="29"/>
    <x v="11"/>
    <x v="3"/>
    <x v="1"/>
  </r>
  <r>
    <x v="1"/>
    <n v="95.35"/>
    <n v="3241.8999999999996"/>
    <x v="50"/>
    <x v="0"/>
    <n v="1"/>
    <n v="2"/>
    <n v="2005"/>
    <x v="1"/>
    <n v="173"/>
    <n v="-77.650000000000006"/>
    <x v="58"/>
    <x v="5"/>
    <x v="33"/>
    <x v="0"/>
    <x v="0"/>
    <x v="1"/>
  </r>
  <r>
    <x v="29"/>
    <n v="100"/>
    <n v="3300"/>
    <x v="141"/>
    <x v="0"/>
    <n v="1"/>
    <n v="3"/>
    <n v="2005"/>
    <x v="1"/>
    <n v="173"/>
    <n v="-73"/>
    <x v="55"/>
    <x v="5"/>
    <x v="33"/>
    <x v="0"/>
    <x v="0"/>
    <x v="1"/>
  </r>
  <r>
    <x v="8"/>
    <n v="100"/>
    <n v="2200"/>
    <x v="130"/>
    <x v="0"/>
    <n v="2"/>
    <n v="5"/>
    <n v="2005"/>
    <x v="1"/>
    <n v="173"/>
    <n v="-73"/>
    <x v="55"/>
    <x v="5"/>
    <x v="10"/>
    <x v="0"/>
    <x v="0"/>
    <x v="1"/>
  </r>
  <r>
    <x v="25"/>
    <n v="89.38"/>
    <n v="3485.8199999999997"/>
    <x v="98"/>
    <x v="0"/>
    <n v="1"/>
    <n v="3"/>
    <n v="2003"/>
    <x v="1"/>
    <n v="79"/>
    <n v="10.379999999999995"/>
    <x v="59"/>
    <x v="0"/>
    <x v="53"/>
    <x v="15"/>
    <x v="2"/>
    <x v="1"/>
  </r>
  <r>
    <x v="22"/>
    <n v="63.84"/>
    <n v="2042.88"/>
    <x v="99"/>
    <x v="0"/>
    <n v="2"/>
    <n v="5"/>
    <n v="2003"/>
    <x v="1"/>
    <n v="79"/>
    <n v="-15.159999999999997"/>
    <x v="60"/>
    <x v="6"/>
    <x v="54"/>
    <x v="1"/>
    <x v="1"/>
    <x v="0"/>
  </r>
  <r>
    <x v="16"/>
    <n v="75.010000000000005"/>
    <n v="1800.2400000000002"/>
    <x v="100"/>
    <x v="0"/>
    <n v="3"/>
    <n v="7"/>
    <n v="2003"/>
    <x v="1"/>
    <n v="79"/>
    <n v="-3.9899999999999949"/>
    <x v="61"/>
    <x v="4"/>
    <x v="33"/>
    <x v="0"/>
    <x v="0"/>
    <x v="0"/>
  </r>
  <r>
    <x v="15"/>
    <n v="63.84"/>
    <n v="1340.64"/>
    <x v="101"/>
    <x v="0"/>
    <n v="3"/>
    <n v="9"/>
    <n v="2003"/>
    <x v="1"/>
    <n v="79"/>
    <n v="-15.159999999999997"/>
    <x v="60"/>
    <x v="6"/>
    <x v="35"/>
    <x v="0"/>
    <x v="0"/>
    <x v="0"/>
  </r>
  <r>
    <x v="16"/>
    <n v="73.42"/>
    <n v="1762.08"/>
    <x v="4"/>
    <x v="0"/>
    <n v="4"/>
    <n v="10"/>
    <n v="2003"/>
    <x v="1"/>
    <n v="79"/>
    <n v="-5.5799999999999983"/>
    <x v="62"/>
    <x v="3"/>
    <x v="4"/>
    <x v="0"/>
    <x v="0"/>
    <x v="0"/>
  </r>
  <r>
    <x v="5"/>
    <n v="63.84"/>
    <n v="2298.2400000000002"/>
    <x v="102"/>
    <x v="0"/>
    <n v="4"/>
    <n v="11"/>
    <n v="2003"/>
    <x v="1"/>
    <n v="79"/>
    <n v="-15.159999999999997"/>
    <x v="60"/>
    <x v="6"/>
    <x v="36"/>
    <x v="3"/>
    <x v="2"/>
    <x v="0"/>
  </r>
  <r>
    <x v="14"/>
    <n v="81.400000000000006"/>
    <n v="1628"/>
    <x v="103"/>
    <x v="0"/>
    <n v="4"/>
    <n v="11"/>
    <n v="2003"/>
    <x v="1"/>
    <n v="79"/>
    <n v="2.4000000000000057"/>
    <x v="63"/>
    <x v="0"/>
    <x v="7"/>
    <x v="2"/>
    <x v="1"/>
    <x v="0"/>
  </r>
  <r>
    <x v="0"/>
    <n v="64.64"/>
    <n v="1939.2"/>
    <x v="104"/>
    <x v="0"/>
    <n v="4"/>
    <n v="11"/>
    <n v="2003"/>
    <x v="1"/>
    <n v="79"/>
    <n v="-14.36"/>
    <x v="64"/>
    <x v="6"/>
    <x v="55"/>
    <x v="16"/>
    <x v="1"/>
    <x v="0"/>
  </r>
  <r>
    <x v="27"/>
    <n v="82.99"/>
    <n v="3651.56"/>
    <x v="105"/>
    <x v="0"/>
    <n v="4"/>
    <n v="12"/>
    <n v="2003"/>
    <x v="1"/>
    <n v="79"/>
    <n v="3.9899999999999949"/>
    <x v="65"/>
    <x v="0"/>
    <x v="20"/>
    <x v="7"/>
    <x v="1"/>
    <x v="1"/>
  </r>
  <r>
    <x v="11"/>
    <n v="92.57"/>
    <n v="2591.96"/>
    <x v="9"/>
    <x v="0"/>
    <n v="1"/>
    <n v="1"/>
    <n v="2004"/>
    <x v="1"/>
    <n v="79"/>
    <n v="13.569999999999993"/>
    <x v="66"/>
    <x v="0"/>
    <x v="2"/>
    <x v="1"/>
    <x v="1"/>
    <x v="0"/>
  </r>
  <r>
    <x v="9"/>
    <n v="77.41"/>
    <n v="2864.17"/>
    <x v="106"/>
    <x v="0"/>
    <n v="1"/>
    <n v="2"/>
    <n v="2004"/>
    <x v="1"/>
    <n v="79"/>
    <n v="-1.5900000000000034"/>
    <x v="67"/>
    <x v="4"/>
    <x v="56"/>
    <x v="17"/>
    <x v="1"/>
    <x v="0"/>
  </r>
  <r>
    <x v="14"/>
    <n v="74.209999999999994"/>
    <n v="1484.1999999999998"/>
    <x v="107"/>
    <x v="0"/>
    <n v="2"/>
    <n v="4"/>
    <n v="2004"/>
    <x v="1"/>
    <n v="79"/>
    <n v="-4.7900000000000063"/>
    <x v="68"/>
    <x v="3"/>
    <x v="40"/>
    <x v="13"/>
    <x v="1"/>
    <x v="0"/>
  </r>
  <r>
    <x v="32"/>
    <n v="90.17"/>
    <n v="2254.25"/>
    <x v="108"/>
    <x v="3"/>
    <n v="2"/>
    <n v="6"/>
    <n v="2004"/>
    <x v="1"/>
    <n v="79"/>
    <n v="11.170000000000002"/>
    <x v="69"/>
    <x v="0"/>
    <x v="19"/>
    <x v="6"/>
    <x v="1"/>
    <x v="0"/>
  </r>
  <r>
    <x v="21"/>
    <n v="76.61"/>
    <n v="2681.35"/>
    <x v="109"/>
    <x v="0"/>
    <n v="3"/>
    <n v="7"/>
    <n v="2004"/>
    <x v="1"/>
    <n v="79"/>
    <n v="-2.3900000000000006"/>
    <x v="70"/>
    <x v="4"/>
    <x v="57"/>
    <x v="12"/>
    <x v="1"/>
    <x v="0"/>
  </r>
  <r>
    <x v="19"/>
    <n v="83.79"/>
    <n v="3184.0200000000004"/>
    <x v="110"/>
    <x v="0"/>
    <n v="3"/>
    <n v="8"/>
    <n v="2004"/>
    <x v="1"/>
    <n v="79"/>
    <n v="4.7900000000000063"/>
    <x v="71"/>
    <x v="0"/>
    <x v="35"/>
    <x v="0"/>
    <x v="0"/>
    <x v="1"/>
  </r>
  <r>
    <x v="2"/>
    <n v="69.430000000000007"/>
    <n v="2846.63"/>
    <x v="111"/>
    <x v="0"/>
    <n v="3"/>
    <n v="8"/>
    <n v="2004"/>
    <x v="1"/>
    <n v="79"/>
    <n v="-9.5699999999999932"/>
    <x v="72"/>
    <x v="1"/>
    <x v="56"/>
    <x v="17"/>
    <x v="1"/>
    <x v="0"/>
  </r>
  <r>
    <x v="8"/>
    <n v="76.61"/>
    <n v="1685.42"/>
    <x v="112"/>
    <x v="0"/>
    <n v="4"/>
    <n v="10"/>
    <n v="2003"/>
    <x v="1"/>
    <n v="79"/>
    <n v="-2.3900000000000006"/>
    <x v="70"/>
    <x v="4"/>
    <x v="58"/>
    <x v="16"/>
    <x v="1"/>
    <x v="0"/>
  </r>
  <r>
    <x v="4"/>
    <n v="81.400000000000006"/>
    <n v="3988.6000000000004"/>
    <x v="113"/>
    <x v="0"/>
    <n v="4"/>
    <n v="10"/>
    <n v="2004"/>
    <x v="1"/>
    <n v="79"/>
    <n v="2.4000000000000057"/>
    <x v="63"/>
    <x v="0"/>
    <x v="55"/>
    <x v="16"/>
    <x v="1"/>
    <x v="1"/>
  </r>
  <r>
    <x v="19"/>
    <n v="73.42"/>
    <n v="2789.96"/>
    <x v="114"/>
    <x v="0"/>
    <n v="4"/>
    <n v="11"/>
    <n v="2004"/>
    <x v="1"/>
    <n v="79"/>
    <n v="-5.5799999999999983"/>
    <x v="62"/>
    <x v="3"/>
    <x v="21"/>
    <x v="8"/>
    <x v="1"/>
    <x v="0"/>
  </r>
  <r>
    <x v="29"/>
    <n v="100"/>
    <n v="3300"/>
    <x v="19"/>
    <x v="0"/>
    <n v="4"/>
    <n v="11"/>
    <n v="2004"/>
    <x v="1"/>
    <n v="79"/>
    <n v="21"/>
    <x v="73"/>
    <x v="0"/>
    <x v="0"/>
    <x v="0"/>
    <x v="0"/>
    <x v="1"/>
  </r>
  <r>
    <x v="5"/>
    <n v="93.56"/>
    <n v="3368.16"/>
    <x v="20"/>
    <x v="0"/>
    <n v="4"/>
    <n v="11"/>
    <n v="2004"/>
    <x v="1"/>
    <n v="79"/>
    <n v="14.560000000000002"/>
    <x v="74"/>
    <x v="0"/>
    <x v="16"/>
    <x v="5"/>
    <x v="1"/>
    <x v="1"/>
  </r>
  <r>
    <x v="1"/>
    <n v="81.62"/>
    <n v="2775.08"/>
    <x v="115"/>
    <x v="0"/>
    <n v="1"/>
    <n v="1"/>
    <n v="2005"/>
    <x v="1"/>
    <n v="79"/>
    <n v="2.6200000000000045"/>
    <x v="75"/>
    <x v="0"/>
    <x v="59"/>
    <x v="4"/>
    <x v="1"/>
    <x v="0"/>
  </r>
  <r>
    <x v="16"/>
    <n v="67.83"/>
    <n v="1627.92"/>
    <x v="142"/>
    <x v="0"/>
    <n v="1"/>
    <n v="2"/>
    <n v="2005"/>
    <x v="1"/>
    <n v="79"/>
    <n v="-11.170000000000002"/>
    <x v="76"/>
    <x v="1"/>
    <x v="13"/>
    <x v="4"/>
    <x v="1"/>
    <x v="0"/>
  </r>
  <r>
    <x v="5"/>
    <n v="70.260000000000005"/>
    <n v="2529.36"/>
    <x v="23"/>
    <x v="0"/>
    <n v="1"/>
    <n v="3"/>
    <n v="2005"/>
    <x v="1"/>
    <n v="79"/>
    <n v="-8.7399999999999949"/>
    <x v="77"/>
    <x v="1"/>
    <x v="31"/>
    <x v="8"/>
    <x v="1"/>
    <x v="0"/>
  </r>
  <r>
    <x v="1"/>
    <n v="90.17"/>
    <n v="3065.78"/>
    <x v="116"/>
    <x v="0"/>
    <n v="2"/>
    <n v="5"/>
    <n v="2005"/>
    <x v="1"/>
    <n v="79"/>
    <n v="11.170000000000002"/>
    <x v="69"/>
    <x v="0"/>
    <x v="16"/>
    <x v="5"/>
    <x v="1"/>
    <x v="1"/>
  </r>
  <r>
    <x v="2"/>
    <n v="100"/>
    <n v="4100"/>
    <x v="134"/>
    <x v="0"/>
    <n v="1"/>
    <n v="1"/>
    <n v="2003"/>
    <x v="2"/>
    <n v="118"/>
    <n v="-18"/>
    <x v="15"/>
    <x v="1"/>
    <x v="20"/>
    <x v="7"/>
    <x v="1"/>
    <x v="1"/>
  </r>
  <r>
    <x v="12"/>
    <n v="100"/>
    <n v="4600"/>
    <x v="143"/>
    <x v="0"/>
    <n v="2"/>
    <n v="4"/>
    <n v="2003"/>
    <x v="2"/>
    <n v="118"/>
    <n v="-18"/>
    <x v="15"/>
    <x v="1"/>
    <x v="0"/>
    <x v="0"/>
    <x v="0"/>
    <x v="1"/>
  </r>
  <r>
    <x v="16"/>
    <n v="100"/>
    <n v="2400"/>
    <x v="118"/>
    <x v="0"/>
    <n v="2"/>
    <n v="6"/>
    <n v="2003"/>
    <x v="2"/>
    <n v="118"/>
    <n v="-18"/>
    <x v="15"/>
    <x v="1"/>
    <x v="0"/>
    <x v="0"/>
    <x v="0"/>
    <x v="0"/>
  </r>
  <r>
    <x v="15"/>
    <n v="100"/>
    <n v="2100"/>
    <x v="144"/>
    <x v="0"/>
    <n v="3"/>
    <n v="8"/>
    <n v="2003"/>
    <x v="2"/>
    <n v="118"/>
    <n v="-18"/>
    <x v="15"/>
    <x v="1"/>
    <x v="59"/>
    <x v="4"/>
    <x v="1"/>
    <x v="0"/>
  </r>
  <r>
    <x v="16"/>
    <n v="100"/>
    <n v="2400"/>
    <x v="145"/>
    <x v="0"/>
    <n v="3"/>
    <n v="9"/>
    <n v="2003"/>
    <x v="2"/>
    <n v="118"/>
    <n v="-18"/>
    <x v="15"/>
    <x v="1"/>
    <x v="50"/>
    <x v="4"/>
    <x v="1"/>
    <x v="1"/>
  </r>
  <r>
    <x v="7"/>
    <n v="100"/>
    <n v="4800"/>
    <x v="121"/>
    <x v="0"/>
    <n v="4"/>
    <n v="10"/>
    <n v="2003"/>
    <x v="2"/>
    <n v="118"/>
    <n v="-18"/>
    <x v="15"/>
    <x v="1"/>
    <x v="22"/>
    <x v="9"/>
    <x v="2"/>
    <x v="1"/>
  </r>
  <r>
    <x v="18"/>
    <n v="100"/>
    <n v="2600"/>
    <x v="32"/>
    <x v="0"/>
    <n v="4"/>
    <n v="11"/>
    <n v="2003"/>
    <x v="2"/>
    <n v="118"/>
    <n v="-18"/>
    <x v="15"/>
    <x v="1"/>
    <x v="41"/>
    <x v="6"/>
    <x v="1"/>
    <x v="1"/>
  </r>
  <r>
    <x v="9"/>
    <n v="100"/>
    <n v="3700"/>
    <x v="69"/>
    <x v="0"/>
    <n v="4"/>
    <n v="11"/>
    <n v="2003"/>
    <x v="2"/>
    <n v="118"/>
    <n v="-18"/>
    <x v="15"/>
    <x v="1"/>
    <x v="64"/>
    <x v="7"/>
    <x v="1"/>
    <x v="1"/>
  </r>
  <r>
    <x v="4"/>
    <n v="100"/>
    <n v="4900"/>
    <x v="34"/>
    <x v="0"/>
    <n v="4"/>
    <n v="11"/>
    <n v="2003"/>
    <x v="2"/>
    <n v="118"/>
    <n v="-18"/>
    <x v="15"/>
    <x v="1"/>
    <x v="39"/>
    <x v="0"/>
    <x v="0"/>
    <x v="1"/>
  </r>
  <r>
    <x v="1"/>
    <n v="99.54"/>
    <n v="3384.36"/>
    <x v="91"/>
    <x v="0"/>
    <n v="4"/>
    <n v="12"/>
    <n v="2003"/>
    <x v="2"/>
    <n v="118"/>
    <n v="-18.459999999999994"/>
    <x v="78"/>
    <x v="6"/>
    <x v="48"/>
    <x v="0"/>
    <x v="0"/>
    <x v="1"/>
  </r>
  <r>
    <x v="7"/>
    <n v="100"/>
    <n v="4800"/>
    <x v="146"/>
    <x v="0"/>
    <n v="1"/>
    <n v="2"/>
    <n v="2004"/>
    <x v="2"/>
    <n v="118"/>
    <n v="-18"/>
    <x v="15"/>
    <x v="1"/>
    <x v="65"/>
    <x v="0"/>
    <x v="0"/>
    <x v="1"/>
  </r>
  <r>
    <x v="5"/>
    <n v="100"/>
    <n v="3600"/>
    <x v="93"/>
    <x v="0"/>
    <n v="1"/>
    <n v="3"/>
    <n v="2004"/>
    <x v="2"/>
    <n v="118"/>
    <n v="-18"/>
    <x v="15"/>
    <x v="1"/>
    <x v="33"/>
    <x v="0"/>
    <x v="0"/>
    <x v="1"/>
  </r>
  <r>
    <x v="12"/>
    <n v="100"/>
    <n v="4600"/>
    <x v="125"/>
    <x v="0"/>
    <n v="2"/>
    <n v="5"/>
    <n v="2004"/>
    <x v="2"/>
    <n v="118"/>
    <n v="-18"/>
    <x v="15"/>
    <x v="1"/>
    <x v="20"/>
    <x v="7"/>
    <x v="1"/>
    <x v="1"/>
  </r>
  <r>
    <x v="12"/>
    <n v="100"/>
    <n v="4600"/>
    <x v="39"/>
    <x v="0"/>
    <n v="2"/>
    <n v="6"/>
    <n v="2004"/>
    <x v="2"/>
    <n v="118"/>
    <n v="-18"/>
    <x v="15"/>
    <x v="1"/>
    <x v="22"/>
    <x v="9"/>
    <x v="2"/>
    <x v="1"/>
  </r>
  <r>
    <x v="28"/>
    <n v="97.17"/>
    <n v="3012.27"/>
    <x v="126"/>
    <x v="0"/>
    <n v="3"/>
    <n v="7"/>
    <n v="2004"/>
    <x v="2"/>
    <n v="118"/>
    <n v="-20.83"/>
    <x v="79"/>
    <x v="6"/>
    <x v="33"/>
    <x v="0"/>
    <x v="0"/>
    <x v="1"/>
  </r>
  <r>
    <x v="2"/>
    <n v="100"/>
    <n v="4100"/>
    <x v="94"/>
    <x v="0"/>
    <n v="3"/>
    <n v="8"/>
    <n v="2004"/>
    <x v="2"/>
    <n v="118"/>
    <n v="-18"/>
    <x v="15"/>
    <x v="1"/>
    <x v="15"/>
    <x v="0"/>
    <x v="0"/>
    <x v="1"/>
  </r>
  <r>
    <x v="15"/>
    <n v="100"/>
    <n v="2100"/>
    <x v="42"/>
    <x v="0"/>
    <n v="3"/>
    <n v="9"/>
    <n v="2004"/>
    <x v="2"/>
    <n v="118"/>
    <n v="-18"/>
    <x v="15"/>
    <x v="1"/>
    <x v="0"/>
    <x v="0"/>
    <x v="0"/>
    <x v="0"/>
  </r>
  <r>
    <x v="19"/>
    <n v="100"/>
    <n v="3800"/>
    <x v="95"/>
    <x v="0"/>
    <n v="4"/>
    <n v="10"/>
    <n v="2004"/>
    <x v="2"/>
    <n v="118"/>
    <n v="-18"/>
    <x v="15"/>
    <x v="1"/>
    <x v="12"/>
    <x v="0"/>
    <x v="0"/>
    <x v="1"/>
  </r>
  <r>
    <x v="3"/>
    <n v="100"/>
    <n v="4500"/>
    <x v="96"/>
    <x v="0"/>
    <n v="4"/>
    <n v="10"/>
    <n v="2004"/>
    <x v="2"/>
    <n v="118"/>
    <n v="-18"/>
    <x v="15"/>
    <x v="1"/>
    <x v="62"/>
    <x v="13"/>
    <x v="1"/>
    <x v="1"/>
  </r>
  <r>
    <x v="18"/>
    <n v="58.38"/>
    <n v="1517.88"/>
    <x v="80"/>
    <x v="0"/>
    <n v="4"/>
    <n v="11"/>
    <n v="2004"/>
    <x v="2"/>
    <n v="118"/>
    <n v="-59.62"/>
    <x v="80"/>
    <x v="5"/>
    <x v="0"/>
    <x v="0"/>
    <x v="0"/>
    <x v="0"/>
  </r>
  <r>
    <x v="19"/>
    <n v="100"/>
    <n v="3800"/>
    <x v="128"/>
    <x v="0"/>
    <n v="4"/>
    <n v="11"/>
    <n v="2004"/>
    <x v="2"/>
    <n v="118"/>
    <n v="-18"/>
    <x v="15"/>
    <x v="1"/>
    <x v="2"/>
    <x v="1"/>
    <x v="1"/>
    <x v="1"/>
  </r>
  <r>
    <x v="7"/>
    <n v="100"/>
    <n v="4800"/>
    <x v="140"/>
    <x v="0"/>
    <n v="4"/>
    <n v="12"/>
    <n v="2004"/>
    <x v="2"/>
    <n v="118"/>
    <n v="-18"/>
    <x v="15"/>
    <x v="1"/>
    <x v="0"/>
    <x v="0"/>
    <x v="0"/>
    <x v="1"/>
  </r>
  <r>
    <x v="13"/>
    <n v="64.16"/>
    <n v="2694.72"/>
    <x v="48"/>
    <x v="0"/>
    <n v="4"/>
    <n v="12"/>
    <n v="2004"/>
    <x v="2"/>
    <n v="118"/>
    <n v="-53.84"/>
    <x v="81"/>
    <x v="5"/>
    <x v="20"/>
    <x v="7"/>
    <x v="1"/>
    <x v="0"/>
  </r>
  <r>
    <x v="4"/>
    <n v="35.71"/>
    <n v="1749.79"/>
    <x v="129"/>
    <x v="0"/>
    <n v="1"/>
    <n v="1"/>
    <n v="2005"/>
    <x v="2"/>
    <n v="118"/>
    <n v="-82.289999999999992"/>
    <x v="82"/>
    <x v="5"/>
    <x v="33"/>
    <x v="0"/>
    <x v="0"/>
    <x v="0"/>
  </r>
  <r>
    <x v="22"/>
    <n v="66.58"/>
    <n v="2130.56"/>
    <x v="50"/>
    <x v="0"/>
    <n v="1"/>
    <n v="2"/>
    <n v="2005"/>
    <x v="2"/>
    <n v="118"/>
    <n v="-51.42"/>
    <x v="83"/>
    <x v="5"/>
    <x v="33"/>
    <x v="0"/>
    <x v="0"/>
    <x v="0"/>
  </r>
  <r>
    <x v="38"/>
    <n v="100"/>
    <n v="5400"/>
    <x v="147"/>
    <x v="0"/>
    <n v="2"/>
    <n v="5"/>
    <n v="2005"/>
    <x v="2"/>
    <n v="118"/>
    <n v="-18"/>
    <x v="15"/>
    <x v="1"/>
    <x v="20"/>
    <x v="7"/>
    <x v="1"/>
    <x v="1"/>
  </r>
  <r>
    <x v="29"/>
    <n v="100"/>
    <n v="3300"/>
    <x v="53"/>
    <x v="2"/>
    <n v="2"/>
    <n v="5"/>
    <n v="2005"/>
    <x v="2"/>
    <n v="118"/>
    <n v="-18"/>
    <x v="15"/>
    <x v="1"/>
    <x v="11"/>
    <x v="1"/>
    <x v="1"/>
    <x v="1"/>
  </r>
  <r>
    <x v="5"/>
    <n v="100"/>
    <n v="3600"/>
    <x v="98"/>
    <x v="0"/>
    <n v="1"/>
    <n v="3"/>
    <n v="2003"/>
    <x v="1"/>
    <n v="115"/>
    <n v="-15"/>
    <x v="84"/>
    <x v="1"/>
    <x v="53"/>
    <x v="15"/>
    <x v="2"/>
    <x v="1"/>
  </r>
  <r>
    <x v="14"/>
    <n v="100"/>
    <n v="2000"/>
    <x v="99"/>
    <x v="0"/>
    <n v="2"/>
    <n v="5"/>
    <n v="2003"/>
    <x v="1"/>
    <n v="115"/>
    <n v="-15"/>
    <x v="84"/>
    <x v="1"/>
    <x v="54"/>
    <x v="1"/>
    <x v="1"/>
    <x v="0"/>
  </r>
  <r>
    <x v="6"/>
    <n v="97.89"/>
    <n v="2838.81"/>
    <x v="100"/>
    <x v="0"/>
    <n v="3"/>
    <n v="7"/>
    <n v="2003"/>
    <x v="1"/>
    <n v="115"/>
    <n v="-17.11"/>
    <x v="85"/>
    <x v="1"/>
    <x v="33"/>
    <x v="0"/>
    <x v="0"/>
    <x v="0"/>
  </r>
  <r>
    <x v="29"/>
    <n v="97.89"/>
    <n v="3230.37"/>
    <x v="101"/>
    <x v="0"/>
    <n v="3"/>
    <n v="9"/>
    <n v="2003"/>
    <x v="1"/>
    <n v="115"/>
    <n v="-17.11"/>
    <x v="85"/>
    <x v="1"/>
    <x v="35"/>
    <x v="0"/>
    <x v="0"/>
    <x v="1"/>
  </r>
  <r>
    <x v="24"/>
    <n v="100"/>
    <n v="5000"/>
    <x v="137"/>
    <x v="0"/>
    <n v="4"/>
    <n v="10"/>
    <n v="2003"/>
    <x v="1"/>
    <n v="115"/>
    <n v="-15"/>
    <x v="84"/>
    <x v="1"/>
    <x v="44"/>
    <x v="0"/>
    <x v="0"/>
    <x v="1"/>
  </r>
  <r>
    <x v="2"/>
    <n v="100"/>
    <n v="4100"/>
    <x v="102"/>
    <x v="0"/>
    <n v="4"/>
    <n v="11"/>
    <n v="2003"/>
    <x v="1"/>
    <n v="115"/>
    <n v="-15"/>
    <x v="84"/>
    <x v="1"/>
    <x v="52"/>
    <x v="5"/>
    <x v="1"/>
    <x v="1"/>
  </r>
  <r>
    <x v="5"/>
    <n v="100"/>
    <n v="3600"/>
    <x v="103"/>
    <x v="0"/>
    <n v="4"/>
    <n v="11"/>
    <n v="2003"/>
    <x v="1"/>
    <n v="115"/>
    <n v="-15"/>
    <x v="84"/>
    <x v="1"/>
    <x v="7"/>
    <x v="2"/>
    <x v="1"/>
    <x v="1"/>
  </r>
  <r>
    <x v="26"/>
    <n v="100"/>
    <n v="2700"/>
    <x v="104"/>
    <x v="0"/>
    <n v="4"/>
    <n v="11"/>
    <n v="2003"/>
    <x v="1"/>
    <n v="115"/>
    <n v="-15"/>
    <x v="84"/>
    <x v="1"/>
    <x v="34"/>
    <x v="0"/>
    <x v="0"/>
    <x v="1"/>
  </r>
  <r>
    <x v="20"/>
    <n v="100"/>
    <n v="4700"/>
    <x v="105"/>
    <x v="0"/>
    <n v="4"/>
    <n v="12"/>
    <n v="2003"/>
    <x v="1"/>
    <n v="115"/>
    <n v="-15"/>
    <x v="84"/>
    <x v="1"/>
    <x v="20"/>
    <x v="7"/>
    <x v="1"/>
    <x v="1"/>
  </r>
  <r>
    <x v="29"/>
    <n v="100"/>
    <n v="3300"/>
    <x v="138"/>
    <x v="0"/>
    <n v="1"/>
    <n v="1"/>
    <n v="2004"/>
    <x v="1"/>
    <n v="115"/>
    <n v="-15"/>
    <x v="84"/>
    <x v="1"/>
    <x v="20"/>
    <x v="7"/>
    <x v="1"/>
    <x v="1"/>
  </r>
  <r>
    <x v="15"/>
    <n v="100"/>
    <n v="2100"/>
    <x v="106"/>
    <x v="0"/>
    <n v="1"/>
    <n v="2"/>
    <n v="2004"/>
    <x v="1"/>
    <n v="115"/>
    <n v="-15"/>
    <x v="84"/>
    <x v="1"/>
    <x v="56"/>
    <x v="17"/>
    <x v="1"/>
    <x v="0"/>
  </r>
  <r>
    <x v="15"/>
    <n v="93.28"/>
    <n v="1958.88"/>
    <x v="148"/>
    <x v="0"/>
    <n v="2"/>
    <n v="4"/>
    <n v="2004"/>
    <x v="1"/>
    <n v="115"/>
    <n v="-21.72"/>
    <x v="86"/>
    <x v="6"/>
    <x v="50"/>
    <x v="4"/>
    <x v="1"/>
    <x v="0"/>
  </r>
  <r>
    <x v="2"/>
    <n v="100"/>
    <n v="4100"/>
    <x v="108"/>
    <x v="3"/>
    <n v="2"/>
    <n v="6"/>
    <n v="2004"/>
    <x v="1"/>
    <n v="115"/>
    <n v="-15"/>
    <x v="84"/>
    <x v="1"/>
    <x v="19"/>
    <x v="6"/>
    <x v="1"/>
    <x v="1"/>
  </r>
  <r>
    <x v="23"/>
    <n v="100"/>
    <n v="4000"/>
    <x v="109"/>
    <x v="0"/>
    <n v="3"/>
    <n v="7"/>
    <n v="2004"/>
    <x v="1"/>
    <n v="115"/>
    <n v="-15"/>
    <x v="84"/>
    <x v="1"/>
    <x v="57"/>
    <x v="12"/>
    <x v="1"/>
    <x v="1"/>
  </r>
  <r>
    <x v="11"/>
    <n v="100"/>
    <n v="2800"/>
    <x v="149"/>
    <x v="0"/>
    <n v="3"/>
    <n v="8"/>
    <n v="2004"/>
    <x v="1"/>
    <n v="115"/>
    <n v="-15"/>
    <x v="84"/>
    <x v="1"/>
    <x v="22"/>
    <x v="9"/>
    <x v="2"/>
    <x v="1"/>
  </r>
  <r>
    <x v="10"/>
    <n v="100"/>
    <n v="2300"/>
    <x v="111"/>
    <x v="0"/>
    <n v="3"/>
    <n v="8"/>
    <n v="2004"/>
    <x v="1"/>
    <n v="115"/>
    <n v="-15"/>
    <x v="84"/>
    <x v="1"/>
    <x v="56"/>
    <x v="17"/>
    <x v="1"/>
    <x v="0"/>
  </r>
  <r>
    <x v="10"/>
    <n v="100"/>
    <n v="2300"/>
    <x v="112"/>
    <x v="0"/>
    <n v="4"/>
    <n v="10"/>
    <n v="2003"/>
    <x v="1"/>
    <n v="115"/>
    <n v="-15"/>
    <x v="84"/>
    <x v="1"/>
    <x v="58"/>
    <x v="16"/>
    <x v="1"/>
    <x v="0"/>
  </r>
  <r>
    <x v="32"/>
    <n v="100"/>
    <n v="2500"/>
    <x v="113"/>
    <x v="0"/>
    <n v="4"/>
    <n v="10"/>
    <n v="2004"/>
    <x v="1"/>
    <n v="115"/>
    <n v="-15"/>
    <x v="84"/>
    <x v="1"/>
    <x v="55"/>
    <x v="16"/>
    <x v="1"/>
    <x v="0"/>
  </r>
  <r>
    <x v="16"/>
    <n v="100"/>
    <n v="2400"/>
    <x v="45"/>
    <x v="0"/>
    <n v="4"/>
    <n v="11"/>
    <n v="2004"/>
    <x v="1"/>
    <n v="115"/>
    <n v="-15"/>
    <x v="84"/>
    <x v="1"/>
    <x v="18"/>
    <x v="0"/>
    <x v="0"/>
    <x v="0"/>
  </r>
  <r>
    <x v="25"/>
    <n v="64.739999999999995"/>
    <n v="2524.8599999999997"/>
    <x v="19"/>
    <x v="0"/>
    <n v="4"/>
    <n v="11"/>
    <n v="2004"/>
    <x v="1"/>
    <n v="115"/>
    <n v="-50.260000000000005"/>
    <x v="87"/>
    <x v="5"/>
    <x v="0"/>
    <x v="0"/>
    <x v="0"/>
    <x v="0"/>
  </r>
  <r>
    <x v="36"/>
    <n v="75.2"/>
    <n v="4136"/>
    <x v="20"/>
    <x v="0"/>
    <n v="4"/>
    <n v="11"/>
    <n v="2004"/>
    <x v="1"/>
    <n v="115"/>
    <n v="-39.799999999999997"/>
    <x v="88"/>
    <x v="5"/>
    <x v="16"/>
    <x v="5"/>
    <x v="1"/>
    <x v="1"/>
  </r>
  <r>
    <x v="12"/>
    <n v="88.45"/>
    <n v="4068.7000000000003"/>
    <x v="115"/>
    <x v="0"/>
    <n v="1"/>
    <n v="1"/>
    <n v="2005"/>
    <x v="1"/>
    <n v="115"/>
    <n v="-26.549999999999997"/>
    <x v="89"/>
    <x v="5"/>
    <x v="59"/>
    <x v="4"/>
    <x v="1"/>
    <x v="1"/>
  </r>
  <r>
    <x v="24"/>
    <n v="100"/>
    <n v="5000"/>
    <x v="142"/>
    <x v="0"/>
    <n v="1"/>
    <n v="2"/>
    <n v="2005"/>
    <x v="1"/>
    <n v="115"/>
    <n v="-15"/>
    <x v="84"/>
    <x v="1"/>
    <x v="13"/>
    <x v="4"/>
    <x v="1"/>
    <x v="1"/>
  </r>
  <r>
    <x v="20"/>
    <n v="100"/>
    <n v="4700"/>
    <x v="23"/>
    <x v="0"/>
    <n v="1"/>
    <n v="3"/>
    <n v="2005"/>
    <x v="1"/>
    <n v="115"/>
    <n v="-15"/>
    <x v="84"/>
    <x v="1"/>
    <x v="31"/>
    <x v="8"/>
    <x v="1"/>
    <x v="1"/>
  </r>
  <r>
    <x v="39"/>
    <n v="93.28"/>
    <n v="9048.16"/>
    <x v="150"/>
    <x v="0"/>
    <n v="2"/>
    <n v="4"/>
    <n v="2005"/>
    <x v="1"/>
    <n v="115"/>
    <n v="-21.72"/>
    <x v="86"/>
    <x v="6"/>
    <x v="66"/>
    <x v="1"/>
    <x v="1"/>
    <x v="2"/>
  </r>
  <r>
    <x v="22"/>
    <n v="100"/>
    <n v="3200"/>
    <x v="116"/>
    <x v="0"/>
    <n v="2"/>
    <n v="5"/>
    <n v="2005"/>
    <x v="1"/>
    <n v="115"/>
    <n v="-15"/>
    <x v="84"/>
    <x v="1"/>
    <x v="16"/>
    <x v="5"/>
    <x v="1"/>
    <x v="1"/>
  </r>
  <r>
    <x v="21"/>
    <n v="100"/>
    <n v="3500"/>
    <x v="26"/>
    <x v="0"/>
    <n v="1"/>
    <n v="1"/>
    <n v="2003"/>
    <x v="2"/>
    <n v="116"/>
    <n v="-16"/>
    <x v="90"/>
    <x v="1"/>
    <x v="14"/>
    <x v="2"/>
    <x v="1"/>
    <x v="1"/>
  </r>
  <r>
    <x v="4"/>
    <n v="100"/>
    <n v="4900"/>
    <x v="131"/>
    <x v="0"/>
    <n v="1"/>
    <n v="3"/>
    <n v="2003"/>
    <x v="2"/>
    <n v="116"/>
    <n v="-16"/>
    <x v="90"/>
    <x v="1"/>
    <x v="33"/>
    <x v="0"/>
    <x v="0"/>
    <x v="1"/>
  </r>
  <r>
    <x v="19"/>
    <n v="100"/>
    <n v="3800"/>
    <x v="28"/>
    <x v="0"/>
    <n v="2"/>
    <n v="5"/>
    <n v="2003"/>
    <x v="2"/>
    <n v="116"/>
    <n v="-16"/>
    <x v="90"/>
    <x v="1"/>
    <x v="20"/>
    <x v="7"/>
    <x v="1"/>
    <x v="1"/>
  </r>
  <r>
    <x v="22"/>
    <n v="100"/>
    <n v="3200"/>
    <x v="29"/>
    <x v="0"/>
    <n v="3"/>
    <n v="7"/>
    <n v="2003"/>
    <x v="2"/>
    <n v="116"/>
    <n v="-16"/>
    <x v="90"/>
    <x v="1"/>
    <x v="5"/>
    <x v="0"/>
    <x v="0"/>
    <x v="1"/>
  </r>
  <r>
    <x v="1"/>
    <n v="100"/>
    <n v="3400"/>
    <x v="30"/>
    <x v="0"/>
    <n v="3"/>
    <n v="9"/>
    <n v="2003"/>
    <x v="2"/>
    <n v="116"/>
    <n v="-16"/>
    <x v="90"/>
    <x v="1"/>
    <x v="22"/>
    <x v="9"/>
    <x v="2"/>
    <x v="1"/>
  </r>
  <r>
    <x v="5"/>
    <n v="99.17"/>
    <n v="3570.12"/>
    <x v="90"/>
    <x v="5"/>
    <n v="4"/>
    <n v="10"/>
    <n v="2003"/>
    <x v="2"/>
    <n v="116"/>
    <n v="-16.829999999999998"/>
    <x v="91"/>
    <x v="1"/>
    <x v="52"/>
    <x v="5"/>
    <x v="1"/>
    <x v="1"/>
  </r>
  <r>
    <x v="7"/>
    <n v="93.34"/>
    <n v="4480.32"/>
    <x v="32"/>
    <x v="0"/>
    <n v="4"/>
    <n v="11"/>
    <n v="2003"/>
    <x v="2"/>
    <n v="116"/>
    <n v="-22.659999999999997"/>
    <x v="92"/>
    <x v="6"/>
    <x v="23"/>
    <x v="3"/>
    <x v="2"/>
    <x v="1"/>
  </r>
  <r>
    <x v="15"/>
    <n v="96.84"/>
    <n v="2033.64"/>
    <x v="33"/>
    <x v="0"/>
    <n v="4"/>
    <n v="11"/>
    <n v="2003"/>
    <x v="2"/>
    <n v="116"/>
    <n v="-19.159999999999997"/>
    <x v="93"/>
    <x v="6"/>
    <x v="24"/>
    <x v="0"/>
    <x v="0"/>
    <x v="0"/>
  </r>
  <r>
    <x v="15"/>
    <n v="93.34"/>
    <n v="1960.14"/>
    <x v="34"/>
    <x v="0"/>
    <n v="4"/>
    <n v="11"/>
    <n v="2003"/>
    <x v="2"/>
    <n v="116"/>
    <n v="-22.659999999999997"/>
    <x v="92"/>
    <x v="6"/>
    <x v="25"/>
    <x v="1"/>
    <x v="1"/>
    <x v="0"/>
  </r>
  <r>
    <x v="1"/>
    <n v="100"/>
    <n v="3400"/>
    <x v="35"/>
    <x v="0"/>
    <n v="4"/>
    <n v="12"/>
    <n v="2003"/>
    <x v="2"/>
    <n v="116"/>
    <n v="-16"/>
    <x v="90"/>
    <x v="1"/>
    <x v="26"/>
    <x v="10"/>
    <x v="0"/>
    <x v="1"/>
  </r>
  <r>
    <x v="12"/>
    <n v="100"/>
    <n v="4600"/>
    <x v="36"/>
    <x v="0"/>
    <n v="1"/>
    <n v="1"/>
    <n v="2004"/>
    <x v="2"/>
    <n v="116"/>
    <n v="-16"/>
    <x v="90"/>
    <x v="1"/>
    <x v="27"/>
    <x v="0"/>
    <x v="0"/>
    <x v="1"/>
  </r>
  <r>
    <x v="22"/>
    <n v="100"/>
    <n v="3200"/>
    <x v="37"/>
    <x v="0"/>
    <n v="1"/>
    <n v="3"/>
    <n v="2004"/>
    <x v="2"/>
    <n v="116"/>
    <n v="-16"/>
    <x v="90"/>
    <x v="1"/>
    <x v="12"/>
    <x v="0"/>
    <x v="0"/>
    <x v="1"/>
  </r>
  <r>
    <x v="6"/>
    <n v="100"/>
    <n v="2900"/>
    <x v="38"/>
    <x v="0"/>
    <n v="2"/>
    <n v="5"/>
    <n v="2004"/>
    <x v="2"/>
    <n v="116"/>
    <n v="-16"/>
    <x v="90"/>
    <x v="1"/>
    <x v="28"/>
    <x v="0"/>
    <x v="0"/>
    <x v="1"/>
  </r>
  <r>
    <x v="2"/>
    <n v="100"/>
    <n v="4100"/>
    <x v="39"/>
    <x v="0"/>
    <n v="2"/>
    <n v="6"/>
    <n v="2004"/>
    <x v="2"/>
    <n v="116"/>
    <n v="-16"/>
    <x v="90"/>
    <x v="1"/>
    <x v="29"/>
    <x v="11"/>
    <x v="3"/>
    <x v="1"/>
  </r>
  <r>
    <x v="30"/>
    <n v="96.84"/>
    <n v="4164.12"/>
    <x v="40"/>
    <x v="0"/>
    <n v="3"/>
    <n v="7"/>
    <n v="2004"/>
    <x v="2"/>
    <n v="116"/>
    <n v="-19.159999999999997"/>
    <x v="93"/>
    <x v="6"/>
    <x v="17"/>
    <x v="3"/>
    <x v="2"/>
    <x v="1"/>
  </r>
  <r>
    <x v="16"/>
    <n v="100"/>
    <n v="2400"/>
    <x v="41"/>
    <x v="0"/>
    <n v="3"/>
    <n v="8"/>
    <n v="2004"/>
    <x v="2"/>
    <n v="116"/>
    <n v="-16"/>
    <x v="90"/>
    <x v="1"/>
    <x v="30"/>
    <x v="12"/>
    <x v="1"/>
    <x v="0"/>
  </r>
  <r>
    <x v="2"/>
    <n v="100"/>
    <n v="4100"/>
    <x v="42"/>
    <x v="0"/>
    <n v="3"/>
    <n v="9"/>
    <n v="2004"/>
    <x v="2"/>
    <n v="116"/>
    <n v="-16"/>
    <x v="90"/>
    <x v="1"/>
    <x v="31"/>
    <x v="8"/>
    <x v="1"/>
    <x v="1"/>
  </r>
  <r>
    <x v="12"/>
    <n v="98"/>
    <n v="4508"/>
    <x v="43"/>
    <x v="0"/>
    <n v="4"/>
    <n v="10"/>
    <n v="2004"/>
    <x v="2"/>
    <n v="116"/>
    <n v="-18"/>
    <x v="94"/>
    <x v="6"/>
    <x v="32"/>
    <x v="1"/>
    <x v="1"/>
    <x v="1"/>
  </r>
  <r>
    <x v="22"/>
    <n v="100"/>
    <n v="3200"/>
    <x v="44"/>
    <x v="0"/>
    <n v="4"/>
    <n v="10"/>
    <n v="2004"/>
    <x v="2"/>
    <n v="116"/>
    <n v="-16"/>
    <x v="90"/>
    <x v="1"/>
    <x v="33"/>
    <x v="0"/>
    <x v="0"/>
    <x v="1"/>
  </r>
  <r>
    <x v="8"/>
    <n v="100"/>
    <n v="2200"/>
    <x v="45"/>
    <x v="0"/>
    <n v="4"/>
    <n v="11"/>
    <n v="2004"/>
    <x v="2"/>
    <n v="116"/>
    <n v="-16"/>
    <x v="90"/>
    <x v="1"/>
    <x v="34"/>
    <x v="0"/>
    <x v="0"/>
    <x v="0"/>
  </r>
  <r>
    <x v="6"/>
    <n v="40.25"/>
    <n v="1167.25"/>
    <x v="46"/>
    <x v="0"/>
    <n v="4"/>
    <n v="11"/>
    <n v="2004"/>
    <x v="2"/>
    <n v="116"/>
    <n v="-75.75"/>
    <x v="95"/>
    <x v="5"/>
    <x v="4"/>
    <x v="0"/>
    <x v="0"/>
    <x v="0"/>
  </r>
  <r>
    <x v="13"/>
    <n v="49.6"/>
    <n v="2083.2000000000003"/>
    <x v="47"/>
    <x v="0"/>
    <n v="4"/>
    <n v="11"/>
    <n v="2004"/>
    <x v="2"/>
    <n v="116"/>
    <n v="-66.400000000000006"/>
    <x v="96"/>
    <x v="5"/>
    <x v="8"/>
    <x v="3"/>
    <x v="2"/>
    <x v="0"/>
  </r>
  <r>
    <x v="25"/>
    <n v="98"/>
    <n v="3822"/>
    <x v="48"/>
    <x v="0"/>
    <n v="4"/>
    <n v="12"/>
    <n v="2004"/>
    <x v="2"/>
    <n v="116"/>
    <n v="-18"/>
    <x v="94"/>
    <x v="6"/>
    <x v="33"/>
    <x v="0"/>
    <x v="0"/>
    <x v="1"/>
  </r>
  <r>
    <x v="26"/>
    <n v="100"/>
    <n v="2700"/>
    <x v="49"/>
    <x v="0"/>
    <n v="1"/>
    <n v="1"/>
    <n v="2005"/>
    <x v="2"/>
    <n v="116"/>
    <n v="-16"/>
    <x v="90"/>
    <x v="1"/>
    <x v="36"/>
    <x v="3"/>
    <x v="2"/>
    <x v="1"/>
  </r>
  <r>
    <x v="7"/>
    <n v="98"/>
    <n v="4704"/>
    <x v="50"/>
    <x v="0"/>
    <n v="1"/>
    <n v="2"/>
    <n v="2005"/>
    <x v="2"/>
    <n v="116"/>
    <n v="-18"/>
    <x v="94"/>
    <x v="6"/>
    <x v="4"/>
    <x v="0"/>
    <x v="0"/>
    <x v="1"/>
  </r>
  <r>
    <x v="6"/>
    <n v="85.1"/>
    <n v="2467.8999999999996"/>
    <x v="51"/>
    <x v="0"/>
    <n v="1"/>
    <n v="3"/>
    <n v="2005"/>
    <x v="2"/>
    <n v="116"/>
    <n v="-30.900000000000006"/>
    <x v="97"/>
    <x v="5"/>
    <x v="36"/>
    <x v="3"/>
    <x v="2"/>
    <x v="0"/>
  </r>
  <r>
    <x v="26"/>
    <n v="100"/>
    <n v="2700"/>
    <x v="52"/>
    <x v="0"/>
    <n v="2"/>
    <n v="5"/>
    <n v="2005"/>
    <x v="2"/>
    <n v="116"/>
    <n v="-16"/>
    <x v="90"/>
    <x v="1"/>
    <x v="37"/>
    <x v="10"/>
    <x v="0"/>
    <x v="1"/>
  </r>
  <r>
    <x v="38"/>
    <n v="100"/>
    <n v="5400"/>
    <x v="53"/>
    <x v="2"/>
    <n v="2"/>
    <n v="5"/>
    <n v="2005"/>
    <x v="2"/>
    <n v="116"/>
    <n v="-16"/>
    <x v="90"/>
    <x v="1"/>
    <x v="20"/>
    <x v="7"/>
    <x v="1"/>
    <x v="2"/>
  </r>
  <r>
    <x v="18"/>
    <n v="100"/>
    <n v="2600"/>
    <x v="151"/>
    <x v="0"/>
    <n v="1"/>
    <n v="3"/>
    <n v="2003"/>
    <x v="1"/>
    <n v="141"/>
    <n v="-41"/>
    <x v="98"/>
    <x v="5"/>
    <x v="24"/>
    <x v="0"/>
    <x v="0"/>
    <x v="1"/>
  </r>
  <r>
    <x v="1"/>
    <n v="100"/>
    <n v="3400"/>
    <x v="99"/>
    <x v="0"/>
    <n v="2"/>
    <n v="5"/>
    <n v="2003"/>
    <x v="1"/>
    <n v="141"/>
    <n v="-41"/>
    <x v="98"/>
    <x v="5"/>
    <x v="54"/>
    <x v="1"/>
    <x v="1"/>
    <x v="1"/>
  </r>
  <r>
    <x v="32"/>
    <n v="100"/>
    <n v="2500"/>
    <x v="152"/>
    <x v="0"/>
    <n v="3"/>
    <n v="7"/>
    <n v="2003"/>
    <x v="1"/>
    <n v="141"/>
    <n v="-41"/>
    <x v="98"/>
    <x v="5"/>
    <x v="42"/>
    <x v="1"/>
    <x v="1"/>
    <x v="1"/>
  </r>
  <r>
    <x v="10"/>
    <n v="100"/>
    <n v="2300"/>
    <x v="153"/>
    <x v="0"/>
    <n v="3"/>
    <n v="9"/>
    <n v="2003"/>
    <x v="1"/>
    <n v="141"/>
    <n v="-41"/>
    <x v="98"/>
    <x v="5"/>
    <x v="36"/>
    <x v="3"/>
    <x v="2"/>
    <x v="0"/>
  </r>
  <r>
    <x v="11"/>
    <n v="100"/>
    <n v="2800"/>
    <x v="154"/>
    <x v="0"/>
    <n v="4"/>
    <n v="10"/>
    <n v="2003"/>
    <x v="1"/>
    <n v="141"/>
    <n v="-41"/>
    <x v="98"/>
    <x v="5"/>
    <x v="62"/>
    <x v="13"/>
    <x v="1"/>
    <x v="1"/>
  </r>
  <r>
    <x v="21"/>
    <n v="100"/>
    <n v="3500"/>
    <x v="155"/>
    <x v="0"/>
    <n v="4"/>
    <n v="11"/>
    <n v="2003"/>
    <x v="1"/>
    <n v="141"/>
    <n v="-41"/>
    <x v="98"/>
    <x v="5"/>
    <x v="37"/>
    <x v="10"/>
    <x v="0"/>
    <x v="1"/>
  </r>
  <r>
    <x v="27"/>
    <n v="100"/>
    <n v="4400"/>
    <x v="103"/>
    <x v="0"/>
    <n v="4"/>
    <n v="11"/>
    <n v="2003"/>
    <x v="1"/>
    <n v="141"/>
    <n v="-41"/>
    <x v="98"/>
    <x v="5"/>
    <x v="7"/>
    <x v="2"/>
    <x v="1"/>
    <x v="1"/>
  </r>
  <r>
    <x v="8"/>
    <n v="100"/>
    <n v="2200"/>
    <x v="104"/>
    <x v="0"/>
    <n v="4"/>
    <n v="11"/>
    <n v="2003"/>
    <x v="1"/>
    <n v="141"/>
    <n v="-41"/>
    <x v="98"/>
    <x v="5"/>
    <x v="34"/>
    <x v="0"/>
    <x v="0"/>
    <x v="1"/>
  </r>
  <r>
    <x v="13"/>
    <n v="100"/>
    <n v="4200"/>
    <x v="105"/>
    <x v="0"/>
    <n v="4"/>
    <n v="12"/>
    <n v="2003"/>
    <x v="1"/>
    <n v="141"/>
    <n v="-41"/>
    <x v="98"/>
    <x v="5"/>
    <x v="0"/>
    <x v="0"/>
    <x v="0"/>
    <x v="1"/>
  </r>
  <r>
    <x v="6"/>
    <n v="100"/>
    <n v="2900"/>
    <x v="138"/>
    <x v="0"/>
    <n v="1"/>
    <n v="1"/>
    <n v="2004"/>
    <x v="1"/>
    <n v="141"/>
    <n v="-41"/>
    <x v="98"/>
    <x v="5"/>
    <x v="20"/>
    <x v="7"/>
    <x v="1"/>
    <x v="1"/>
  </r>
  <r>
    <x v="22"/>
    <n v="100"/>
    <n v="3200"/>
    <x v="106"/>
    <x v="0"/>
    <n v="1"/>
    <n v="2"/>
    <n v="2004"/>
    <x v="1"/>
    <n v="141"/>
    <n v="-41"/>
    <x v="98"/>
    <x v="5"/>
    <x v="56"/>
    <x v="17"/>
    <x v="1"/>
    <x v="1"/>
  </r>
  <r>
    <x v="2"/>
    <n v="100"/>
    <n v="4100"/>
    <x v="156"/>
    <x v="0"/>
    <n v="2"/>
    <n v="4"/>
    <n v="2004"/>
    <x v="1"/>
    <n v="141"/>
    <n v="-41"/>
    <x v="98"/>
    <x v="5"/>
    <x v="38"/>
    <x v="11"/>
    <x v="3"/>
    <x v="1"/>
  </r>
  <r>
    <x v="18"/>
    <n v="100"/>
    <n v="2600"/>
    <x v="108"/>
    <x v="3"/>
    <n v="2"/>
    <n v="6"/>
    <n v="2004"/>
    <x v="1"/>
    <n v="141"/>
    <n v="-41"/>
    <x v="98"/>
    <x v="5"/>
    <x v="19"/>
    <x v="6"/>
    <x v="1"/>
    <x v="1"/>
  </r>
  <r>
    <x v="15"/>
    <n v="100"/>
    <n v="2100"/>
    <x v="109"/>
    <x v="0"/>
    <n v="3"/>
    <n v="7"/>
    <n v="2004"/>
    <x v="1"/>
    <n v="141"/>
    <n v="-41"/>
    <x v="98"/>
    <x v="5"/>
    <x v="57"/>
    <x v="12"/>
    <x v="1"/>
    <x v="0"/>
  </r>
  <r>
    <x v="1"/>
    <n v="100"/>
    <n v="3400"/>
    <x v="157"/>
    <x v="0"/>
    <n v="3"/>
    <n v="8"/>
    <n v="2004"/>
    <x v="1"/>
    <n v="141"/>
    <n v="-41"/>
    <x v="98"/>
    <x v="5"/>
    <x v="67"/>
    <x v="0"/>
    <x v="0"/>
    <x v="1"/>
  </r>
  <r>
    <x v="2"/>
    <n v="100"/>
    <n v="4100"/>
    <x v="111"/>
    <x v="0"/>
    <n v="3"/>
    <n v="8"/>
    <n v="2004"/>
    <x v="1"/>
    <n v="141"/>
    <n v="-41"/>
    <x v="98"/>
    <x v="5"/>
    <x v="56"/>
    <x v="17"/>
    <x v="1"/>
    <x v="1"/>
  </r>
  <r>
    <x v="9"/>
    <n v="100"/>
    <n v="3700"/>
    <x v="158"/>
    <x v="0"/>
    <n v="4"/>
    <n v="10"/>
    <n v="2003"/>
    <x v="1"/>
    <n v="141"/>
    <n v="-41"/>
    <x v="98"/>
    <x v="5"/>
    <x v="68"/>
    <x v="2"/>
    <x v="1"/>
    <x v="1"/>
  </r>
  <r>
    <x v="9"/>
    <n v="100"/>
    <n v="3700"/>
    <x v="113"/>
    <x v="0"/>
    <n v="4"/>
    <n v="10"/>
    <n v="2004"/>
    <x v="1"/>
    <n v="141"/>
    <n v="-41"/>
    <x v="98"/>
    <x v="5"/>
    <x v="55"/>
    <x v="16"/>
    <x v="1"/>
    <x v="1"/>
  </r>
  <r>
    <x v="2"/>
    <n v="100"/>
    <n v="4100"/>
    <x v="45"/>
    <x v="0"/>
    <n v="4"/>
    <n v="11"/>
    <n v="2004"/>
    <x v="1"/>
    <n v="141"/>
    <n v="-41"/>
    <x v="98"/>
    <x v="5"/>
    <x v="18"/>
    <x v="0"/>
    <x v="0"/>
    <x v="1"/>
  </r>
  <r>
    <x v="12"/>
    <n v="100"/>
    <n v="4600"/>
    <x v="159"/>
    <x v="0"/>
    <n v="4"/>
    <n v="11"/>
    <n v="2004"/>
    <x v="1"/>
    <n v="141"/>
    <n v="-41"/>
    <x v="98"/>
    <x v="5"/>
    <x v="24"/>
    <x v="0"/>
    <x v="0"/>
    <x v="1"/>
  </r>
  <r>
    <x v="23"/>
    <n v="100"/>
    <n v="4000"/>
    <x v="20"/>
    <x v="0"/>
    <n v="4"/>
    <n v="11"/>
    <n v="2004"/>
    <x v="1"/>
    <n v="141"/>
    <n v="-41"/>
    <x v="98"/>
    <x v="5"/>
    <x v="8"/>
    <x v="3"/>
    <x v="2"/>
    <x v="1"/>
  </r>
  <r>
    <x v="30"/>
    <n v="97.6"/>
    <n v="4196.8"/>
    <x v="160"/>
    <x v="0"/>
    <n v="4"/>
    <n v="12"/>
    <n v="2004"/>
    <x v="1"/>
    <n v="141"/>
    <n v="-43.400000000000006"/>
    <x v="99"/>
    <x v="5"/>
    <x v="2"/>
    <x v="1"/>
    <x v="1"/>
    <x v="1"/>
  </r>
  <r>
    <x v="0"/>
    <n v="87.06"/>
    <n v="2611.8000000000002"/>
    <x v="161"/>
    <x v="0"/>
    <n v="1"/>
    <n v="1"/>
    <n v="2005"/>
    <x v="1"/>
    <n v="141"/>
    <n v="-53.94"/>
    <x v="100"/>
    <x v="5"/>
    <x v="18"/>
    <x v="0"/>
    <x v="0"/>
    <x v="0"/>
  </r>
  <r>
    <x v="21"/>
    <n v="100"/>
    <n v="3500"/>
    <x v="142"/>
    <x v="0"/>
    <n v="1"/>
    <n v="2"/>
    <n v="2005"/>
    <x v="1"/>
    <n v="141"/>
    <n v="-41"/>
    <x v="98"/>
    <x v="5"/>
    <x v="13"/>
    <x v="4"/>
    <x v="1"/>
    <x v="1"/>
  </r>
  <r>
    <x v="5"/>
    <n v="93.77"/>
    <n v="3375.72"/>
    <x v="162"/>
    <x v="0"/>
    <n v="1"/>
    <n v="3"/>
    <n v="2005"/>
    <x v="1"/>
    <n v="141"/>
    <n v="-47.230000000000004"/>
    <x v="101"/>
    <x v="5"/>
    <x v="33"/>
    <x v="0"/>
    <x v="0"/>
    <x v="1"/>
  </r>
  <r>
    <x v="40"/>
    <n v="100"/>
    <n v="6100"/>
    <x v="163"/>
    <x v="1"/>
    <n v="2"/>
    <n v="4"/>
    <n v="2005"/>
    <x v="1"/>
    <n v="141"/>
    <n v="-41"/>
    <x v="98"/>
    <x v="5"/>
    <x v="40"/>
    <x v="13"/>
    <x v="1"/>
    <x v="2"/>
  </r>
  <r>
    <x v="19"/>
    <n v="100"/>
    <n v="3800"/>
    <x v="116"/>
    <x v="0"/>
    <n v="2"/>
    <n v="5"/>
    <n v="2005"/>
    <x v="1"/>
    <n v="141"/>
    <n v="-41"/>
    <x v="98"/>
    <x v="5"/>
    <x v="16"/>
    <x v="5"/>
    <x v="1"/>
    <x v="1"/>
  </r>
  <r>
    <x v="25"/>
    <n v="100"/>
    <n v="3900"/>
    <x v="164"/>
    <x v="0"/>
    <n v="1"/>
    <n v="1"/>
    <n v="2003"/>
    <x v="3"/>
    <n v="102"/>
    <n v="-2"/>
    <x v="102"/>
    <x v="4"/>
    <x v="0"/>
    <x v="0"/>
    <x v="0"/>
    <x v="1"/>
  </r>
  <r>
    <x v="29"/>
    <n v="99.66"/>
    <n v="3288.7799999999997"/>
    <x v="165"/>
    <x v="0"/>
    <n v="1"/>
    <n v="3"/>
    <n v="2003"/>
    <x v="3"/>
    <n v="102"/>
    <n v="-2.3400000000000034"/>
    <x v="103"/>
    <x v="4"/>
    <x v="4"/>
    <x v="0"/>
    <x v="0"/>
    <x v="1"/>
  </r>
  <r>
    <x v="22"/>
    <n v="100"/>
    <n v="3200"/>
    <x v="166"/>
    <x v="0"/>
    <n v="2"/>
    <n v="5"/>
    <n v="2003"/>
    <x v="3"/>
    <n v="102"/>
    <n v="-2"/>
    <x v="102"/>
    <x v="4"/>
    <x v="8"/>
    <x v="3"/>
    <x v="2"/>
    <x v="1"/>
  </r>
  <r>
    <x v="28"/>
    <n v="100"/>
    <n v="3100"/>
    <x v="167"/>
    <x v="0"/>
    <n v="3"/>
    <n v="7"/>
    <n v="2003"/>
    <x v="3"/>
    <n v="102"/>
    <n v="-2"/>
    <x v="102"/>
    <x v="4"/>
    <x v="17"/>
    <x v="3"/>
    <x v="2"/>
    <x v="1"/>
  </r>
  <r>
    <x v="24"/>
    <n v="100"/>
    <n v="5000"/>
    <x v="168"/>
    <x v="0"/>
    <n v="3"/>
    <n v="9"/>
    <n v="2003"/>
    <x v="3"/>
    <n v="102"/>
    <n v="-2"/>
    <x v="102"/>
    <x v="4"/>
    <x v="65"/>
    <x v="0"/>
    <x v="0"/>
    <x v="1"/>
  </r>
  <r>
    <x v="7"/>
    <n v="91.44"/>
    <n v="4389.12"/>
    <x v="169"/>
    <x v="0"/>
    <n v="4"/>
    <n v="10"/>
    <n v="2003"/>
    <x v="3"/>
    <n v="102"/>
    <n v="-10.560000000000002"/>
    <x v="104"/>
    <x v="3"/>
    <x v="4"/>
    <x v="0"/>
    <x v="0"/>
    <x v="1"/>
  </r>
  <r>
    <x v="30"/>
    <n v="100"/>
    <n v="4300"/>
    <x v="155"/>
    <x v="0"/>
    <n v="4"/>
    <n v="11"/>
    <n v="2003"/>
    <x v="3"/>
    <n v="102"/>
    <n v="-2"/>
    <x v="102"/>
    <x v="4"/>
    <x v="69"/>
    <x v="12"/>
    <x v="1"/>
    <x v="1"/>
  </r>
  <r>
    <x v="32"/>
    <n v="87.33"/>
    <n v="2183.25"/>
    <x v="103"/>
    <x v="0"/>
    <n v="4"/>
    <n v="11"/>
    <n v="2003"/>
    <x v="3"/>
    <n v="102"/>
    <n v="-14.670000000000002"/>
    <x v="105"/>
    <x v="1"/>
    <x v="33"/>
    <x v="0"/>
    <x v="0"/>
    <x v="0"/>
  </r>
  <r>
    <x v="11"/>
    <n v="100"/>
    <n v="2800"/>
    <x v="170"/>
    <x v="0"/>
    <n v="4"/>
    <n v="11"/>
    <n v="2003"/>
    <x v="3"/>
    <n v="102"/>
    <n v="-2"/>
    <x v="102"/>
    <x v="4"/>
    <x v="70"/>
    <x v="3"/>
    <x v="2"/>
    <x v="1"/>
  </r>
  <r>
    <x v="5"/>
    <n v="100"/>
    <n v="3600"/>
    <x v="171"/>
    <x v="0"/>
    <n v="4"/>
    <n v="12"/>
    <n v="2003"/>
    <x v="3"/>
    <n v="102"/>
    <n v="-2"/>
    <x v="102"/>
    <x v="4"/>
    <x v="20"/>
    <x v="7"/>
    <x v="1"/>
    <x v="1"/>
  </r>
  <r>
    <x v="26"/>
    <n v="89.38"/>
    <n v="2413.2599999999998"/>
    <x v="36"/>
    <x v="0"/>
    <n v="1"/>
    <n v="1"/>
    <n v="2004"/>
    <x v="3"/>
    <n v="102"/>
    <n v="-12.620000000000005"/>
    <x v="106"/>
    <x v="1"/>
    <x v="27"/>
    <x v="0"/>
    <x v="0"/>
    <x v="0"/>
  </r>
  <r>
    <x v="32"/>
    <n v="100"/>
    <n v="2500"/>
    <x v="172"/>
    <x v="0"/>
    <n v="1"/>
    <n v="3"/>
    <n v="2004"/>
    <x v="3"/>
    <n v="102"/>
    <n v="-2"/>
    <x v="102"/>
    <x v="4"/>
    <x v="25"/>
    <x v="1"/>
    <x v="1"/>
    <x v="0"/>
  </r>
  <r>
    <x v="23"/>
    <n v="100"/>
    <n v="4000"/>
    <x v="173"/>
    <x v="0"/>
    <n v="2"/>
    <n v="4"/>
    <n v="2004"/>
    <x v="3"/>
    <n v="102"/>
    <n v="-2"/>
    <x v="102"/>
    <x v="4"/>
    <x v="20"/>
    <x v="7"/>
    <x v="1"/>
    <x v="1"/>
  </r>
  <r>
    <x v="1"/>
    <n v="95.55"/>
    <n v="3248.7"/>
    <x v="174"/>
    <x v="0"/>
    <n v="2"/>
    <n v="6"/>
    <n v="2004"/>
    <x v="3"/>
    <n v="102"/>
    <n v="-6.4500000000000028"/>
    <x v="107"/>
    <x v="3"/>
    <x v="40"/>
    <x v="13"/>
    <x v="1"/>
    <x v="1"/>
  </r>
  <r>
    <x v="24"/>
    <n v="100"/>
    <n v="5000"/>
    <x v="41"/>
    <x v="0"/>
    <n v="3"/>
    <n v="8"/>
    <n v="2004"/>
    <x v="3"/>
    <n v="102"/>
    <n v="-2"/>
    <x v="102"/>
    <x v="4"/>
    <x v="30"/>
    <x v="12"/>
    <x v="1"/>
    <x v="1"/>
  </r>
  <r>
    <x v="19"/>
    <n v="100"/>
    <n v="3800"/>
    <x v="175"/>
    <x v="0"/>
    <n v="3"/>
    <n v="9"/>
    <n v="2004"/>
    <x v="3"/>
    <n v="102"/>
    <n v="-2"/>
    <x v="102"/>
    <x v="4"/>
    <x v="7"/>
    <x v="2"/>
    <x v="1"/>
    <x v="1"/>
  </r>
  <r>
    <x v="9"/>
    <n v="95.55"/>
    <n v="3535.35"/>
    <x v="43"/>
    <x v="0"/>
    <n v="4"/>
    <n v="10"/>
    <n v="2004"/>
    <x v="3"/>
    <n v="102"/>
    <n v="-6.4500000000000028"/>
    <x v="107"/>
    <x v="3"/>
    <x v="32"/>
    <x v="1"/>
    <x v="1"/>
    <x v="1"/>
  </r>
  <r>
    <x v="30"/>
    <n v="89.38"/>
    <n v="3843.3399999999997"/>
    <x v="44"/>
    <x v="0"/>
    <n v="4"/>
    <n v="10"/>
    <n v="2004"/>
    <x v="3"/>
    <n v="102"/>
    <n v="-12.620000000000005"/>
    <x v="106"/>
    <x v="1"/>
    <x v="33"/>
    <x v="0"/>
    <x v="0"/>
    <x v="1"/>
  </r>
  <r>
    <x v="30"/>
    <n v="86.3"/>
    <n v="3710.9"/>
    <x v="45"/>
    <x v="0"/>
    <n v="4"/>
    <n v="11"/>
    <n v="2004"/>
    <x v="3"/>
    <n v="102"/>
    <n v="-15.700000000000003"/>
    <x v="108"/>
    <x v="1"/>
    <x v="34"/>
    <x v="0"/>
    <x v="0"/>
    <x v="1"/>
  </r>
  <r>
    <x v="12"/>
    <n v="95.13"/>
    <n v="4375.9799999999996"/>
    <x v="159"/>
    <x v="0"/>
    <n v="4"/>
    <n v="11"/>
    <n v="2004"/>
    <x v="3"/>
    <n v="102"/>
    <n v="-6.8700000000000045"/>
    <x v="109"/>
    <x v="3"/>
    <x v="61"/>
    <x v="6"/>
    <x v="1"/>
    <x v="1"/>
  </r>
  <r>
    <x v="13"/>
    <n v="36.11"/>
    <n v="1516.62"/>
    <x v="47"/>
    <x v="0"/>
    <n v="4"/>
    <n v="11"/>
    <n v="2004"/>
    <x v="3"/>
    <n v="102"/>
    <n v="-65.89"/>
    <x v="110"/>
    <x v="5"/>
    <x v="67"/>
    <x v="0"/>
    <x v="0"/>
    <x v="0"/>
  </r>
  <r>
    <x v="24"/>
    <n v="50.18"/>
    <n v="2509"/>
    <x v="160"/>
    <x v="0"/>
    <n v="4"/>
    <n v="12"/>
    <n v="2004"/>
    <x v="3"/>
    <n v="102"/>
    <n v="-51.82"/>
    <x v="111"/>
    <x v="5"/>
    <x v="2"/>
    <x v="1"/>
    <x v="1"/>
    <x v="0"/>
  </r>
  <r>
    <x v="27"/>
    <n v="100"/>
    <n v="4400"/>
    <x v="49"/>
    <x v="0"/>
    <n v="1"/>
    <n v="1"/>
    <n v="2005"/>
    <x v="3"/>
    <n v="102"/>
    <n v="-2"/>
    <x v="102"/>
    <x v="4"/>
    <x v="35"/>
    <x v="0"/>
    <x v="0"/>
    <x v="2"/>
  </r>
  <r>
    <x v="26"/>
    <n v="93.16"/>
    <n v="2515.3199999999997"/>
    <x v="176"/>
    <x v="0"/>
    <n v="1"/>
    <n v="2"/>
    <n v="2005"/>
    <x v="3"/>
    <n v="102"/>
    <n v="-8.8400000000000034"/>
    <x v="112"/>
    <x v="3"/>
    <x v="20"/>
    <x v="7"/>
    <x v="1"/>
    <x v="0"/>
  </r>
  <r>
    <x v="21"/>
    <n v="100"/>
    <n v="3500"/>
    <x v="51"/>
    <x v="0"/>
    <n v="1"/>
    <n v="3"/>
    <n v="2005"/>
    <x v="3"/>
    <n v="102"/>
    <n v="-2"/>
    <x v="102"/>
    <x v="4"/>
    <x v="36"/>
    <x v="3"/>
    <x v="2"/>
    <x v="1"/>
  </r>
  <r>
    <x v="41"/>
    <n v="95.55"/>
    <n v="4873.05"/>
    <x v="177"/>
    <x v="2"/>
    <n v="2"/>
    <n v="5"/>
    <n v="2005"/>
    <x v="3"/>
    <n v="102"/>
    <n v="-6.4500000000000028"/>
    <x v="107"/>
    <x v="3"/>
    <x v="15"/>
    <x v="0"/>
    <x v="0"/>
    <x v="1"/>
  </r>
  <r>
    <x v="2"/>
    <n v="50.14"/>
    <n v="2055.7400000000002"/>
    <x v="164"/>
    <x v="0"/>
    <n v="1"/>
    <n v="1"/>
    <n v="2003"/>
    <x v="3"/>
    <n v="53"/>
    <n v="-2.8599999999999994"/>
    <x v="113"/>
    <x v="4"/>
    <x v="0"/>
    <x v="0"/>
    <x v="0"/>
    <x v="0"/>
  </r>
  <r>
    <x v="7"/>
    <n v="49.06"/>
    <n v="2354.88"/>
    <x v="165"/>
    <x v="0"/>
    <n v="1"/>
    <n v="3"/>
    <n v="2003"/>
    <x v="3"/>
    <n v="53"/>
    <n v="-3.9399999999999977"/>
    <x v="114"/>
    <x v="3"/>
    <x v="4"/>
    <x v="0"/>
    <x v="0"/>
    <x v="0"/>
  </r>
  <r>
    <x v="13"/>
    <n v="54.99"/>
    <n v="2309.58"/>
    <x v="28"/>
    <x v="0"/>
    <n v="2"/>
    <n v="5"/>
    <n v="2003"/>
    <x v="3"/>
    <n v="53"/>
    <n v="1.990000000000002"/>
    <x v="115"/>
    <x v="0"/>
    <x v="20"/>
    <x v="7"/>
    <x v="1"/>
    <x v="0"/>
  </r>
  <r>
    <x v="4"/>
    <n v="43.13"/>
    <n v="2113.3700000000003"/>
    <x v="167"/>
    <x v="0"/>
    <n v="3"/>
    <n v="7"/>
    <n v="2003"/>
    <x v="3"/>
    <n v="53"/>
    <n v="-9.8699999999999974"/>
    <x v="116"/>
    <x v="6"/>
    <x v="17"/>
    <x v="3"/>
    <x v="2"/>
    <x v="0"/>
  </r>
  <r>
    <x v="0"/>
    <n v="58.22"/>
    <n v="1746.6"/>
    <x v="168"/>
    <x v="0"/>
    <n v="3"/>
    <n v="9"/>
    <n v="2003"/>
    <x v="3"/>
    <n v="53"/>
    <n v="5.2199999999999989"/>
    <x v="117"/>
    <x v="0"/>
    <x v="65"/>
    <x v="0"/>
    <x v="0"/>
    <x v="0"/>
  </r>
  <r>
    <x v="3"/>
    <n v="51.21"/>
    <n v="2304.4499999999998"/>
    <x v="169"/>
    <x v="0"/>
    <n v="4"/>
    <n v="10"/>
    <n v="2003"/>
    <x v="3"/>
    <n v="53"/>
    <n v="-1.7899999999999991"/>
    <x v="118"/>
    <x v="4"/>
    <x v="4"/>
    <x v="0"/>
    <x v="0"/>
    <x v="0"/>
  </r>
  <r>
    <x v="7"/>
    <n v="44.21"/>
    <n v="2122.08"/>
    <x v="155"/>
    <x v="0"/>
    <n v="4"/>
    <n v="11"/>
    <n v="2003"/>
    <x v="3"/>
    <n v="53"/>
    <n v="-8.7899999999999991"/>
    <x v="119"/>
    <x v="6"/>
    <x v="69"/>
    <x v="12"/>
    <x v="1"/>
    <x v="0"/>
  </r>
  <r>
    <x v="22"/>
    <n v="54.45"/>
    <n v="1742.4"/>
    <x v="103"/>
    <x v="0"/>
    <n v="4"/>
    <n v="11"/>
    <n v="2003"/>
    <x v="3"/>
    <n v="53"/>
    <n v="1.4500000000000028"/>
    <x v="120"/>
    <x v="0"/>
    <x v="33"/>
    <x v="0"/>
    <x v="0"/>
    <x v="0"/>
  </r>
  <r>
    <x v="12"/>
    <n v="53.37"/>
    <n v="2455.02"/>
    <x v="170"/>
    <x v="0"/>
    <n v="4"/>
    <n v="11"/>
    <n v="2003"/>
    <x v="3"/>
    <n v="53"/>
    <n v="0.36999999999999744"/>
    <x v="121"/>
    <x v="0"/>
    <x v="70"/>
    <x v="3"/>
    <x v="2"/>
    <x v="0"/>
  </r>
  <r>
    <x v="7"/>
    <n v="63.61"/>
    <n v="3053.2799999999997"/>
    <x v="171"/>
    <x v="0"/>
    <n v="4"/>
    <n v="12"/>
    <n v="2003"/>
    <x v="3"/>
    <n v="53"/>
    <n v="10.61"/>
    <x v="122"/>
    <x v="0"/>
    <x v="20"/>
    <x v="7"/>
    <x v="1"/>
    <x v="1"/>
  </r>
  <r>
    <x v="29"/>
    <n v="43.13"/>
    <n v="1423.2900000000002"/>
    <x v="36"/>
    <x v="0"/>
    <n v="1"/>
    <n v="1"/>
    <n v="2004"/>
    <x v="3"/>
    <n v="53"/>
    <n v="-9.8699999999999974"/>
    <x v="116"/>
    <x v="6"/>
    <x v="27"/>
    <x v="0"/>
    <x v="0"/>
    <x v="0"/>
  </r>
  <r>
    <x v="28"/>
    <n v="48.52"/>
    <n v="1504.1200000000001"/>
    <x v="172"/>
    <x v="0"/>
    <n v="1"/>
    <n v="3"/>
    <n v="2004"/>
    <x v="3"/>
    <n v="53"/>
    <n v="-4.4799999999999969"/>
    <x v="123"/>
    <x v="3"/>
    <x v="25"/>
    <x v="1"/>
    <x v="1"/>
    <x v="0"/>
  </r>
  <r>
    <x v="14"/>
    <n v="58.22"/>
    <n v="1164.4000000000001"/>
    <x v="173"/>
    <x v="0"/>
    <n v="2"/>
    <n v="4"/>
    <n v="2004"/>
    <x v="3"/>
    <n v="53"/>
    <n v="5.2199999999999989"/>
    <x v="117"/>
    <x v="0"/>
    <x v="20"/>
    <x v="7"/>
    <x v="1"/>
    <x v="0"/>
  </r>
  <r>
    <x v="6"/>
    <n v="51.75"/>
    <n v="1500.75"/>
    <x v="174"/>
    <x v="0"/>
    <n v="2"/>
    <n v="6"/>
    <n v="2004"/>
    <x v="3"/>
    <n v="53"/>
    <n v="-1.25"/>
    <x v="124"/>
    <x v="4"/>
    <x v="40"/>
    <x v="13"/>
    <x v="1"/>
    <x v="0"/>
  </r>
  <r>
    <x v="26"/>
    <n v="57.68"/>
    <n v="1557.36"/>
    <x v="41"/>
    <x v="0"/>
    <n v="3"/>
    <n v="8"/>
    <n v="2004"/>
    <x v="3"/>
    <n v="53"/>
    <n v="4.68"/>
    <x v="125"/>
    <x v="0"/>
    <x v="30"/>
    <x v="12"/>
    <x v="1"/>
    <x v="0"/>
  </r>
  <r>
    <x v="16"/>
    <n v="56.07"/>
    <n v="1345.68"/>
    <x v="175"/>
    <x v="0"/>
    <n v="3"/>
    <n v="9"/>
    <n v="2004"/>
    <x v="3"/>
    <n v="53"/>
    <n v="3.0700000000000003"/>
    <x v="126"/>
    <x v="0"/>
    <x v="7"/>
    <x v="2"/>
    <x v="1"/>
    <x v="0"/>
  </r>
  <r>
    <x v="9"/>
    <n v="48.52"/>
    <n v="1795.24"/>
    <x v="43"/>
    <x v="0"/>
    <n v="4"/>
    <n v="10"/>
    <n v="2004"/>
    <x v="3"/>
    <n v="53"/>
    <n v="-4.4799999999999969"/>
    <x v="123"/>
    <x v="3"/>
    <x v="32"/>
    <x v="1"/>
    <x v="1"/>
    <x v="0"/>
  </r>
  <r>
    <x v="32"/>
    <n v="44.21"/>
    <n v="1105.25"/>
    <x v="44"/>
    <x v="0"/>
    <n v="4"/>
    <n v="10"/>
    <n v="2004"/>
    <x v="3"/>
    <n v="53"/>
    <n v="-8.7899999999999991"/>
    <x v="119"/>
    <x v="6"/>
    <x v="33"/>
    <x v="0"/>
    <x v="0"/>
    <x v="0"/>
  </r>
  <r>
    <x v="2"/>
    <n v="57.68"/>
    <n v="2364.88"/>
    <x v="45"/>
    <x v="0"/>
    <n v="4"/>
    <n v="11"/>
    <n v="2004"/>
    <x v="3"/>
    <n v="53"/>
    <n v="4.68"/>
    <x v="125"/>
    <x v="0"/>
    <x v="34"/>
    <x v="0"/>
    <x v="0"/>
    <x v="0"/>
  </r>
  <r>
    <x v="26"/>
    <n v="89.89"/>
    <n v="2427.0300000000002"/>
    <x v="159"/>
    <x v="0"/>
    <n v="4"/>
    <n v="11"/>
    <n v="2004"/>
    <x v="3"/>
    <n v="53"/>
    <n v="36.89"/>
    <x v="127"/>
    <x v="0"/>
    <x v="61"/>
    <x v="6"/>
    <x v="1"/>
    <x v="0"/>
  </r>
  <r>
    <x v="15"/>
    <n v="58.95"/>
    <n v="1237.95"/>
    <x v="47"/>
    <x v="0"/>
    <n v="4"/>
    <n v="11"/>
    <n v="2004"/>
    <x v="3"/>
    <n v="53"/>
    <n v="5.9500000000000028"/>
    <x v="128"/>
    <x v="0"/>
    <x v="8"/>
    <x v="3"/>
    <x v="2"/>
    <x v="0"/>
  </r>
  <r>
    <x v="8"/>
    <n v="72.41"/>
    <n v="1593.02"/>
    <x v="160"/>
    <x v="0"/>
    <n v="4"/>
    <n v="12"/>
    <n v="2004"/>
    <x v="3"/>
    <n v="53"/>
    <n v="19.409999999999997"/>
    <x v="129"/>
    <x v="0"/>
    <x v="2"/>
    <x v="1"/>
    <x v="1"/>
    <x v="0"/>
  </r>
  <r>
    <x v="22"/>
    <n v="98.63"/>
    <n v="3156.16"/>
    <x v="49"/>
    <x v="0"/>
    <n v="1"/>
    <n v="1"/>
    <n v="2005"/>
    <x v="3"/>
    <n v="53"/>
    <n v="45.629999999999995"/>
    <x v="130"/>
    <x v="0"/>
    <x v="35"/>
    <x v="0"/>
    <x v="0"/>
    <x v="1"/>
  </r>
  <r>
    <x v="32"/>
    <n v="52.83"/>
    <n v="1320.75"/>
    <x v="50"/>
    <x v="0"/>
    <n v="1"/>
    <n v="2"/>
    <n v="2005"/>
    <x v="3"/>
    <n v="53"/>
    <n v="-0.17000000000000171"/>
    <x v="131"/>
    <x v="2"/>
    <x v="4"/>
    <x v="0"/>
    <x v="0"/>
    <x v="0"/>
  </r>
  <r>
    <x v="13"/>
    <n v="100"/>
    <n v="4200"/>
    <x v="51"/>
    <x v="0"/>
    <n v="1"/>
    <n v="3"/>
    <n v="2005"/>
    <x v="3"/>
    <n v="53"/>
    <n v="47"/>
    <x v="132"/>
    <x v="0"/>
    <x v="36"/>
    <x v="3"/>
    <x v="2"/>
    <x v="1"/>
  </r>
  <r>
    <x v="32"/>
    <n v="51.75"/>
    <n v="1293.75"/>
    <x v="177"/>
    <x v="2"/>
    <n v="2"/>
    <n v="5"/>
    <n v="2005"/>
    <x v="3"/>
    <n v="53"/>
    <n v="-1.25"/>
    <x v="124"/>
    <x v="4"/>
    <x v="15"/>
    <x v="0"/>
    <x v="0"/>
    <x v="0"/>
  </r>
  <r>
    <x v="9"/>
    <n v="100"/>
    <n v="3700"/>
    <x v="178"/>
    <x v="0"/>
    <n v="1"/>
    <n v="3"/>
    <n v="2003"/>
    <x v="1"/>
    <n v="124"/>
    <n v="-24"/>
    <x v="133"/>
    <x v="6"/>
    <x v="61"/>
    <x v="6"/>
    <x v="1"/>
    <x v="1"/>
  </r>
  <r>
    <x v="18"/>
    <n v="100"/>
    <n v="2600"/>
    <x v="179"/>
    <x v="0"/>
    <n v="2"/>
    <n v="5"/>
    <n v="2003"/>
    <x v="1"/>
    <n v="124"/>
    <n v="-24"/>
    <x v="133"/>
    <x v="6"/>
    <x v="11"/>
    <x v="1"/>
    <x v="1"/>
    <x v="1"/>
  </r>
  <r>
    <x v="27"/>
    <n v="99.55"/>
    <n v="4380.2"/>
    <x v="180"/>
    <x v="0"/>
    <n v="3"/>
    <n v="7"/>
    <n v="2003"/>
    <x v="1"/>
    <n v="124"/>
    <n v="-24.450000000000003"/>
    <x v="134"/>
    <x v="6"/>
    <x v="1"/>
    <x v="1"/>
    <x v="1"/>
    <x v="1"/>
  </r>
  <r>
    <x v="20"/>
    <n v="100"/>
    <n v="4700"/>
    <x v="153"/>
    <x v="0"/>
    <n v="3"/>
    <n v="9"/>
    <n v="2003"/>
    <x v="1"/>
    <n v="124"/>
    <n v="-24"/>
    <x v="133"/>
    <x v="6"/>
    <x v="36"/>
    <x v="3"/>
    <x v="2"/>
    <x v="1"/>
  </r>
  <r>
    <x v="30"/>
    <n v="100"/>
    <n v="4300"/>
    <x v="154"/>
    <x v="0"/>
    <n v="4"/>
    <n v="10"/>
    <n v="2003"/>
    <x v="1"/>
    <n v="124"/>
    <n v="-24"/>
    <x v="133"/>
    <x v="6"/>
    <x v="62"/>
    <x v="13"/>
    <x v="1"/>
    <x v="1"/>
  </r>
  <r>
    <x v="13"/>
    <n v="100"/>
    <n v="4200"/>
    <x v="155"/>
    <x v="0"/>
    <n v="4"/>
    <n v="11"/>
    <n v="2003"/>
    <x v="1"/>
    <n v="124"/>
    <n v="-24"/>
    <x v="133"/>
    <x v="6"/>
    <x v="10"/>
    <x v="0"/>
    <x v="0"/>
    <x v="1"/>
  </r>
  <r>
    <x v="13"/>
    <n v="100"/>
    <n v="4200"/>
    <x v="103"/>
    <x v="0"/>
    <n v="4"/>
    <n v="11"/>
    <n v="2003"/>
    <x v="1"/>
    <n v="124"/>
    <n v="-24"/>
    <x v="133"/>
    <x v="6"/>
    <x v="7"/>
    <x v="2"/>
    <x v="1"/>
    <x v="1"/>
  </r>
  <r>
    <x v="6"/>
    <n v="100"/>
    <n v="2900"/>
    <x v="104"/>
    <x v="0"/>
    <n v="4"/>
    <n v="11"/>
    <n v="2003"/>
    <x v="1"/>
    <n v="124"/>
    <n v="-24"/>
    <x v="133"/>
    <x v="6"/>
    <x v="34"/>
    <x v="0"/>
    <x v="0"/>
    <x v="1"/>
  </r>
  <r>
    <x v="23"/>
    <n v="100"/>
    <n v="4000"/>
    <x v="105"/>
    <x v="0"/>
    <n v="4"/>
    <n v="12"/>
    <n v="2003"/>
    <x v="1"/>
    <n v="124"/>
    <n v="-24"/>
    <x v="133"/>
    <x v="6"/>
    <x v="0"/>
    <x v="0"/>
    <x v="0"/>
    <x v="1"/>
  </r>
  <r>
    <x v="19"/>
    <n v="100"/>
    <n v="3800"/>
    <x v="138"/>
    <x v="0"/>
    <n v="1"/>
    <n v="1"/>
    <n v="2004"/>
    <x v="1"/>
    <n v="124"/>
    <n v="-24"/>
    <x v="133"/>
    <x v="6"/>
    <x v="20"/>
    <x v="7"/>
    <x v="1"/>
    <x v="1"/>
  </r>
  <r>
    <x v="19"/>
    <n v="100"/>
    <n v="3800"/>
    <x v="181"/>
    <x v="0"/>
    <n v="1"/>
    <n v="2"/>
    <n v="2004"/>
    <x v="1"/>
    <n v="124"/>
    <n v="-24"/>
    <x v="133"/>
    <x v="6"/>
    <x v="45"/>
    <x v="0"/>
    <x v="0"/>
    <x v="1"/>
  </r>
  <r>
    <x v="15"/>
    <n v="100"/>
    <n v="2100"/>
    <x v="156"/>
    <x v="0"/>
    <n v="2"/>
    <n v="4"/>
    <n v="2004"/>
    <x v="1"/>
    <n v="124"/>
    <n v="-24"/>
    <x v="133"/>
    <x v="6"/>
    <x v="66"/>
    <x v="1"/>
    <x v="1"/>
    <x v="0"/>
  </r>
  <r>
    <x v="16"/>
    <n v="100"/>
    <n v="2400"/>
    <x v="108"/>
    <x v="3"/>
    <n v="2"/>
    <n v="6"/>
    <n v="2004"/>
    <x v="1"/>
    <n v="124"/>
    <n v="-24"/>
    <x v="133"/>
    <x v="6"/>
    <x v="19"/>
    <x v="6"/>
    <x v="1"/>
    <x v="1"/>
  </r>
  <r>
    <x v="5"/>
    <n v="100"/>
    <n v="3600"/>
    <x v="109"/>
    <x v="0"/>
    <n v="3"/>
    <n v="7"/>
    <n v="2004"/>
    <x v="1"/>
    <n v="124"/>
    <n v="-24"/>
    <x v="133"/>
    <x v="6"/>
    <x v="57"/>
    <x v="12"/>
    <x v="1"/>
    <x v="1"/>
  </r>
  <r>
    <x v="10"/>
    <n v="100"/>
    <n v="2300"/>
    <x v="157"/>
    <x v="0"/>
    <n v="3"/>
    <n v="8"/>
    <n v="2004"/>
    <x v="1"/>
    <n v="124"/>
    <n v="-24"/>
    <x v="133"/>
    <x v="6"/>
    <x v="67"/>
    <x v="0"/>
    <x v="0"/>
    <x v="0"/>
  </r>
  <r>
    <x v="14"/>
    <n v="100"/>
    <n v="2000"/>
    <x v="182"/>
    <x v="0"/>
    <n v="3"/>
    <n v="9"/>
    <n v="2004"/>
    <x v="1"/>
    <n v="124"/>
    <n v="-24"/>
    <x v="133"/>
    <x v="6"/>
    <x v="22"/>
    <x v="9"/>
    <x v="2"/>
    <x v="0"/>
  </r>
  <r>
    <x v="22"/>
    <n v="100"/>
    <n v="3200"/>
    <x v="158"/>
    <x v="0"/>
    <n v="4"/>
    <n v="10"/>
    <n v="2003"/>
    <x v="1"/>
    <n v="124"/>
    <n v="-24"/>
    <x v="133"/>
    <x v="6"/>
    <x v="68"/>
    <x v="2"/>
    <x v="1"/>
    <x v="1"/>
  </r>
  <r>
    <x v="6"/>
    <n v="100"/>
    <n v="2900"/>
    <x v="113"/>
    <x v="0"/>
    <n v="4"/>
    <n v="10"/>
    <n v="2004"/>
    <x v="1"/>
    <n v="124"/>
    <n v="-24"/>
    <x v="133"/>
    <x v="6"/>
    <x v="20"/>
    <x v="7"/>
    <x v="1"/>
    <x v="0"/>
  </r>
  <r>
    <x v="27"/>
    <n v="100"/>
    <n v="4400"/>
    <x v="45"/>
    <x v="0"/>
    <n v="4"/>
    <n v="11"/>
    <n v="2004"/>
    <x v="1"/>
    <n v="124"/>
    <n v="-24"/>
    <x v="133"/>
    <x v="6"/>
    <x v="18"/>
    <x v="0"/>
    <x v="0"/>
    <x v="1"/>
  </r>
  <r>
    <x v="27"/>
    <n v="100"/>
    <n v="4400"/>
    <x v="159"/>
    <x v="0"/>
    <n v="4"/>
    <n v="11"/>
    <n v="2004"/>
    <x v="1"/>
    <n v="124"/>
    <n v="-24"/>
    <x v="133"/>
    <x v="6"/>
    <x v="24"/>
    <x v="0"/>
    <x v="0"/>
    <x v="1"/>
  </r>
  <r>
    <x v="5"/>
    <n v="100"/>
    <n v="3600"/>
    <x v="20"/>
    <x v="0"/>
    <n v="4"/>
    <n v="11"/>
    <n v="2004"/>
    <x v="1"/>
    <n v="124"/>
    <n v="-24"/>
    <x v="133"/>
    <x v="6"/>
    <x v="1"/>
    <x v="1"/>
    <x v="1"/>
    <x v="1"/>
  </r>
  <r>
    <x v="4"/>
    <n v="56.3"/>
    <n v="2758.7"/>
    <x v="183"/>
    <x v="5"/>
    <n v="1"/>
    <n v="1"/>
    <n v="2005"/>
    <x v="1"/>
    <n v="124"/>
    <n v="-67.7"/>
    <x v="135"/>
    <x v="5"/>
    <x v="3"/>
    <x v="0"/>
    <x v="0"/>
    <x v="0"/>
  </r>
  <r>
    <x v="1"/>
    <n v="42.64"/>
    <n v="1449.76"/>
    <x v="184"/>
    <x v="0"/>
    <n v="1"/>
    <n v="2"/>
    <n v="2005"/>
    <x v="1"/>
    <n v="124"/>
    <n v="-81.36"/>
    <x v="136"/>
    <x v="5"/>
    <x v="20"/>
    <x v="7"/>
    <x v="1"/>
    <x v="0"/>
  </r>
  <r>
    <x v="42"/>
    <n v="100"/>
    <n v="5900"/>
    <x v="185"/>
    <x v="4"/>
    <n v="2"/>
    <n v="4"/>
    <n v="2005"/>
    <x v="1"/>
    <n v="124"/>
    <n v="-24"/>
    <x v="133"/>
    <x v="6"/>
    <x v="51"/>
    <x v="0"/>
    <x v="0"/>
    <x v="2"/>
  </r>
  <r>
    <x v="9"/>
    <n v="100"/>
    <n v="3700"/>
    <x v="116"/>
    <x v="0"/>
    <n v="2"/>
    <n v="5"/>
    <n v="2005"/>
    <x v="1"/>
    <n v="124"/>
    <n v="-24"/>
    <x v="133"/>
    <x v="6"/>
    <x v="16"/>
    <x v="5"/>
    <x v="1"/>
    <x v="1"/>
  </r>
  <r>
    <x v="5"/>
    <n v="100"/>
    <n v="3600"/>
    <x v="186"/>
    <x v="0"/>
    <n v="1"/>
    <n v="2"/>
    <n v="2003"/>
    <x v="4"/>
    <n v="157"/>
    <n v="-57"/>
    <x v="137"/>
    <x v="5"/>
    <x v="69"/>
    <x v="12"/>
    <x v="1"/>
    <x v="1"/>
  </r>
  <r>
    <x v="30"/>
    <n v="100"/>
    <n v="4300"/>
    <x v="63"/>
    <x v="0"/>
    <n v="2"/>
    <n v="4"/>
    <n v="2003"/>
    <x v="4"/>
    <n v="157"/>
    <n v="-57"/>
    <x v="137"/>
    <x v="5"/>
    <x v="16"/>
    <x v="5"/>
    <x v="1"/>
    <x v="1"/>
  </r>
  <r>
    <x v="15"/>
    <n v="100"/>
    <n v="2100"/>
    <x v="187"/>
    <x v="0"/>
    <n v="2"/>
    <n v="6"/>
    <n v="2003"/>
    <x v="4"/>
    <n v="157"/>
    <n v="-57"/>
    <x v="137"/>
    <x v="5"/>
    <x v="63"/>
    <x v="0"/>
    <x v="0"/>
    <x v="0"/>
  </r>
  <r>
    <x v="22"/>
    <n v="100"/>
    <n v="3200"/>
    <x v="65"/>
    <x v="0"/>
    <n v="3"/>
    <n v="8"/>
    <n v="2003"/>
    <x v="4"/>
    <n v="157"/>
    <n v="-57"/>
    <x v="137"/>
    <x v="5"/>
    <x v="18"/>
    <x v="0"/>
    <x v="0"/>
    <x v="1"/>
  </r>
  <r>
    <x v="19"/>
    <n v="100"/>
    <n v="3800"/>
    <x v="66"/>
    <x v="0"/>
    <n v="4"/>
    <n v="10"/>
    <n v="2003"/>
    <x v="4"/>
    <n v="157"/>
    <n v="-57"/>
    <x v="137"/>
    <x v="5"/>
    <x v="13"/>
    <x v="4"/>
    <x v="1"/>
    <x v="1"/>
  </r>
  <r>
    <x v="30"/>
    <n v="100"/>
    <n v="4300"/>
    <x v="67"/>
    <x v="3"/>
    <n v="4"/>
    <n v="10"/>
    <n v="2003"/>
    <x v="4"/>
    <n v="157"/>
    <n v="-57"/>
    <x v="137"/>
    <x v="5"/>
    <x v="31"/>
    <x v="8"/>
    <x v="1"/>
    <x v="1"/>
  </r>
  <r>
    <x v="13"/>
    <n v="100"/>
    <n v="4200"/>
    <x v="68"/>
    <x v="0"/>
    <n v="4"/>
    <n v="11"/>
    <n v="2003"/>
    <x v="4"/>
    <n v="157"/>
    <n v="-57"/>
    <x v="137"/>
    <x v="5"/>
    <x v="42"/>
    <x v="1"/>
    <x v="1"/>
    <x v="1"/>
  </r>
  <r>
    <x v="22"/>
    <n v="100"/>
    <n v="3200"/>
    <x v="69"/>
    <x v="0"/>
    <n v="4"/>
    <n v="11"/>
    <n v="2003"/>
    <x v="4"/>
    <n v="157"/>
    <n v="-57"/>
    <x v="137"/>
    <x v="5"/>
    <x v="41"/>
    <x v="6"/>
    <x v="1"/>
    <x v="1"/>
  </r>
  <r>
    <x v="13"/>
    <n v="100"/>
    <n v="4200"/>
    <x v="188"/>
    <x v="0"/>
    <n v="4"/>
    <n v="11"/>
    <n v="2003"/>
    <x v="4"/>
    <n v="157"/>
    <n v="-57"/>
    <x v="137"/>
    <x v="5"/>
    <x v="53"/>
    <x v="15"/>
    <x v="2"/>
    <x v="2"/>
  </r>
  <r>
    <x v="28"/>
    <n v="100"/>
    <n v="3100"/>
    <x v="55"/>
    <x v="0"/>
    <n v="1"/>
    <n v="1"/>
    <n v="2004"/>
    <x v="4"/>
    <n v="157"/>
    <n v="-57"/>
    <x v="137"/>
    <x v="5"/>
    <x v="38"/>
    <x v="11"/>
    <x v="3"/>
    <x v="1"/>
  </r>
  <r>
    <x v="4"/>
    <n v="100"/>
    <n v="4900"/>
    <x v="72"/>
    <x v="0"/>
    <n v="1"/>
    <n v="2"/>
    <n v="2004"/>
    <x v="4"/>
    <n v="157"/>
    <n v="-57"/>
    <x v="137"/>
    <x v="5"/>
    <x v="45"/>
    <x v="0"/>
    <x v="0"/>
    <x v="1"/>
  </r>
  <r>
    <x v="3"/>
    <n v="100"/>
    <n v="4500"/>
    <x v="189"/>
    <x v="0"/>
    <n v="2"/>
    <n v="5"/>
    <n v="2004"/>
    <x v="4"/>
    <n v="157"/>
    <n v="-57"/>
    <x v="137"/>
    <x v="5"/>
    <x v="51"/>
    <x v="0"/>
    <x v="0"/>
    <x v="2"/>
  </r>
  <r>
    <x v="4"/>
    <n v="100"/>
    <n v="4900"/>
    <x v="190"/>
    <x v="3"/>
    <n v="2"/>
    <n v="6"/>
    <n v="2004"/>
    <x v="4"/>
    <n v="157"/>
    <n v="-57"/>
    <x v="137"/>
    <x v="5"/>
    <x v="20"/>
    <x v="7"/>
    <x v="1"/>
    <x v="1"/>
  </r>
  <r>
    <x v="2"/>
    <n v="100"/>
    <n v="4100"/>
    <x v="75"/>
    <x v="0"/>
    <n v="3"/>
    <n v="7"/>
    <n v="2004"/>
    <x v="4"/>
    <n v="157"/>
    <n v="-57"/>
    <x v="137"/>
    <x v="5"/>
    <x v="35"/>
    <x v="0"/>
    <x v="0"/>
    <x v="1"/>
  </r>
  <r>
    <x v="3"/>
    <n v="100"/>
    <n v="4500"/>
    <x v="191"/>
    <x v="0"/>
    <n v="3"/>
    <n v="8"/>
    <n v="2004"/>
    <x v="4"/>
    <n v="157"/>
    <n v="-57"/>
    <x v="137"/>
    <x v="5"/>
    <x v="68"/>
    <x v="2"/>
    <x v="1"/>
    <x v="1"/>
  </r>
  <r>
    <x v="5"/>
    <n v="100"/>
    <n v="3600"/>
    <x v="192"/>
    <x v="0"/>
    <n v="3"/>
    <n v="9"/>
    <n v="2004"/>
    <x v="4"/>
    <n v="157"/>
    <n v="-57"/>
    <x v="137"/>
    <x v="5"/>
    <x v="71"/>
    <x v="16"/>
    <x v="1"/>
    <x v="1"/>
  </r>
  <r>
    <x v="25"/>
    <n v="100"/>
    <n v="3900"/>
    <x v="78"/>
    <x v="0"/>
    <n v="4"/>
    <n v="10"/>
    <n v="2004"/>
    <x v="4"/>
    <n v="157"/>
    <n v="-57"/>
    <x v="137"/>
    <x v="5"/>
    <x v="24"/>
    <x v="0"/>
    <x v="0"/>
    <x v="2"/>
  </r>
  <r>
    <x v="26"/>
    <n v="100"/>
    <n v="2700"/>
    <x v="79"/>
    <x v="0"/>
    <n v="4"/>
    <n v="11"/>
    <n v="2004"/>
    <x v="4"/>
    <n v="157"/>
    <n v="-57"/>
    <x v="137"/>
    <x v="5"/>
    <x v="49"/>
    <x v="6"/>
    <x v="1"/>
    <x v="1"/>
  </r>
  <r>
    <x v="32"/>
    <n v="100"/>
    <n v="2500"/>
    <x v="193"/>
    <x v="5"/>
    <n v="4"/>
    <n v="11"/>
    <n v="2004"/>
    <x v="4"/>
    <n v="157"/>
    <n v="-57"/>
    <x v="137"/>
    <x v="5"/>
    <x v="40"/>
    <x v="13"/>
    <x v="1"/>
    <x v="0"/>
  </r>
  <r>
    <x v="2"/>
    <n v="100"/>
    <n v="4100"/>
    <x v="194"/>
    <x v="0"/>
    <n v="4"/>
    <n v="11"/>
    <n v="2004"/>
    <x v="4"/>
    <n v="157"/>
    <n v="-57"/>
    <x v="137"/>
    <x v="5"/>
    <x v="72"/>
    <x v="14"/>
    <x v="1"/>
    <x v="1"/>
  </r>
  <r>
    <x v="25"/>
    <n v="99.52"/>
    <n v="3881.2799999999997"/>
    <x v="195"/>
    <x v="0"/>
    <n v="4"/>
    <n v="12"/>
    <n v="2004"/>
    <x v="4"/>
    <n v="157"/>
    <n v="-57.480000000000004"/>
    <x v="138"/>
    <x v="5"/>
    <x v="41"/>
    <x v="6"/>
    <x v="1"/>
    <x v="1"/>
  </r>
  <r>
    <x v="11"/>
    <n v="57.55"/>
    <n v="1611.3999999999999"/>
    <x v="84"/>
    <x v="0"/>
    <n v="1"/>
    <n v="1"/>
    <n v="2005"/>
    <x v="4"/>
    <n v="157"/>
    <n v="-99.45"/>
    <x v="139"/>
    <x v="5"/>
    <x v="50"/>
    <x v="4"/>
    <x v="1"/>
    <x v="0"/>
  </r>
  <r>
    <x v="32"/>
    <n v="54.57"/>
    <n v="1364.25"/>
    <x v="196"/>
    <x v="5"/>
    <n v="1"/>
    <n v="3"/>
    <n v="2005"/>
    <x v="4"/>
    <n v="157"/>
    <n v="-102.43"/>
    <x v="140"/>
    <x v="5"/>
    <x v="20"/>
    <x v="7"/>
    <x v="1"/>
    <x v="0"/>
  </r>
  <r>
    <x v="29"/>
    <n v="100"/>
    <n v="3300"/>
    <x v="197"/>
    <x v="0"/>
    <n v="1"/>
    <n v="3"/>
    <n v="2005"/>
    <x v="4"/>
    <n v="157"/>
    <n v="-57"/>
    <x v="137"/>
    <x v="5"/>
    <x v="1"/>
    <x v="1"/>
    <x v="1"/>
    <x v="1"/>
  </r>
  <r>
    <x v="1"/>
    <n v="100"/>
    <n v="3400"/>
    <x v="87"/>
    <x v="0"/>
    <n v="2"/>
    <n v="4"/>
    <n v="2005"/>
    <x v="4"/>
    <n v="157"/>
    <n v="-57"/>
    <x v="137"/>
    <x v="5"/>
    <x v="51"/>
    <x v="0"/>
    <x v="0"/>
    <x v="1"/>
  </r>
  <r>
    <x v="16"/>
    <n v="100"/>
    <n v="2400"/>
    <x v="198"/>
    <x v="0"/>
    <n v="2"/>
    <n v="5"/>
    <n v="2005"/>
    <x v="4"/>
    <n v="157"/>
    <n v="-57"/>
    <x v="137"/>
    <x v="5"/>
    <x v="57"/>
    <x v="12"/>
    <x v="1"/>
    <x v="1"/>
  </r>
  <r>
    <x v="0"/>
    <n v="100"/>
    <n v="3000"/>
    <x v="199"/>
    <x v="0"/>
    <n v="1"/>
    <n v="1"/>
    <n v="2003"/>
    <x v="3"/>
    <n v="170"/>
    <n v="-70"/>
    <x v="141"/>
    <x v="5"/>
    <x v="34"/>
    <x v="0"/>
    <x v="0"/>
    <x v="1"/>
  </r>
  <r>
    <x v="13"/>
    <n v="100"/>
    <n v="4200"/>
    <x v="178"/>
    <x v="0"/>
    <n v="1"/>
    <n v="3"/>
    <n v="2003"/>
    <x v="3"/>
    <n v="170"/>
    <n v="-70"/>
    <x v="141"/>
    <x v="5"/>
    <x v="61"/>
    <x v="6"/>
    <x v="1"/>
    <x v="1"/>
  </r>
  <r>
    <x v="15"/>
    <n v="100"/>
    <n v="2100"/>
    <x v="166"/>
    <x v="0"/>
    <n v="2"/>
    <n v="5"/>
    <n v="2003"/>
    <x v="3"/>
    <n v="170"/>
    <n v="-70"/>
    <x v="141"/>
    <x v="5"/>
    <x v="67"/>
    <x v="0"/>
    <x v="0"/>
    <x v="0"/>
  </r>
  <r>
    <x v="1"/>
    <n v="100"/>
    <n v="3400"/>
    <x v="168"/>
    <x v="0"/>
    <n v="3"/>
    <n v="9"/>
    <n v="2003"/>
    <x v="3"/>
    <n v="170"/>
    <n v="-70"/>
    <x v="141"/>
    <x v="5"/>
    <x v="65"/>
    <x v="0"/>
    <x v="0"/>
    <x v="1"/>
  </r>
  <r>
    <x v="6"/>
    <n v="100"/>
    <n v="2900"/>
    <x v="169"/>
    <x v="0"/>
    <n v="4"/>
    <n v="10"/>
    <n v="2003"/>
    <x v="3"/>
    <n v="170"/>
    <n v="-70"/>
    <x v="141"/>
    <x v="5"/>
    <x v="4"/>
    <x v="0"/>
    <x v="0"/>
    <x v="1"/>
  </r>
  <r>
    <x v="16"/>
    <n v="100"/>
    <n v="2400"/>
    <x v="155"/>
    <x v="0"/>
    <n v="4"/>
    <n v="11"/>
    <n v="2003"/>
    <x v="3"/>
    <n v="170"/>
    <n v="-70"/>
    <x v="141"/>
    <x v="5"/>
    <x v="69"/>
    <x v="12"/>
    <x v="1"/>
    <x v="1"/>
  </r>
  <r>
    <x v="27"/>
    <n v="100"/>
    <n v="4400"/>
    <x v="103"/>
    <x v="0"/>
    <n v="4"/>
    <n v="11"/>
    <n v="2003"/>
    <x v="3"/>
    <n v="170"/>
    <n v="-70"/>
    <x v="141"/>
    <x v="5"/>
    <x v="33"/>
    <x v="0"/>
    <x v="0"/>
    <x v="2"/>
  </r>
  <r>
    <x v="15"/>
    <n v="100"/>
    <n v="2100"/>
    <x v="170"/>
    <x v="0"/>
    <n v="4"/>
    <n v="11"/>
    <n v="2003"/>
    <x v="3"/>
    <n v="170"/>
    <n v="-70"/>
    <x v="141"/>
    <x v="5"/>
    <x v="70"/>
    <x v="3"/>
    <x v="2"/>
    <x v="1"/>
  </r>
  <r>
    <x v="29"/>
    <n v="100"/>
    <n v="3300"/>
    <x v="105"/>
    <x v="0"/>
    <n v="4"/>
    <n v="12"/>
    <n v="2003"/>
    <x v="3"/>
    <n v="170"/>
    <n v="-70"/>
    <x v="141"/>
    <x v="5"/>
    <x v="0"/>
    <x v="0"/>
    <x v="0"/>
    <x v="1"/>
  </r>
  <r>
    <x v="0"/>
    <n v="100"/>
    <n v="3000"/>
    <x v="200"/>
    <x v="0"/>
    <n v="1"/>
    <n v="1"/>
    <n v="2004"/>
    <x v="3"/>
    <n v="170"/>
    <n v="-70"/>
    <x v="141"/>
    <x v="5"/>
    <x v="20"/>
    <x v="7"/>
    <x v="1"/>
    <x v="1"/>
  </r>
  <r>
    <x v="18"/>
    <n v="100"/>
    <n v="2600"/>
    <x v="172"/>
    <x v="0"/>
    <n v="1"/>
    <n v="3"/>
    <n v="2004"/>
    <x v="3"/>
    <n v="170"/>
    <n v="-70"/>
    <x v="141"/>
    <x v="5"/>
    <x v="25"/>
    <x v="1"/>
    <x v="1"/>
    <x v="1"/>
  </r>
  <r>
    <x v="2"/>
    <n v="100"/>
    <n v="4100"/>
    <x v="156"/>
    <x v="0"/>
    <n v="2"/>
    <n v="4"/>
    <n v="2004"/>
    <x v="3"/>
    <n v="170"/>
    <n v="-70"/>
    <x v="141"/>
    <x v="5"/>
    <x v="66"/>
    <x v="1"/>
    <x v="1"/>
    <x v="2"/>
  </r>
  <r>
    <x v="18"/>
    <n v="100"/>
    <n v="2600"/>
    <x v="41"/>
    <x v="0"/>
    <n v="3"/>
    <n v="8"/>
    <n v="2004"/>
    <x v="3"/>
    <n v="170"/>
    <n v="-70"/>
    <x v="141"/>
    <x v="5"/>
    <x v="30"/>
    <x v="12"/>
    <x v="1"/>
    <x v="1"/>
  </r>
  <r>
    <x v="22"/>
    <n v="100"/>
    <n v="3200"/>
    <x v="182"/>
    <x v="0"/>
    <n v="3"/>
    <n v="9"/>
    <n v="2004"/>
    <x v="3"/>
    <n v="170"/>
    <n v="-70"/>
    <x v="141"/>
    <x v="5"/>
    <x v="22"/>
    <x v="9"/>
    <x v="2"/>
    <x v="1"/>
  </r>
  <r>
    <x v="30"/>
    <n v="100"/>
    <n v="4300"/>
    <x v="66"/>
    <x v="0"/>
    <n v="4"/>
    <n v="10"/>
    <n v="2003"/>
    <x v="3"/>
    <n v="170"/>
    <n v="-70"/>
    <x v="141"/>
    <x v="5"/>
    <x v="19"/>
    <x v="6"/>
    <x v="1"/>
    <x v="2"/>
  </r>
  <r>
    <x v="7"/>
    <n v="100"/>
    <n v="4800"/>
    <x v="44"/>
    <x v="0"/>
    <n v="4"/>
    <n v="10"/>
    <n v="2004"/>
    <x v="3"/>
    <n v="170"/>
    <n v="-70"/>
    <x v="141"/>
    <x v="5"/>
    <x v="33"/>
    <x v="0"/>
    <x v="0"/>
    <x v="2"/>
  </r>
  <r>
    <x v="27"/>
    <n v="74.040000000000006"/>
    <n v="3257.76"/>
    <x v="159"/>
    <x v="0"/>
    <n v="4"/>
    <n v="11"/>
    <n v="2004"/>
    <x v="3"/>
    <n v="170"/>
    <n v="-95.96"/>
    <x v="142"/>
    <x v="5"/>
    <x v="24"/>
    <x v="0"/>
    <x v="0"/>
    <x v="1"/>
  </r>
  <r>
    <x v="3"/>
    <n v="100"/>
    <n v="4500"/>
    <x v="201"/>
    <x v="0"/>
    <n v="4"/>
    <n v="11"/>
    <n v="2004"/>
    <x v="3"/>
    <n v="170"/>
    <n v="-70"/>
    <x v="141"/>
    <x v="5"/>
    <x v="54"/>
    <x v="1"/>
    <x v="1"/>
    <x v="2"/>
  </r>
  <r>
    <x v="9"/>
    <n v="100"/>
    <n v="3700"/>
    <x v="183"/>
    <x v="5"/>
    <n v="1"/>
    <n v="1"/>
    <n v="2005"/>
    <x v="3"/>
    <n v="170"/>
    <n v="-70"/>
    <x v="141"/>
    <x v="5"/>
    <x v="3"/>
    <x v="0"/>
    <x v="0"/>
    <x v="1"/>
  </r>
  <r>
    <x v="25"/>
    <n v="100"/>
    <n v="3900"/>
    <x v="184"/>
    <x v="0"/>
    <n v="1"/>
    <n v="2"/>
    <n v="2005"/>
    <x v="3"/>
    <n v="170"/>
    <n v="-70"/>
    <x v="141"/>
    <x v="5"/>
    <x v="20"/>
    <x v="7"/>
    <x v="1"/>
    <x v="1"/>
  </r>
  <r>
    <x v="43"/>
    <n v="100"/>
    <n v="7600"/>
    <x v="185"/>
    <x v="4"/>
    <n v="2"/>
    <n v="4"/>
    <n v="2005"/>
    <x v="3"/>
    <n v="170"/>
    <n v="-70"/>
    <x v="141"/>
    <x v="5"/>
    <x v="51"/>
    <x v="0"/>
    <x v="0"/>
    <x v="2"/>
  </r>
  <r>
    <x v="9"/>
    <n v="100"/>
    <n v="3700"/>
    <x v="202"/>
    <x v="2"/>
    <n v="2"/>
    <n v="5"/>
    <n v="2005"/>
    <x v="3"/>
    <n v="170"/>
    <n v="-70"/>
    <x v="141"/>
    <x v="5"/>
    <x v="17"/>
    <x v="3"/>
    <x v="2"/>
    <x v="1"/>
  </r>
  <r>
    <x v="19"/>
    <n v="82.39"/>
    <n v="3130.82"/>
    <x v="98"/>
    <x v="0"/>
    <n v="1"/>
    <n v="3"/>
    <n v="2003"/>
    <x v="1"/>
    <n v="77"/>
    <n v="5.3900000000000006"/>
    <x v="143"/>
    <x v="0"/>
    <x v="53"/>
    <x v="15"/>
    <x v="2"/>
    <x v="1"/>
  </r>
  <r>
    <x v="30"/>
    <n v="72.38"/>
    <n v="3112.3399999999997"/>
    <x v="99"/>
    <x v="0"/>
    <n v="2"/>
    <n v="5"/>
    <n v="2003"/>
    <x v="1"/>
    <n v="77"/>
    <n v="-4.6200000000000045"/>
    <x v="144"/>
    <x v="3"/>
    <x v="54"/>
    <x v="1"/>
    <x v="1"/>
    <x v="1"/>
  </r>
  <r>
    <x v="7"/>
    <n v="79.31"/>
    <n v="3806.88"/>
    <x v="100"/>
    <x v="0"/>
    <n v="3"/>
    <n v="7"/>
    <n v="2003"/>
    <x v="1"/>
    <n v="77"/>
    <n v="2.3100000000000023"/>
    <x v="145"/>
    <x v="0"/>
    <x v="33"/>
    <x v="0"/>
    <x v="0"/>
    <x v="1"/>
  </r>
  <r>
    <x v="18"/>
    <n v="82.39"/>
    <n v="2142.14"/>
    <x v="101"/>
    <x v="0"/>
    <n v="3"/>
    <n v="9"/>
    <n v="2003"/>
    <x v="1"/>
    <n v="77"/>
    <n v="5.3900000000000006"/>
    <x v="143"/>
    <x v="0"/>
    <x v="35"/>
    <x v="0"/>
    <x v="0"/>
    <x v="0"/>
  </r>
  <r>
    <x v="19"/>
    <n v="88.55"/>
    <n v="3364.9"/>
    <x v="137"/>
    <x v="0"/>
    <n v="4"/>
    <n v="10"/>
    <n v="2003"/>
    <x v="1"/>
    <n v="77"/>
    <n v="11.549999999999997"/>
    <x v="146"/>
    <x v="0"/>
    <x v="44"/>
    <x v="0"/>
    <x v="0"/>
    <x v="1"/>
  </r>
  <r>
    <x v="14"/>
    <n v="63.14"/>
    <n v="1262.8"/>
    <x v="102"/>
    <x v="0"/>
    <n v="4"/>
    <n v="11"/>
    <n v="2003"/>
    <x v="1"/>
    <n v="77"/>
    <n v="-13.86"/>
    <x v="147"/>
    <x v="6"/>
    <x v="52"/>
    <x v="5"/>
    <x v="1"/>
    <x v="0"/>
  </r>
  <r>
    <x v="8"/>
    <n v="73.92"/>
    <n v="1626.24"/>
    <x v="103"/>
    <x v="0"/>
    <n v="4"/>
    <n v="11"/>
    <n v="2003"/>
    <x v="1"/>
    <n v="77"/>
    <n v="-3.0799999999999983"/>
    <x v="148"/>
    <x v="4"/>
    <x v="7"/>
    <x v="2"/>
    <x v="1"/>
    <x v="0"/>
  </r>
  <r>
    <x v="3"/>
    <n v="90.86"/>
    <n v="4088.7"/>
    <x v="104"/>
    <x v="0"/>
    <n v="4"/>
    <n v="11"/>
    <n v="2003"/>
    <x v="1"/>
    <n v="77"/>
    <n v="13.86"/>
    <x v="149"/>
    <x v="0"/>
    <x v="34"/>
    <x v="0"/>
    <x v="0"/>
    <x v="1"/>
  </r>
  <r>
    <x v="3"/>
    <n v="85.47"/>
    <n v="3846.15"/>
    <x v="105"/>
    <x v="0"/>
    <n v="4"/>
    <n v="12"/>
    <n v="2003"/>
    <x v="1"/>
    <n v="77"/>
    <n v="8.4699999999999989"/>
    <x v="150"/>
    <x v="0"/>
    <x v="20"/>
    <x v="7"/>
    <x v="1"/>
    <x v="1"/>
  </r>
  <r>
    <x v="14"/>
    <n v="66.989999999999995"/>
    <n v="1339.8"/>
    <x v="138"/>
    <x v="0"/>
    <n v="1"/>
    <n v="1"/>
    <n v="2004"/>
    <x v="1"/>
    <n v="77"/>
    <n v="-10.010000000000005"/>
    <x v="151"/>
    <x v="1"/>
    <x v="20"/>
    <x v="7"/>
    <x v="1"/>
    <x v="0"/>
  </r>
  <r>
    <x v="20"/>
    <n v="64.680000000000007"/>
    <n v="3039.9600000000005"/>
    <x v="106"/>
    <x v="0"/>
    <n v="1"/>
    <n v="2"/>
    <n v="2004"/>
    <x v="1"/>
    <n v="77"/>
    <n v="-12.319999999999993"/>
    <x v="152"/>
    <x v="6"/>
    <x v="56"/>
    <x v="17"/>
    <x v="1"/>
    <x v="1"/>
  </r>
  <r>
    <x v="12"/>
    <n v="73.92"/>
    <n v="3400.32"/>
    <x v="148"/>
    <x v="0"/>
    <n v="2"/>
    <n v="4"/>
    <n v="2004"/>
    <x v="1"/>
    <n v="77"/>
    <n v="-3.0799999999999983"/>
    <x v="148"/>
    <x v="4"/>
    <x v="50"/>
    <x v="4"/>
    <x v="1"/>
    <x v="1"/>
  </r>
  <r>
    <x v="10"/>
    <n v="83.93"/>
    <n v="1930.39"/>
    <x v="108"/>
    <x v="3"/>
    <n v="2"/>
    <n v="6"/>
    <n v="2004"/>
    <x v="1"/>
    <n v="77"/>
    <n v="6.9300000000000068"/>
    <x v="153"/>
    <x v="0"/>
    <x v="19"/>
    <x v="6"/>
    <x v="1"/>
    <x v="0"/>
  </r>
  <r>
    <x v="29"/>
    <n v="74.69"/>
    <n v="2464.77"/>
    <x v="109"/>
    <x v="0"/>
    <n v="3"/>
    <n v="7"/>
    <n v="2004"/>
    <x v="1"/>
    <n v="77"/>
    <n v="-2.3100000000000023"/>
    <x v="154"/>
    <x v="4"/>
    <x v="57"/>
    <x v="12"/>
    <x v="1"/>
    <x v="0"/>
  </r>
  <r>
    <x v="6"/>
    <n v="90.86"/>
    <n v="2634.94"/>
    <x v="157"/>
    <x v="0"/>
    <n v="3"/>
    <n v="8"/>
    <n v="2004"/>
    <x v="1"/>
    <n v="77"/>
    <n v="13.86"/>
    <x v="149"/>
    <x v="0"/>
    <x v="67"/>
    <x v="0"/>
    <x v="0"/>
    <x v="0"/>
  </r>
  <r>
    <x v="27"/>
    <n v="82.39"/>
    <n v="3625.16"/>
    <x v="111"/>
    <x v="0"/>
    <n v="3"/>
    <n v="8"/>
    <n v="2004"/>
    <x v="1"/>
    <n v="77"/>
    <n v="5.3900000000000006"/>
    <x v="143"/>
    <x v="0"/>
    <x v="56"/>
    <x v="17"/>
    <x v="1"/>
    <x v="1"/>
  </r>
  <r>
    <x v="2"/>
    <n v="92.4"/>
    <n v="3788.4"/>
    <x v="112"/>
    <x v="0"/>
    <n v="4"/>
    <n v="10"/>
    <n v="2003"/>
    <x v="1"/>
    <n v="77"/>
    <n v="15.400000000000006"/>
    <x v="155"/>
    <x v="0"/>
    <x v="58"/>
    <x v="16"/>
    <x v="1"/>
    <x v="1"/>
  </r>
  <r>
    <x v="14"/>
    <n v="91.63"/>
    <n v="1832.6"/>
    <x v="113"/>
    <x v="0"/>
    <n v="4"/>
    <n v="10"/>
    <n v="2004"/>
    <x v="1"/>
    <n v="77"/>
    <n v="14.629999999999995"/>
    <x v="156"/>
    <x v="0"/>
    <x v="55"/>
    <x v="16"/>
    <x v="1"/>
    <x v="0"/>
  </r>
  <r>
    <x v="9"/>
    <n v="78.540000000000006"/>
    <n v="2905.98"/>
    <x v="45"/>
    <x v="0"/>
    <n v="4"/>
    <n v="11"/>
    <n v="2004"/>
    <x v="1"/>
    <n v="77"/>
    <n v="1.5400000000000063"/>
    <x v="157"/>
    <x v="0"/>
    <x v="18"/>
    <x v="0"/>
    <x v="0"/>
    <x v="0"/>
  </r>
  <r>
    <x v="6"/>
    <n v="100"/>
    <n v="2900"/>
    <x v="19"/>
    <x v="0"/>
    <n v="4"/>
    <n v="11"/>
    <n v="2004"/>
    <x v="1"/>
    <n v="77"/>
    <n v="23"/>
    <x v="158"/>
    <x v="0"/>
    <x v="0"/>
    <x v="0"/>
    <x v="0"/>
    <x v="0"/>
  </r>
  <r>
    <x v="36"/>
    <n v="65.45"/>
    <n v="3599.75"/>
    <x v="20"/>
    <x v="0"/>
    <n v="4"/>
    <n v="11"/>
    <n v="2004"/>
    <x v="1"/>
    <n v="77"/>
    <n v="-11.549999999999997"/>
    <x v="159"/>
    <x v="1"/>
    <x v="8"/>
    <x v="3"/>
    <x v="2"/>
    <x v="1"/>
  </r>
  <r>
    <x v="8"/>
    <n v="100"/>
    <n v="2200"/>
    <x v="115"/>
    <x v="0"/>
    <n v="1"/>
    <n v="1"/>
    <n v="2005"/>
    <x v="1"/>
    <n v="77"/>
    <n v="23"/>
    <x v="158"/>
    <x v="0"/>
    <x v="59"/>
    <x v="4"/>
    <x v="1"/>
    <x v="1"/>
  </r>
  <r>
    <x v="28"/>
    <n v="67.760000000000005"/>
    <n v="2100.56"/>
    <x v="142"/>
    <x v="0"/>
    <n v="1"/>
    <n v="2"/>
    <n v="2005"/>
    <x v="1"/>
    <n v="77"/>
    <n v="-9.2399999999999949"/>
    <x v="160"/>
    <x v="1"/>
    <x v="13"/>
    <x v="4"/>
    <x v="1"/>
    <x v="0"/>
  </r>
  <r>
    <x v="4"/>
    <n v="79.22"/>
    <n v="3881.7799999999997"/>
    <x v="23"/>
    <x v="0"/>
    <n v="1"/>
    <n v="3"/>
    <n v="2005"/>
    <x v="1"/>
    <n v="77"/>
    <n v="2.2199999999999989"/>
    <x v="161"/>
    <x v="0"/>
    <x v="31"/>
    <x v="8"/>
    <x v="1"/>
    <x v="1"/>
  </r>
  <r>
    <x v="40"/>
    <n v="73.92"/>
    <n v="4509.12"/>
    <x v="150"/>
    <x v="0"/>
    <n v="2"/>
    <n v="4"/>
    <n v="2005"/>
    <x v="1"/>
    <n v="77"/>
    <n v="-3.0799999999999983"/>
    <x v="148"/>
    <x v="4"/>
    <x v="66"/>
    <x v="1"/>
    <x v="1"/>
    <x v="1"/>
  </r>
  <r>
    <x v="25"/>
    <n v="83.93"/>
    <n v="3273.2700000000004"/>
    <x v="116"/>
    <x v="0"/>
    <n v="2"/>
    <n v="5"/>
    <n v="2005"/>
    <x v="1"/>
    <n v="77"/>
    <n v="6.9300000000000068"/>
    <x v="153"/>
    <x v="0"/>
    <x v="16"/>
    <x v="5"/>
    <x v="1"/>
    <x v="1"/>
  </r>
  <r>
    <x v="19"/>
    <n v="100"/>
    <n v="3800"/>
    <x v="151"/>
    <x v="0"/>
    <n v="1"/>
    <n v="3"/>
    <n v="2003"/>
    <x v="1"/>
    <n v="142"/>
    <n v="-42"/>
    <x v="162"/>
    <x v="5"/>
    <x v="24"/>
    <x v="0"/>
    <x v="0"/>
    <x v="1"/>
  </r>
  <r>
    <x v="28"/>
    <n v="100"/>
    <n v="3100"/>
    <x v="99"/>
    <x v="0"/>
    <n v="2"/>
    <n v="5"/>
    <n v="2003"/>
    <x v="1"/>
    <n v="142"/>
    <n v="-42"/>
    <x v="162"/>
    <x v="5"/>
    <x v="54"/>
    <x v="1"/>
    <x v="1"/>
    <x v="1"/>
  </r>
  <r>
    <x v="5"/>
    <n v="100"/>
    <n v="3600"/>
    <x v="152"/>
    <x v="0"/>
    <n v="3"/>
    <n v="7"/>
    <n v="2003"/>
    <x v="1"/>
    <n v="142"/>
    <n v="-42"/>
    <x v="162"/>
    <x v="5"/>
    <x v="42"/>
    <x v="1"/>
    <x v="1"/>
    <x v="1"/>
  </r>
  <r>
    <x v="32"/>
    <n v="100"/>
    <n v="2500"/>
    <x v="153"/>
    <x v="0"/>
    <n v="3"/>
    <n v="9"/>
    <n v="2003"/>
    <x v="1"/>
    <n v="142"/>
    <n v="-42"/>
    <x v="162"/>
    <x v="5"/>
    <x v="36"/>
    <x v="3"/>
    <x v="2"/>
    <x v="1"/>
  </r>
  <r>
    <x v="7"/>
    <n v="100"/>
    <n v="4800"/>
    <x v="154"/>
    <x v="0"/>
    <n v="4"/>
    <n v="10"/>
    <n v="2003"/>
    <x v="1"/>
    <n v="142"/>
    <n v="-42"/>
    <x v="162"/>
    <x v="5"/>
    <x v="62"/>
    <x v="13"/>
    <x v="1"/>
    <x v="1"/>
  </r>
  <r>
    <x v="21"/>
    <n v="100"/>
    <n v="3500"/>
    <x v="155"/>
    <x v="0"/>
    <n v="4"/>
    <n v="11"/>
    <n v="2003"/>
    <x v="1"/>
    <n v="142"/>
    <n v="-42"/>
    <x v="162"/>
    <x v="5"/>
    <x v="37"/>
    <x v="10"/>
    <x v="0"/>
    <x v="1"/>
  </r>
  <r>
    <x v="15"/>
    <n v="100"/>
    <n v="2100"/>
    <x v="103"/>
    <x v="0"/>
    <n v="4"/>
    <n v="11"/>
    <n v="2003"/>
    <x v="1"/>
    <n v="142"/>
    <n v="-42"/>
    <x v="162"/>
    <x v="5"/>
    <x v="7"/>
    <x v="2"/>
    <x v="1"/>
    <x v="1"/>
  </r>
  <r>
    <x v="20"/>
    <n v="100"/>
    <n v="4700"/>
    <x v="104"/>
    <x v="0"/>
    <n v="4"/>
    <n v="11"/>
    <n v="2003"/>
    <x v="1"/>
    <n v="142"/>
    <n v="-42"/>
    <x v="162"/>
    <x v="5"/>
    <x v="34"/>
    <x v="0"/>
    <x v="0"/>
    <x v="2"/>
  </r>
  <r>
    <x v="19"/>
    <n v="100"/>
    <n v="3800"/>
    <x v="105"/>
    <x v="0"/>
    <n v="4"/>
    <n v="12"/>
    <n v="2003"/>
    <x v="1"/>
    <n v="142"/>
    <n v="-42"/>
    <x v="162"/>
    <x v="5"/>
    <x v="0"/>
    <x v="0"/>
    <x v="0"/>
    <x v="1"/>
  </r>
  <r>
    <x v="2"/>
    <n v="100"/>
    <n v="4100"/>
    <x v="138"/>
    <x v="0"/>
    <n v="1"/>
    <n v="1"/>
    <n v="2004"/>
    <x v="1"/>
    <n v="142"/>
    <n v="-42"/>
    <x v="162"/>
    <x v="5"/>
    <x v="20"/>
    <x v="7"/>
    <x v="1"/>
    <x v="1"/>
  </r>
  <r>
    <x v="16"/>
    <n v="100"/>
    <n v="2400"/>
    <x v="181"/>
    <x v="0"/>
    <n v="1"/>
    <n v="2"/>
    <n v="2004"/>
    <x v="1"/>
    <n v="142"/>
    <n v="-42"/>
    <x v="162"/>
    <x v="5"/>
    <x v="45"/>
    <x v="0"/>
    <x v="0"/>
    <x v="1"/>
  </r>
  <r>
    <x v="9"/>
    <n v="100"/>
    <n v="3700"/>
    <x v="156"/>
    <x v="0"/>
    <n v="2"/>
    <n v="4"/>
    <n v="2004"/>
    <x v="1"/>
    <n v="142"/>
    <n v="-42"/>
    <x v="162"/>
    <x v="5"/>
    <x v="38"/>
    <x v="11"/>
    <x v="3"/>
    <x v="1"/>
  </r>
  <r>
    <x v="29"/>
    <n v="100"/>
    <n v="3300"/>
    <x v="108"/>
    <x v="3"/>
    <n v="2"/>
    <n v="6"/>
    <n v="2004"/>
    <x v="1"/>
    <n v="142"/>
    <n v="-42"/>
    <x v="162"/>
    <x v="5"/>
    <x v="19"/>
    <x v="6"/>
    <x v="1"/>
    <x v="1"/>
  </r>
  <r>
    <x v="4"/>
    <n v="100"/>
    <n v="4900"/>
    <x v="109"/>
    <x v="0"/>
    <n v="3"/>
    <n v="7"/>
    <n v="2004"/>
    <x v="1"/>
    <n v="142"/>
    <n v="-42"/>
    <x v="162"/>
    <x v="5"/>
    <x v="57"/>
    <x v="12"/>
    <x v="1"/>
    <x v="1"/>
  </r>
  <r>
    <x v="6"/>
    <n v="100"/>
    <n v="2900"/>
    <x v="157"/>
    <x v="0"/>
    <n v="3"/>
    <n v="8"/>
    <n v="2004"/>
    <x v="1"/>
    <n v="142"/>
    <n v="-42"/>
    <x v="162"/>
    <x v="5"/>
    <x v="67"/>
    <x v="0"/>
    <x v="0"/>
    <x v="1"/>
  </r>
  <r>
    <x v="16"/>
    <n v="100"/>
    <n v="2400"/>
    <x v="111"/>
    <x v="0"/>
    <n v="3"/>
    <n v="8"/>
    <n v="2004"/>
    <x v="1"/>
    <n v="142"/>
    <n v="-42"/>
    <x v="162"/>
    <x v="5"/>
    <x v="56"/>
    <x v="17"/>
    <x v="1"/>
    <x v="1"/>
  </r>
  <r>
    <x v="20"/>
    <n v="100"/>
    <n v="4700"/>
    <x v="158"/>
    <x v="0"/>
    <n v="4"/>
    <n v="10"/>
    <n v="2003"/>
    <x v="1"/>
    <n v="142"/>
    <n v="-42"/>
    <x v="162"/>
    <x v="5"/>
    <x v="68"/>
    <x v="2"/>
    <x v="1"/>
    <x v="2"/>
  </r>
  <r>
    <x v="16"/>
    <n v="100"/>
    <n v="2400"/>
    <x v="113"/>
    <x v="0"/>
    <n v="4"/>
    <n v="10"/>
    <n v="2004"/>
    <x v="1"/>
    <n v="142"/>
    <n v="-42"/>
    <x v="162"/>
    <x v="5"/>
    <x v="55"/>
    <x v="16"/>
    <x v="1"/>
    <x v="1"/>
  </r>
  <r>
    <x v="32"/>
    <n v="100"/>
    <n v="2500"/>
    <x v="45"/>
    <x v="0"/>
    <n v="4"/>
    <n v="11"/>
    <n v="2004"/>
    <x v="1"/>
    <n v="142"/>
    <n v="-42"/>
    <x v="162"/>
    <x v="5"/>
    <x v="18"/>
    <x v="0"/>
    <x v="0"/>
    <x v="1"/>
  </r>
  <r>
    <x v="0"/>
    <n v="32.47"/>
    <n v="974.09999999999991"/>
    <x v="159"/>
    <x v="0"/>
    <n v="4"/>
    <n v="11"/>
    <n v="2004"/>
    <x v="1"/>
    <n v="142"/>
    <n v="-109.53"/>
    <x v="163"/>
    <x v="5"/>
    <x v="24"/>
    <x v="0"/>
    <x v="0"/>
    <x v="0"/>
  </r>
  <r>
    <x v="8"/>
    <n v="100"/>
    <n v="2200"/>
    <x v="20"/>
    <x v="0"/>
    <n v="4"/>
    <n v="11"/>
    <n v="2004"/>
    <x v="1"/>
    <n v="142"/>
    <n v="-42"/>
    <x v="162"/>
    <x v="5"/>
    <x v="8"/>
    <x v="3"/>
    <x v="2"/>
    <x v="1"/>
  </r>
  <r>
    <x v="26"/>
    <n v="64.69"/>
    <n v="1746.6299999999999"/>
    <x v="160"/>
    <x v="0"/>
    <n v="4"/>
    <n v="12"/>
    <n v="2004"/>
    <x v="1"/>
    <n v="142"/>
    <n v="-77.31"/>
    <x v="164"/>
    <x v="5"/>
    <x v="2"/>
    <x v="1"/>
    <x v="1"/>
    <x v="0"/>
  </r>
  <r>
    <x v="1"/>
    <n v="100"/>
    <n v="3400"/>
    <x v="203"/>
    <x v="0"/>
    <n v="1"/>
    <n v="1"/>
    <n v="2005"/>
    <x v="1"/>
    <n v="142"/>
    <n v="-42"/>
    <x v="162"/>
    <x v="5"/>
    <x v="72"/>
    <x v="14"/>
    <x v="1"/>
    <x v="1"/>
  </r>
  <r>
    <x v="5"/>
    <n v="100"/>
    <n v="3600"/>
    <x v="142"/>
    <x v="0"/>
    <n v="1"/>
    <n v="2"/>
    <n v="2005"/>
    <x v="1"/>
    <n v="142"/>
    <n v="-42"/>
    <x v="162"/>
    <x v="5"/>
    <x v="13"/>
    <x v="4"/>
    <x v="1"/>
    <x v="1"/>
  </r>
  <r>
    <x v="1"/>
    <n v="43.05"/>
    <n v="1463.6999999999998"/>
    <x v="162"/>
    <x v="0"/>
    <n v="1"/>
    <n v="3"/>
    <n v="2005"/>
    <x v="1"/>
    <n v="142"/>
    <n v="-98.95"/>
    <x v="165"/>
    <x v="5"/>
    <x v="33"/>
    <x v="0"/>
    <x v="0"/>
    <x v="0"/>
  </r>
  <r>
    <x v="7"/>
    <n v="100"/>
    <n v="4800"/>
    <x v="163"/>
    <x v="1"/>
    <n v="2"/>
    <n v="4"/>
    <n v="2005"/>
    <x v="1"/>
    <n v="142"/>
    <n v="-42"/>
    <x v="162"/>
    <x v="5"/>
    <x v="40"/>
    <x v="13"/>
    <x v="1"/>
    <x v="2"/>
  </r>
  <r>
    <x v="1"/>
    <n v="100"/>
    <n v="3400"/>
    <x v="116"/>
    <x v="0"/>
    <n v="2"/>
    <n v="5"/>
    <n v="2005"/>
    <x v="1"/>
    <n v="142"/>
    <n v="-42"/>
    <x v="162"/>
    <x v="5"/>
    <x v="16"/>
    <x v="5"/>
    <x v="1"/>
    <x v="1"/>
  </r>
  <r>
    <x v="16"/>
    <n v="100"/>
    <n v="2400"/>
    <x v="134"/>
    <x v="0"/>
    <n v="1"/>
    <n v="1"/>
    <n v="2003"/>
    <x v="1"/>
    <n v="163"/>
    <n v="-63"/>
    <x v="166"/>
    <x v="5"/>
    <x v="20"/>
    <x v="7"/>
    <x v="1"/>
    <x v="1"/>
  </r>
  <r>
    <x v="12"/>
    <n v="100"/>
    <n v="4600"/>
    <x v="143"/>
    <x v="0"/>
    <n v="2"/>
    <n v="4"/>
    <n v="2003"/>
    <x v="1"/>
    <n v="163"/>
    <n v="-63"/>
    <x v="166"/>
    <x v="5"/>
    <x v="0"/>
    <x v="0"/>
    <x v="0"/>
    <x v="2"/>
  </r>
  <r>
    <x v="3"/>
    <n v="100"/>
    <n v="4500"/>
    <x v="118"/>
    <x v="0"/>
    <n v="2"/>
    <n v="6"/>
    <n v="2003"/>
    <x v="1"/>
    <n v="163"/>
    <n v="-63"/>
    <x v="166"/>
    <x v="5"/>
    <x v="0"/>
    <x v="0"/>
    <x v="0"/>
    <x v="2"/>
  </r>
  <r>
    <x v="25"/>
    <n v="100"/>
    <n v="3900"/>
    <x v="144"/>
    <x v="0"/>
    <n v="3"/>
    <n v="8"/>
    <n v="2003"/>
    <x v="1"/>
    <n v="163"/>
    <n v="-63"/>
    <x v="166"/>
    <x v="5"/>
    <x v="59"/>
    <x v="4"/>
    <x v="1"/>
    <x v="1"/>
  </r>
  <r>
    <x v="30"/>
    <n v="100"/>
    <n v="4300"/>
    <x v="145"/>
    <x v="0"/>
    <n v="3"/>
    <n v="9"/>
    <n v="2003"/>
    <x v="1"/>
    <n v="163"/>
    <n v="-63"/>
    <x v="166"/>
    <x v="5"/>
    <x v="50"/>
    <x v="4"/>
    <x v="1"/>
    <x v="2"/>
  </r>
  <r>
    <x v="6"/>
    <n v="100"/>
    <n v="2900"/>
    <x v="121"/>
    <x v="0"/>
    <n v="4"/>
    <n v="10"/>
    <n v="2003"/>
    <x v="1"/>
    <n v="163"/>
    <n v="-63"/>
    <x v="166"/>
    <x v="5"/>
    <x v="22"/>
    <x v="9"/>
    <x v="2"/>
    <x v="1"/>
  </r>
  <r>
    <x v="14"/>
    <n v="100"/>
    <n v="2000"/>
    <x v="32"/>
    <x v="0"/>
    <n v="4"/>
    <n v="11"/>
    <n v="2003"/>
    <x v="1"/>
    <n v="163"/>
    <n v="-63"/>
    <x v="166"/>
    <x v="5"/>
    <x v="57"/>
    <x v="12"/>
    <x v="1"/>
    <x v="1"/>
  </r>
  <r>
    <x v="12"/>
    <n v="100"/>
    <n v="4600"/>
    <x v="69"/>
    <x v="0"/>
    <n v="4"/>
    <n v="11"/>
    <n v="2003"/>
    <x v="1"/>
    <n v="163"/>
    <n v="-63"/>
    <x v="166"/>
    <x v="5"/>
    <x v="64"/>
    <x v="7"/>
    <x v="1"/>
    <x v="2"/>
  </r>
  <r>
    <x v="26"/>
    <n v="100"/>
    <n v="2700"/>
    <x v="34"/>
    <x v="0"/>
    <n v="4"/>
    <n v="11"/>
    <n v="2003"/>
    <x v="1"/>
    <n v="163"/>
    <n v="-63"/>
    <x v="166"/>
    <x v="5"/>
    <x v="39"/>
    <x v="0"/>
    <x v="0"/>
    <x v="1"/>
  </r>
  <r>
    <x v="27"/>
    <n v="100"/>
    <n v="4400"/>
    <x v="91"/>
    <x v="0"/>
    <n v="4"/>
    <n v="12"/>
    <n v="2003"/>
    <x v="1"/>
    <n v="163"/>
    <n v="-63"/>
    <x v="166"/>
    <x v="5"/>
    <x v="48"/>
    <x v="0"/>
    <x v="0"/>
    <x v="2"/>
  </r>
  <r>
    <x v="30"/>
    <n v="100"/>
    <n v="4300"/>
    <x v="146"/>
    <x v="0"/>
    <n v="1"/>
    <n v="2"/>
    <n v="2004"/>
    <x v="1"/>
    <n v="163"/>
    <n v="-63"/>
    <x v="166"/>
    <x v="5"/>
    <x v="65"/>
    <x v="0"/>
    <x v="0"/>
    <x v="2"/>
  </r>
  <r>
    <x v="4"/>
    <n v="100"/>
    <n v="4900"/>
    <x v="135"/>
    <x v="0"/>
    <n v="1"/>
    <n v="3"/>
    <n v="2004"/>
    <x v="1"/>
    <n v="163"/>
    <n v="-63"/>
    <x v="166"/>
    <x v="5"/>
    <x v="58"/>
    <x v="16"/>
    <x v="1"/>
    <x v="2"/>
  </r>
  <r>
    <x v="23"/>
    <n v="100"/>
    <n v="4000"/>
    <x v="125"/>
    <x v="0"/>
    <n v="2"/>
    <n v="5"/>
    <n v="2004"/>
    <x v="1"/>
    <n v="163"/>
    <n v="-63"/>
    <x v="166"/>
    <x v="5"/>
    <x v="20"/>
    <x v="7"/>
    <x v="1"/>
    <x v="1"/>
  </r>
  <r>
    <x v="0"/>
    <n v="100"/>
    <n v="3000"/>
    <x v="39"/>
    <x v="0"/>
    <n v="2"/>
    <n v="6"/>
    <n v="2004"/>
    <x v="1"/>
    <n v="163"/>
    <n v="-63"/>
    <x v="166"/>
    <x v="5"/>
    <x v="22"/>
    <x v="9"/>
    <x v="2"/>
    <x v="1"/>
  </r>
  <r>
    <x v="24"/>
    <n v="100"/>
    <n v="5000"/>
    <x v="126"/>
    <x v="0"/>
    <n v="3"/>
    <n v="7"/>
    <n v="2004"/>
    <x v="1"/>
    <n v="163"/>
    <n v="-63"/>
    <x v="166"/>
    <x v="5"/>
    <x v="33"/>
    <x v="0"/>
    <x v="0"/>
    <x v="2"/>
  </r>
  <r>
    <x v="10"/>
    <n v="100"/>
    <n v="2300"/>
    <x v="76"/>
    <x v="0"/>
    <n v="3"/>
    <n v="8"/>
    <n v="2004"/>
    <x v="1"/>
    <n v="163"/>
    <n v="-63"/>
    <x v="166"/>
    <x v="5"/>
    <x v="33"/>
    <x v="0"/>
    <x v="0"/>
    <x v="1"/>
  </r>
  <r>
    <x v="18"/>
    <n v="100"/>
    <n v="2600"/>
    <x v="42"/>
    <x v="0"/>
    <n v="3"/>
    <n v="9"/>
    <n v="2004"/>
    <x v="1"/>
    <n v="163"/>
    <n v="-63"/>
    <x v="166"/>
    <x v="5"/>
    <x v="0"/>
    <x v="0"/>
    <x v="0"/>
    <x v="1"/>
  </r>
  <r>
    <x v="26"/>
    <n v="100"/>
    <n v="2700"/>
    <x v="95"/>
    <x v="0"/>
    <n v="4"/>
    <n v="10"/>
    <n v="2004"/>
    <x v="1"/>
    <n v="163"/>
    <n v="-63"/>
    <x v="166"/>
    <x v="5"/>
    <x v="12"/>
    <x v="0"/>
    <x v="0"/>
    <x v="1"/>
  </r>
  <r>
    <x v="13"/>
    <n v="100"/>
    <n v="4200"/>
    <x v="96"/>
    <x v="0"/>
    <n v="4"/>
    <n v="10"/>
    <n v="2004"/>
    <x v="1"/>
    <n v="163"/>
    <n v="-63"/>
    <x v="166"/>
    <x v="5"/>
    <x v="62"/>
    <x v="13"/>
    <x v="1"/>
    <x v="1"/>
  </r>
  <r>
    <x v="20"/>
    <n v="100"/>
    <n v="4700"/>
    <x v="80"/>
    <x v="0"/>
    <n v="4"/>
    <n v="11"/>
    <n v="2004"/>
    <x v="1"/>
    <n v="163"/>
    <n v="-63"/>
    <x v="166"/>
    <x v="5"/>
    <x v="0"/>
    <x v="0"/>
    <x v="0"/>
    <x v="2"/>
  </r>
  <r>
    <x v="4"/>
    <n v="100"/>
    <n v="4900"/>
    <x v="128"/>
    <x v="0"/>
    <n v="4"/>
    <n v="11"/>
    <n v="2004"/>
    <x v="1"/>
    <n v="163"/>
    <n v="-63"/>
    <x v="166"/>
    <x v="5"/>
    <x v="2"/>
    <x v="1"/>
    <x v="1"/>
    <x v="2"/>
  </r>
  <r>
    <x v="19"/>
    <n v="100"/>
    <n v="3800"/>
    <x v="140"/>
    <x v="0"/>
    <n v="4"/>
    <n v="12"/>
    <n v="2004"/>
    <x v="1"/>
    <n v="163"/>
    <n v="-63"/>
    <x v="166"/>
    <x v="5"/>
    <x v="0"/>
    <x v="0"/>
    <x v="0"/>
    <x v="1"/>
  </r>
  <r>
    <x v="14"/>
    <n v="100"/>
    <n v="2000"/>
    <x v="48"/>
    <x v="0"/>
    <n v="4"/>
    <n v="12"/>
    <n v="2004"/>
    <x v="1"/>
    <n v="163"/>
    <n v="-63"/>
    <x v="166"/>
    <x v="5"/>
    <x v="20"/>
    <x v="7"/>
    <x v="1"/>
    <x v="0"/>
  </r>
  <r>
    <x v="32"/>
    <n v="100"/>
    <n v="2500"/>
    <x v="129"/>
    <x v="0"/>
    <n v="1"/>
    <n v="1"/>
    <n v="2005"/>
    <x v="1"/>
    <n v="163"/>
    <n v="-63"/>
    <x v="166"/>
    <x v="5"/>
    <x v="33"/>
    <x v="0"/>
    <x v="0"/>
    <x v="0"/>
  </r>
  <r>
    <x v="32"/>
    <n v="88"/>
    <n v="2200"/>
    <x v="50"/>
    <x v="0"/>
    <n v="1"/>
    <n v="2"/>
    <n v="2005"/>
    <x v="1"/>
    <n v="163"/>
    <n v="-75"/>
    <x v="167"/>
    <x v="5"/>
    <x v="33"/>
    <x v="0"/>
    <x v="0"/>
    <x v="0"/>
  </r>
  <r>
    <x v="2"/>
    <n v="100"/>
    <n v="4100"/>
    <x v="147"/>
    <x v="0"/>
    <n v="2"/>
    <n v="5"/>
    <n v="2005"/>
    <x v="1"/>
    <n v="163"/>
    <n v="-63"/>
    <x v="166"/>
    <x v="5"/>
    <x v="20"/>
    <x v="7"/>
    <x v="1"/>
    <x v="1"/>
  </r>
  <r>
    <x v="11"/>
    <n v="100"/>
    <n v="2800"/>
    <x v="53"/>
    <x v="2"/>
    <n v="2"/>
    <n v="5"/>
    <n v="2005"/>
    <x v="1"/>
    <n v="163"/>
    <n v="-63"/>
    <x v="166"/>
    <x v="5"/>
    <x v="11"/>
    <x v="1"/>
    <x v="1"/>
    <x v="1"/>
  </r>
  <r>
    <x v="24"/>
    <n v="67.8"/>
    <n v="3390"/>
    <x v="199"/>
    <x v="0"/>
    <n v="1"/>
    <n v="1"/>
    <n v="2003"/>
    <x v="3"/>
    <n v="60"/>
    <n v="7.7999999999999972"/>
    <x v="168"/>
    <x v="0"/>
    <x v="34"/>
    <x v="0"/>
    <x v="0"/>
    <x v="1"/>
  </r>
  <r>
    <x v="22"/>
    <n v="50.25"/>
    <n v="1608"/>
    <x v="178"/>
    <x v="0"/>
    <n v="1"/>
    <n v="3"/>
    <n v="2003"/>
    <x v="3"/>
    <n v="60"/>
    <n v="-9.75"/>
    <x v="169"/>
    <x v="6"/>
    <x v="61"/>
    <x v="6"/>
    <x v="1"/>
    <x v="0"/>
  </r>
  <r>
    <x v="13"/>
    <n v="53.88"/>
    <n v="2262.96"/>
    <x v="166"/>
    <x v="0"/>
    <n v="2"/>
    <n v="5"/>
    <n v="2003"/>
    <x v="3"/>
    <n v="60"/>
    <n v="-6.1199999999999974"/>
    <x v="170"/>
    <x v="3"/>
    <x v="67"/>
    <x v="0"/>
    <x v="0"/>
    <x v="0"/>
  </r>
  <r>
    <x v="16"/>
    <n v="62.36"/>
    <n v="1496.6399999999999"/>
    <x v="168"/>
    <x v="0"/>
    <n v="3"/>
    <n v="9"/>
    <n v="2003"/>
    <x v="3"/>
    <n v="60"/>
    <n v="2.3599999999999994"/>
    <x v="171"/>
    <x v="0"/>
    <x v="65"/>
    <x v="0"/>
    <x v="0"/>
    <x v="0"/>
  </r>
  <r>
    <x v="26"/>
    <n v="69.62"/>
    <n v="1879.7400000000002"/>
    <x v="169"/>
    <x v="0"/>
    <n v="4"/>
    <n v="10"/>
    <n v="2003"/>
    <x v="3"/>
    <n v="60"/>
    <n v="9.6200000000000045"/>
    <x v="172"/>
    <x v="0"/>
    <x v="4"/>
    <x v="0"/>
    <x v="0"/>
    <x v="0"/>
  </r>
  <r>
    <x v="18"/>
    <n v="57.51"/>
    <n v="1495.26"/>
    <x v="155"/>
    <x v="0"/>
    <n v="4"/>
    <n v="11"/>
    <n v="2003"/>
    <x v="3"/>
    <n v="60"/>
    <n v="-2.490000000000002"/>
    <x v="173"/>
    <x v="4"/>
    <x v="69"/>
    <x v="12"/>
    <x v="1"/>
    <x v="0"/>
  </r>
  <r>
    <x v="19"/>
    <n v="61.15"/>
    <n v="2323.6999999999998"/>
    <x v="103"/>
    <x v="0"/>
    <n v="4"/>
    <n v="11"/>
    <n v="2003"/>
    <x v="3"/>
    <n v="60"/>
    <n v="1.1499999999999986"/>
    <x v="174"/>
    <x v="0"/>
    <x v="33"/>
    <x v="0"/>
    <x v="0"/>
    <x v="0"/>
  </r>
  <r>
    <x v="13"/>
    <n v="59.33"/>
    <n v="2491.86"/>
    <x v="170"/>
    <x v="0"/>
    <n v="4"/>
    <n v="11"/>
    <n v="2003"/>
    <x v="3"/>
    <n v="60"/>
    <n v="-0.67000000000000171"/>
    <x v="175"/>
    <x v="4"/>
    <x v="70"/>
    <x v="3"/>
    <x v="2"/>
    <x v="0"/>
  </r>
  <r>
    <x v="10"/>
    <n v="71.44"/>
    <n v="1643.12"/>
    <x v="105"/>
    <x v="0"/>
    <n v="4"/>
    <n v="12"/>
    <n v="2003"/>
    <x v="3"/>
    <n v="60"/>
    <n v="11.439999999999998"/>
    <x v="176"/>
    <x v="0"/>
    <x v="0"/>
    <x v="0"/>
    <x v="0"/>
    <x v="0"/>
  </r>
  <r>
    <x v="15"/>
    <n v="62.96"/>
    <n v="1322.16"/>
    <x v="200"/>
    <x v="0"/>
    <n v="1"/>
    <n v="1"/>
    <n v="2004"/>
    <x v="3"/>
    <n v="60"/>
    <n v="2.9600000000000009"/>
    <x v="177"/>
    <x v="0"/>
    <x v="20"/>
    <x v="7"/>
    <x v="1"/>
    <x v="0"/>
  </r>
  <r>
    <x v="11"/>
    <n v="50.85"/>
    <n v="1423.8"/>
    <x v="172"/>
    <x v="0"/>
    <n v="1"/>
    <n v="3"/>
    <n v="2004"/>
    <x v="3"/>
    <n v="60"/>
    <n v="-9.1499999999999986"/>
    <x v="178"/>
    <x v="1"/>
    <x v="25"/>
    <x v="1"/>
    <x v="1"/>
    <x v="0"/>
  </r>
  <r>
    <x v="29"/>
    <n v="72.650000000000006"/>
    <n v="2397.4500000000003"/>
    <x v="156"/>
    <x v="0"/>
    <n v="2"/>
    <n v="4"/>
    <n v="2004"/>
    <x v="3"/>
    <n v="60"/>
    <n v="12.650000000000006"/>
    <x v="179"/>
    <x v="0"/>
    <x v="66"/>
    <x v="1"/>
    <x v="1"/>
    <x v="0"/>
  </r>
  <r>
    <x v="32"/>
    <n v="62.96"/>
    <n v="1574"/>
    <x v="41"/>
    <x v="0"/>
    <n v="3"/>
    <n v="8"/>
    <n v="2004"/>
    <x v="3"/>
    <n v="60"/>
    <n v="2.9600000000000009"/>
    <x v="177"/>
    <x v="0"/>
    <x v="30"/>
    <x v="12"/>
    <x v="1"/>
    <x v="0"/>
  </r>
  <r>
    <x v="11"/>
    <n v="61.75"/>
    <n v="1729"/>
    <x v="182"/>
    <x v="0"/>
    <n v="3"/>
    <n v="9"/>
    <n v="2004"/>
    <x v="3"/>
    <n v="60"/>
    <n v="1.75"/>
    <x v="180"/>
    <x v="0"/>
    <x v="22"/>
    <x v="9"/>
    <x v="2"/>
    <x v="0"/>
  </r>
  <r>
    <x v="12"/>
    <n v="49.04"/>
    <n v="2255.84"/>
    <x v="204"/>
    <x v="0"/>
    <n v="4"/>
    <n v="10"/>
    <n v="2004"/>
    <x v="3"/>
    <n v="60"/>
    <n v="-10.96"/>
    <x v="181"/>
    <x v="6"/>
    <x v="64"/>
    <x v="7"/>
    <x v="1"/>
    <x v="0"/>
  </r>
  <r>
    <x v="0"/>
    <n v="61.15"/>
    <n v="1834.5"/>
    <x v="44"/>
    <x v="0"/>
    <n v="4"/>
    <n v="10"/>
    <n v="2004"/>
    <x v="3"/>
    <n v="60"/>
    <n v="1.1499999999999986"/>
    <x v="174"/>
    <x v="0"/>
    <x v="33"/>
    <x v="0"/>
    <x v="0"/>
    <x v="0"/>
  </r>
  <r>
    <x v="19"/>
    <n v="84.25"/>
    <n v="3201.5"/>
    <x v="159"/>
    <x v="0"/>
    <n v="4"/>
    <n v="11"/>
    <n v="2004"/>
    <x v="3"/>
    <n v="60"/>
    <n v="24.25"/>
    <x v="182"/>
    <x v="0"/>
    <x v="61"/>
    <x v="6"/>
    <x v="1"/>
    <x v="1"/>
  </r>
  <r>
    <x v="23"/>
    <n v="56.91"/>
    <n v="2276.3999999999996"/>
    <x v="201"/>
    <x v="0"/>
    <n v="4"/>
    <n v="11"/>
    <n v="2004"/>
    <x v="3"/>
    <n v="60"/>
    <n v="-3.0900000000000034"/>
    <x v="183"/>
    <x v="4"/>
    <x v="54"/>
    <x v="1"/>
    <x v="1"/>
    <x v="0"/>
  </r>
  <r>
    <x v="3"/>
    <n v="100"/>
    <n v="4500"/>
    <x v="183"/>
    <x v="5"/>
    <n v="1"/>
    <n v="1"/>
    <n v="2005"/>
    <x v="3"/>
    <n v="60"/>
    <n v="40"/>
    <x v="184"/>
    <x v="0"/>
    <x v="3"/>
    <x v="0"/>
    <x v="0"/>
    <x v="2"/>
  </r>
  <r>
    <x v="26"/>
    <n v="49.3"/>
    <n v="1331.1"/>
    <x v="184"/>
    <x v="0"/>
    <n v="1"/>
    <n v="2"/>
    <n v="2005"/>
    <x v="3"/>
    <n v="60"/>
    <n v="-10.700000000000003"/>
    <x v="185"/>
    <x v="6"/>
    <x v="20"/>
    <x v="7"/>
    <x v="1"/>
    <x v="0"/>
  </r>
  <r>
    <x v="13"/>
    <n v="72.650000000000006"/>
    <n v="3051.3"/>
    <x v="185"/>
    <x v="4"/>
    <n v="2"/>
    <n v="4"/>
    <n v="2005"/>
    <x v="3"/>
    <n v="60"/>
    <n v="12.650000000000006"/>
    <x v="179"/>
    <x v="0"/>
    <x v="51"/>
    <x v="0"/>
    <x v="0"/>
    <x v="1"/>
  </r>
  <r>
    <x v="5"/>
    <n v="63.57"/>
    <n v="2288.52"/>
    <x v="202"/>
    <x v="2"/>
    <n v="2"/>
    <n v="5"/>
    <n v="2005"/>
    <x v="3"/>
    <n v="60"/>
    <n v="3.5700000000000003"/>
    <x v="186"/>
    <x v="0"/>
    <x v="17"/>
    <x v="3"/>
    <x v="2"/>
    <x v="0"/>
  </r>
  <r>
    <x v="6"/>
    <n v="100"/>
    <n v="2900"/>
    <x v="134"/>
    <x v="0"/>
    <n v="1"/>
    <n v="1"/>
    <n v="2003"/>
    <x v="2"/>
    <n v="122"/>
    <n v="-22"/>
    <x v="187"/>
    <x v="6"/>
    <x v="20"/>
    <x v="7"/>
    <x v="1"/>
    <x v="1"/>
  </r>
  <r>
    <x v="25"/>
    <n v="100"/>
    <n v="3900"/>
    <x v="89"/>
    <x v="0"/>
    <n v="2"/>
    <n v="4"/>
    <n v="2003"/>
    <x v="2"/>
    <n v="122"/>
    <n v="-22"/>
    <x v="187"/>
    <x v="6"/>
    <x v="2"/>
    <x v="1"/>
    <x v="1"/>
    <x v="1"/>
  </r>
  <r>
    <x v="3"/>
    <n v="100"/>
    <n v="4500"/>
    <x v="118"/>
    <x v="0"/>
    <n v="2"/>
    <n v="6"/>
    <n v="2003"/>
    <x v="2"/>
    <n v="122"/>
    <n v="-22"/>
    <x v="187"/>
    <x v="6"/>
    <x v="0"/>
    <x v="0"/>
    <x v="0"/>
    <x v="1"/>
  </r>
  <r>
    <x v="20"/>
    <n v="100"/>
    <n v="4700"/>
    <x v="144"/>
    <x v="0"/>
    <n v="3"/>
    <n v="8"/>
    <n v="2003"/>
    <x v="2"/>
    <n v="122"/>
    <n v="-22"/>
    <x v="187"/>
    <x v="6"/>
    <x v="59"/>
    <x v="4"/>
    <x v="1"/>
    <x v="1"/>
  </r>
  <r>
    <x v="4"/>
    <n v="100"/>
    <n v="4900"/>
    <x v="145"/>
    <x v="0"/>
    <n v="3"/>
    <n v="9"/>
    <n v="2003"/>
    <x v="2"/>
    <n v="122"/>
    <n v="-22"/>
    <x v="187"/>
    <x v="6"/>
    <x v="50"/>
    <x v="4"/>
    <x v="1"/>
    <x v="1"/>
  </r>
  <r>
    <x v="12"/>
    <n v="100"/>
    <n v="4600"/>
    <x v="121"/>
    <x v="0"/>
    <n v="4"/>
    <n v="10"/>
    <n v="2003"/>
    <x v="2"/>
    <n v="122"/>
    <n v="-22"/>
    <x v="187"/>
    <x v="6"/>
    <x v="22"/>
    <x v="9"/>
    <x v="2"/>
    <x v="1"/>
  </r>
  <r>
    <x v="7"/>
    <n v="100"/>
    <n v="4800"/>
    <x v="32"/>
    <x v="0"/>
    <n v="4"/>
    <n v="11"/>
    <n v="2003"/>
    <x v="2"/>
    <n v="122"/>
    <n v="-22"/>
    <x v="187"/>
    <x v="6"/>
    <x v="41"/>
    <x v="6"/>
    <x v="1"/>
    <x v="1"/>
  </r>
  <r>
    <x v="12"/>
    <n v="100"/>
    <n v="4600"/>
    <x v="69"/>
    <x v="0"/>
    <n v="4"/>
    <n v="11"/>
    <n v="2003"/>
    <x v="2"/>
    <n v="122"/>
    <n v="-22"/>
    <x v="187"/>
    <x v="6"/>
    <x v="64"/>
    <x v="7"/>
    <x v="1"/>
    <x v="1"/>
  </r>
  <r>
    <x v="21"/>
    <n v="100"/>
    <n v="3500"/>
    <x v="34"/>
    <x v="0"/>
    <n v="4"/>
    <n v="11"/>
    <n v="2003"/>
    <x v="2"/>
    <n v="122"/>
    <n v="-22"/>
    <x v="187"/>
    <x v="6"/>
    <x v="39"/>
    <x v="0"/>
    <x v="0"/>
    <x v="1"/>
  </r>
  <r>
    <x v="30"/>
    <n v="100"/>
    <n v="4300"/>
    <x v="91"/>
    <x v="0"/>
    <n v="4"/>
    <n v="12"/>
    <n v="2003"/>
    <x v="2"/>
    <n v="122"/>
    <n v="-22"/>
    <x v="187"/>
    <x v="6"/>
    <x v="48"/>
    <x v="0"/>
    <x v="0"/>
    <x v="1"/>
  </r>
  <r>
    <x v="18"/>
    <n v="100"/>
    <n v="2600"/>
    <x v="93"/>
    <x v="0"/>
    <n v="1"/>
    <n v="3"/>
    <n v="2004"/>
    <x v="2"/>
    <n v="122"/>
    <n v="-22"/>
    <x v="187"/>
    <x v="6"/>
    <x v="33"/>
    <x v="0"/>
    <x v="0"/>
    <x v="1"/>
  </r>
  <r>
    <x v="8"/>
    <n v="98.18"/>
    <n v="2159.96"/>
    <x v="125"/>
    <x v="0"/>
    <n v="2"/>
    <n v="5"/>
    <n v="2004"/>
    <x v="2"/>
    <n v="122"/>
    <n v="-23.819999999999993"/>
    <x v="188"/>
    <x v="6"/>
    <x v="20"/>
    <x v="7"/>
    <x v="1"/>
    <x v="0"/>
  </r>
  <r>
    <x v="1"/>
    <n v="99.41"/>
    <n v="3379.94"/>
    <x v="39"/>
    <x v="0"/>
    <n v="2"/>
    <n v="6"/>
    <n v="2004"/>
    <x v="2"/>
    <n v="122"/>
    <n v="-22.590000000000003"/>
    <x v="189"/>
    <x v="6"/>
    <x v="22"/>
    <x v="9"/>
    <x v="2"/>
    <x v="1"/>
  </r>
  <r>
    <x v="24"/>
    <n v="100"/>
    <n v="5000"/>
    <x v="126"/>
    <x v="0"/>
    <n v="3"/>
    <n v="7"/>
    <n v="2004"/>
    <x v="2"/>
    <n v="122"/>
    <n v="-22"/>
    <x v="187"/>
    <x v="6"/>
    <x v="33"/>
    <x v="0"/>
    <x v="0"/>
    <x v="1"/>
  </r>
  <r>
    <x v="7"/>
    <n v="100"/>
    <n v="4800"/>
    <x v="94"/>
    <x v="0"/>
    <n v="3"/>
    <n v="8"/>
    <n v="2004"/>
    <x v="2"/>
    <n v="122"/>
    <n v="-22"/>
    <x v="187"/>
    <x v="6"/>
    <x v="15"/>
    <x v="0"/>
    <x v="0"/>
    <x v="1"/>
  </r>
  <r>
    <x v="2"/>
    <n v="100"/>
    <n v="4100"/>
    <x v="42"/>
    <x v="0"/>
    <n v="3"/>
    <n v="9"/>
    <n v="2004"/>
    <x v="2"/>
    <n v="122"/>
    <n v="-22"/>
    <x v="187"/>
    <x v="6"/>
    <x v="0"/>
    <x v="0"/>
    <x v="0"/>
    <x v="1"/>
  </r>
  <r>
    <x v="5"/>
    <n v="100"/>
    <n v="3600"/>
    <x v="95"/>
    <x v="0"/>
    <n v="4"/>
    <n v="10"/>
    <n v="2004"/>
    <x v="2"/>
    <n v="122"/>
    <n v="-22"/>
    <x v="187"/>
    <x v="6"/>
    <x v="12"/>
    <x v="0"/>
    <x v="0"/>
    <x v="1"/>
  </r>
  <r>
    <x v="6"/>
    <n v="100"/>
    <n v="2900"/>
    <x v="96"/>
    <x v="0"/>
    <n v="4"/>
    <n v="10"/>
    <n v="2004"/>
    <x v="2"/>
    <n v="122"/>
    <n v="-22"/>
    <x v="187"/>
    <x v="6"/>
    <x v="26"/>
    <x v="10"/>
    <x v="0"/>
    <x v="1"/>
  </r>
  <r>
    <x v="29"/>
    <n v="37.479999999999997"/>
    <n v="1236.8399999999999"/>
    <x v="80"/>
    <x v="0"/>
    <n v="4"/>
    <n v="11"/>
    <n v="2004"/>
    <x v="2"/>
    <n v="122"/>
    <n v="-84.52000000000001"/>
    <x v="190"/>
    <x v="5"/>
    <x v="0"/>
    <x v="0"/>
    <x v="0"/>
    <x v="0"/>
  </r>
  <r>
    <x v="12"/>
    <n v="100"/>
    <n v="4600"/>
    <x v="97"/>
    <x v="4"/>
    <n v="4"/>
    <n v="11"/>
    <n v="2004"/>
    <x v="2"/>
    <n v="122"/>
    <n v="-22"/>
    <x v="187"/>
    <x v="6"/>
    <x v="21"/>
    <x v="8"/>
    <x v="1"/>
    <x v="1"/>
  </r>
  <r>
    <x v="19"/>
    <n v="100"/>
    <n v="3800"/>
    <x v="140"/>
    <x v="0"/>
    <n v="4"/>
    <n v="12"/>
    <n v="2004"/>
    <x v="2"/>
    <n v="122"/>
    <n v="-22"/>
    <x v="187"/>
    <x v="6"/>
    <x v="0"/>
    <x v="0"/>
    <x v="0"/>
    <x v="1"/>
  </r>
  <r>
    <x v="14"/>
    <n v="36.42"/>
    <n v="728.40000000000009"/>
    <x v="48"/>
    <x v="0"/>
    <n v="4"/>
    <n v="12"/>
    <n v="2004"/>
    <x v="2"/>
    <n v="122"/>
    <n v="-85.58"/>
    <x v="191"/>
    <x v="5"/>
    <x v="20"/>
    <x v="7"/>
    <x v="1"/>
    <x v="0"/>
  </r>
  <r>
    <x v="8"/>
    <n v="100"/>
    <n v="2200"/>
    <x v="49"/>
    <x v="0"/>
    <n v="1"/>
    <n v="1"/>
    <n v="2005"/>
    <x v="2"/>
    <n v="122"/>
    <n v="-22"/>
    <x v="187"/>
    <x v="6"/>
    <x v="36"/>
    <x v="3"/>
    <x v="2"/>
    <x v="1"/>
  </r>
  <r>
    <x v="26"/>
    <n v="100"/>
    <n v="2700"/>
    <x v="205"/>
    <x v="0"/>
    <n v="1"/>
    <n v="2"/>
    <n v="2005"/>
    <x v="2"/>
    <n v="122"/>
    <n v="-22"/>
    <x v="187"/>
    <x v="6"/>
    <x v="20"/>
    <x v="7"/>
    <x v="1"/>
    <x v="1"/>
  </r>
  <r>
    <x v="31"/>
    <n v="98.18"/>
    <n v="5498.08"/>
    <x v="147"/>
    <x v="0"/>
    <n v="2"/>
    <n v="5"/>
    <n v="2005"/>
    <x v="2"/>
    <n v="122"/>
    <n v="-23.819999999999993"/>
    <x v="188"/>
    <x v="6"/>
    <x v="20"/>
    <x v="7"/>
    <x v="1"/>
    <x v="1"/>
  </r>
  <r>
    <x v="19"/>
    <n v="99.41"/>
    <n v="3777.58"/>
    <x v="53"/>
    <x v="2"/>
    <n v="2"/>
    <n v="5"/>
    <n v="2005"/>
    <x v="2"/>
    <n v="122"/>
    <n v="-22.590000000000003"/>
    <x v="189"/>
    <x v="6"/>
    <x v="11"/>
    <x v="1"/>
    <x v="1"/>
    <x v="1"/>
  </r>
  <r>
    <x v="32"/>
    <n v="100"/>
    <n v="2500"/>
    <x v="206"/>
    <x v="0"/>
    <n v="1"/>
    <n v="1"/>
    <n v="2003"/>
    <x v="3"/>
    <n v="127"/>
    <n v="-27"/>
    <x v="192"/>
    <x v="5"/>
    <x v="58"/>
    <x v="16"/>
    <x v="1"/>
    <x v="1"/>
  </r>
  <r>
    <x v="29"/>
    <n v="100"/>
    <n v="3300"/>
    <x v="178"/>
    <x v="0"/>
    <n v="1"/>
    <n v="3"/>
    <n v="2003"/>
    <x v="3"/>
    <n v="127"/>
    <n v="-27"/>
    <x v="192"/>
    <x v="5"/>
    <x v="61"/>
    <x v="6"/>
    <x v="1"/>
    <x v="1"/>
  </r>
  <r>
    <x v="13"/>
    <n v="100"/>
    <n v="4200"/>
    <x v="166"/>
    <x v="0"/>
    <n v="2"/>
    <n v="5"/>
    <n v="2003"/>
    <x v="3"/>
    <n v="127"/>
    <n v="-27"/>
    <x v="192"/>
    <x v="5"/>
    <x v="67"/>
    <x v="0"/>
    <x v="0"/>
    <x v="1"/>
  </r>
  <r>
    <x v="29"/>
    <n v="100"/>
    <n v="3300"/>
    <x v="168"/>
    <x v="0"/>
    <n v="3"/>
    <n v="9"/>
    <n v="2003"/>
    <x v="3"/>
    <n v="127"/>
    <n v="-27"/>
    <x v="192"/>
    <x v="5"/>
    <x v="65"/>
    <x v="0"/>
    <x v="0"/>
    <x v="1"/>
  </r>
  <r>
    <x v="19"/>
    <n v="100"/>
    <n v="3800"/>
    <x v="169"/>
    <x v="0"/>
    <n v="4"/>
    <n v="10"/>
    <n v="2003"/>
    <x v="3"/>
    <n v="127"/>
    <n v="-27"/>
    <x v="192"/>
    <x v="5"/>
    <x v="4"/>
    <x v="0"/>
    <x v="0"/>
    <x v="1"/>
  </r>
  <r>
    <x v="28"/>
    <n v="100"/>
    <n v="3100"/>
    <x v="155"/>
    <x v="0"/>
    <n v="4"/>
    <n v="11"/>
    <n v="2003"/>
    <x v="3"/>
    <n v="127"/>
    <n v="-27"/>
    <x v="192"/>
    <x v="5"/>
    <x v="69"/>
    <x v="12"/>
    <x v="1"/>
    <x v="1"/>
  </r>
  <r>
    <x v="14"/>
    <n v="100"/>
    <n v="2000"/>
    <x v="103"/>
    <x v="0"/>
    <n v="4"/>
    <n v="11"/>
    <n v="2003"/>
    <x v="3"/>
    <n v="127"/>
    <n v="-27"/>
    <x v="192"/>
    <x v="5"/>
    <x v="33"/>
    <x v="0"/>
    <x v="0"/>
    <x v="0"/>
  </r>
  <r>
    <x v="27"/>
    <n v="100"/>
    <n v="4400"/>
    <x v="170"/>
    <x v="0"/>
    <n v="4"/>
    <n v="11"/>
    <n v="2003"/>
    <x v="3"/>
    <n v="127"/>
    <n v="-27"/>
    <x v="192"/>
    <x v="5"/>
    <x v="70"/>
    <x v="3"/>
    <x v="2"/>
    <x v="1"/>
  </r>
  <r>
    <x v="18"/>
    <n v="100"/>
    <n v="2600"/>
    <x v="105"/>
    <x v="0"/>
    <n v="4"/>
    <n v="12"/>
    <n v="2003"/>
    <x v="3"/>
    <n v="127"/>
    <n v="-27"/>
    <x v="192"/>
    <x v="5"/>
    <x v="0"/>
    <x v="0"/>
    <x v="0"/>
    <x v="1"/>
  </r>
  <r>
    <x v="26"/>
    <n v="100"/>
    <n v="2700"/>
    <x v="200"/>
    <x v="0"/>
    <n v="1"/>
    <n v="1"/>
    <n v="2004"/>
    <x v="3"/>
    <n v="127"/>
    <n v="-27"/>
    <x v="192"/>
    <x v="5"/>
    <x v="20"/>
    <x v="7"/>
    <x v="1"/>
    <x v="1"/>
  </r>
  <r>
    <x v="12"/>
    <n v="100"/>
    <n v="4600"/>
    <x v="172"/>
    <x v="0"/>
    <n v="1"/>
    <n v="3"/>
    <n v="2004"/>
    <x v="3"/>
    <n v="127"/>
    <n v="-27"/>
    <x v="192"/>
    <x v="5"/>
    <x v="25"/>
    <x v="1"/>
    <x v="1"/>
    <x v="2"/>
  </r>
  <r>
    <x v="20"/>
    <n v="100"/>
    <n v="4700"/>
    <x v="207"/>
    <x v="0"/>
    <n v="2"/>
    <n v="4"/>
    <n v="2004"/>
    <x v="3"/>
    <n v="127"/>
    <n v="-27"/>
    <x v="192"/>
    <x v="5"/>
    <x v="48"/>
    <x v="0"/>
    <x v="0"/>
    <x v="1"/>
  </r>
  <r>
    <x v="9"/>
    <n v="100"/>
    <n v="3700"/>
    <x v="41"/>
    <x v="0"/>
    <n v="3"/>
    <n v="8"/>
    <n v="2004"/>
    <x v="3"/>
    <n v="127"/>
    <n v="-27"/>
    <x v="192"/>
    <x v="5"/>
    <x v="30"/>
    <x v="12"/>
    <x v="1"/>
    <x v="1"/>
  </r>
  <r>
    <x v="28"/>
    <n v="100"/>
    <n v="3100"/>
    <x v="182"/>
    <x v="0"/>
    <n v="3"/>
    <n v="9"/>
    <n v="2004"/>
    <x v="3"/>
    <n v="127"/>
    <n v="-27"/>
    <x v="192"/>
    <x v="5"/>
    <x v="22"/>
    <x v="9"/>
    <x v="2"/>
    <x v="1"/>
  </r>
  <r>
    <x v="16"/>
    <n v="100"/>
    <n v="2400"/>
    <x v="43"/>
    <x v="0"/>
    <n v="4"/>
    <n v="10"/>
    <n v="2004"/>
    <x v="3"/>
    <n v="127"/>
    <n v="-27"/>
    <x v="192"/>
    <x v="5"/>
    <x v="32"/>
    <x v="1"/>
    <x v="1"/>
    <x v="0"/>
  </r>
  <r>
    <x v="28"/>
    <n v="100"/>
    <n v="3100"/>
    <x v="44"/>
    <x v="0"/>
    <n v="4"/>
    <n v="10"/>
    <n v="2004"/>
    <x v="3"/>
    <n v="127"/>
    <n v="-27"/>
    <x v="192"/>
    <x v="5"/>
    <x v="33"/>
    <x v="0"/>
    <x v="0"/>
    <x v="1"/>
  </r>
  <r>
    <x v="24"/>
    <n v="100"/>
    <n v="5000"/>
    <x v="45"/>
    <x v="0"/>
    <n v="4"/>
    <n v="11"/>
    <n v="2004"/>
    <x v="3"/>
    <n v="127"/>
    <n v="-27"/>
    <x v="192"/>
    <x v="5"/>
    <x v="34"/>
    <x v="0"/>
    <x v="0"/>
    <x v="2"/>
  </r>
  <r>
    <x v="21"/>
    <n v="64.69"/>
    <n v="2264.15"/>
    <x v="159"/>
    <x v="0"/>
    <n v="4"/>
    <n v="11"/>
    <n v="2004"/>
    <x v="3"/>
    <n v="127"/>
    <n v="-62.31"/>
    <x v="193"/>
    <x v="5"/>
    <x v="61"/>
    <x v="6"/>
    <x v="1"/>
    <x v="0"/>
  </r>
  <r>
    <x v="0"/>
    <n v="100"/>
    <n v="3000"/>
    <x v="201"/>
    <x v="0"/>
    <n v="4"/>
    <n v="11"/>
    <n v="2004"/>
    <x v="3"/>
    <n v="127"/>
    <n v="-27"/>
    <x v="192"/>
    <x v="5"/>
    <x v="54"/>
    <x v="1"/>
    <x v="1"/>
    <x v="1"/>
  </r>
  <r>
    <x v="6"/>
    <n v="100"/>
    <n v="2900"/>
    <x v="160"/>
    <x v="0"/>
    <n v="4"/>
    <n v="12"/>
    <n v="2004"/>
    <x v="3"/>
    <n v="127"/>
    <n v="-27"/>
    <x v="192"/>
    <x v="5"/>
    <x v="2"/>
    <x v="1"/>
    <x v="1"/>
    <x v="1"/>
  </r>
  <r>
    <x v="26"/>
    <n v="100"/>
    <n v="2700"/>
    <x v="183"/>
    <x v="5"/>
    <n v="1"/>
    <n v="1"/>
    <n v="2005"/>
    <x v="3"/>
    <n v="127"/>
    <n v="-27"/>
    <x v="192"/>
    <x v="5"/>
    <x v="3"/>
    <x v="0"/>
    <x v="0"/>
    <x v="1"/>
  </r>
  <r>
    <x v="23"/>
    <n v="100"/>
    <n v="4000"/>
    <x v="176"/>
    <x v="0"/>
    <n v="1"/>
    <n v="2"/>
    <n v="2005"/>
    <x v="3"/>
    <n v="127"/>
    <n v="-27"/>
    <x v="192"/>
    <x v="5"/>
    <x v="20"/>
    <x v="7"/>
    <x v="1"/>
    <x v="1"/>
  </r>
  <r>
    <x v="28"/>
    <n v="98.99"/>
    <n v="3068.69"/>
    <x v="162"/>
    <x v="0"/>
    <n v="1"/>
    <n v="3"/>
    <n v="2005"/>
    <x v="3"/>
    <n v="127"/>
    <n v="-28.010000000000005"/>
    <x v="194"/>
    <x v="5"/>
    <x v="33"/>
    <x v="0"/>
    <x v="0"/>
    <x v="1"/>
  </r>
  <r>
    <x v="44"/>
    <n v="100"/>
    <n v="600"/>
    <x v="208"/>
    <x v="0"/>
    <n v="2"/>
    <n v="4"/>
    <n v="2005"/>
    <x v="3"/>
    <n v="127"/>
    <n v="-27"/>
    <x v="192"/>
    <x v="5"/>
    <x v="22"/>
    <x v="9"/>
    <x v="2"/>
    <x v="0"/>
  </r>
  <r>
    <x v="3"/>
    <n v="100"/>
    <n v="4500"/>
    <x v="202"/>
    <x v="2"/>
    <n v="2"/>
    <n v="5"/>
    <n v="2005"/>
    <x v="3"/>
    <n v="127"/>
    <n v="-27"/>
    <x v="192"/>
    <x v="5"/>
    <x v="17"/>
    <x v="3"/>
    <x v="2"/>
    <x v="1"/>
  </r>
  <r>
    <x v="8"/>
    <n v="54.09"/>
    <n v="1189.98"/>
    <x v="26"/>
    <x v="0"/>
    <n v="1"/>
    <n v="1"/>
    <n v="2003"/>
    <x v="2"/>
    <n v="60"/>
    <n v="-5.9099999999999966"/>
    <x v="195"/>
    <x v="3"/>
    <x v="14"/>
    <x v="2"/>
    <x v="1"/>
    <x v="0"/>
  </r>
  <r>
    <x v="3"/>
    <n v="68.67"/>
    <n v="3090.15"/>
    <x v="89"/>
    <x v="0"/>
    <n v="2"/>
    <n v="4"/>
    <n v="2003"/>
    <x v="2"/>
    <n v="60"/>
    <n v="8.6700000000000017"/>
    <x v="196"/>
    <x v="0"/>
    <x v="2"/>
    <x v="1"/>
    <x v="1"/>
    <x v="1"/>
  </r>
  <r>
    <x v="30"/>
    <n v="65.02"/>
    <n v="2795.8599999999997"/>
    <x v="28"/>
    <x v="0"/>
    <n v="2"/>
    <n v="5"/>
    <n v="2003"/>
    <x v="2"/>
    <n v="60"/>
    <n v="5.019999999999996"/>
    <x v="197"/>
    <x v="0"/>
    <x v="20"/>
    <x v="7"/>
    <x v="1"/>
    <x v="0"/>
  </r>
  <r>
    <x v="12"/>
    <n v="61.99"/>
    <n v="2851.54"/>
    <x v="29"/>
    <x v="0"/>
    <n v="3"/>
    <n v="7"/>
    <n v="2003"/>
    <x v="2"/>
    <n v="60"/>
    <n v="1.990000000000002"/>
    <x v="198"/>
    <x v="0"/>
    <x v="5"/>
    <x v="0"/>
    <x v="0"/>
    <x v="0"/>
  </r>
  <r>
    <x v="25"/>
    <n v="69.28"/>
    <n v="2701.92"/>
    <x v="145"/>
    <x v="0"/>
    <n v="3"/>
    <n v="9"/>
    <n v="2003"/>
    <x v="2"/>
    <n v="60"/>
    <n v="9.2800000000000011"/>
    <x v="199"/>
    <x v="0"/>
    <x v="50"/>
    <x v="4"/>
    <x v="1"/>
    <x v="0"/>
  </r>
  <r>
    <x v="28"/>
    <n v="71.099999999999994"/>
    <n v="2204.1"/>
    <x v="121"/>
    <x v="0"/>
    <n v="4"/>
    <n v="10"/>
    <n v="2003"/>
    <x v="2"/>
    <n v="60"/>
    <n v="11.099999999999994"/>
    <x v="200"/>
    <x v="0"/>
    <x v="22"/>
    <x v="9"/>
    <x v="2"/>
    <x v="0"/>
  </r>
  <r>
    <x v="2"/>
    <n v="69.28"/>
    <n v="2840.48"/>
    <x v="32"/>
    <x v="0"/>
    <n v="4"/>
    <n v="11"/>
    <n v="2003"/>
    <x v="2"/>
    <n v="60"/>
    <n v="9.2800000000000011"/>
    <x v="199"/>
    <x v="0"/>
    <x v="41"/>
    <x v="6"/>
    <x v="1"/>
    <x v="0"/>
  </r>
  <r>
    <x v="27"/>
    <n v="60.16"/>
    <n v="2647.04"/>
    <x v="69"/>
    <x v="0"/>
    <n v="4"/>
    <n v="11"/>
    <n v="2003"/>
    <x v="2"/>
    <n v="60"/>
    <n v="0.15999999999999659"/>
    <x v="201"/>
    <x v="2"/>
    <x v="64"/>
    <x v="7"/>
    <x v="1"/>
    <x v="0"/>
  </r>
  <r>
    <x v="3"/>
    <n v="70.489999999999995"/>
    <n v="3172.0499999999997"/>
    <x v="34"/>
    <x v="0"/>
    <n v="4"/>
    <n v="11"/>
    <n v="2003"/>
    <x v="2"/>
    <n v="60"/>
    <n v="10.489999999999995"/>
    <x v="202"/>
    <x v="0"/>
    <x v="25"/>
    <x v="1"/>
    <x v="1"/>
    <x v="1"/>
  </r>
  <r>
    <x v="9"/>
    <n v="69.89"/>
    <n v="2585.9299999999998"/>
    <x v="91"/>
    <x v="0"/>
    <n v="4"/>
    <n v="12"/>
    <n v="2003"/>
    <x v="2"/>
    <n v="60"/>
    <n v="9.89"/>
    <x v="203"/>
    <x v="0"/>
    <x v="48"/>
    <x v="0"/>
    <x v="0"/>
    <x v="0"/>
  </r>
  <r>
    <x v="21"/>
    <n v="61.38"/>
    <n v="2148.3000000000002"/>
    <x v="92"/>
    <x v="0"/>
    <n v="1"/>
    <n v="2"/>
    <n v="2004"/>
    <x v="2"/>
    <n v="60"/>
    <n v="1.3800000000000026"/>
    <x v="204"/>
    <x v="0"/>
    <x v="22"/>
    <x v="9"/>
    <x v="2"/>
    <x v="0"/>
  </r>
  <r>
    <x v="11"/>
    <n v="59.55"/>
    <n v="1667.3999999999999"/>
    <x v="93"/>
    <x v="0"/>
    <n v="1"/>
    <n v="3"/>
    <n v="2004"/>
    <x v="2"/>
    <n v="60"/>
    <n v="-0.45000000000000284"/>
    <x v="205"/>
    <x v="4"/>
    <x v="33"/>
    <x v="0"/>
    <x v="0"/>
    <x v="0"/>
  </r>
  <r>
    <x v="0"/>
    <n v="61.99"/>
    <n v="1859.7"/>
    <x v="125"/>
    <x v="0"/>
    <n v="2"/>
    <n v="5"/>
    <n v="2004"/>
    <x v="2"/>
    <n v="60"/>
    <n v="1.990000000000002"/>
    <x v="198"/>
    <x v="0"/>
    <x v="20"/>
    <x v="7"/>
    <x v="1"/>
    <x v="0"/>
  </r>
  <r>
    <x v="0"/>
    <n v="49.22"/>
    <n v="1476.6"/>
    <x v="39"/>
    <x v="0"/>
    <n v="2"/>
    <n v="6"/>
    <n v="2004"/>
    <x v="2"/>
    <n v="60"/>
    <n v="-10.780000000000001"/>
    <x v="206"/>
    <x v="6"/>
    <x v="22"/>
    <x v="9"/>
    <x v="2"/>
    <x v="0"/>
  </r>
  <r>
    <x v="32"/>
    <n v="69.28"/>
    <n v="1732"/>
    <x v="126"/>
    <x v="0"/>
    <n v="3"/>
    <n v="7"/>
    <n v="2004"/>
    <x v="2"/>
    <n v="60"/>
    <n v="9.2800000000000011"/>
    <x v="199"/>
    <x v="0"/>
    <x v="33"/>
    <x v="0"/>
    <x v="0"/>
    <x v="0"/>
  </r>
  <r>
    <x v="6"/>
    <n v="57.73"/>
    <n v="1674.1699999999998"/>
    <x v="94"/>
    <x v="0"/>
    <n v="3"/>
    <n v="8"/>
    <n v="2004"/>
    <x v="2"/>
    <n v="60"/>
    <n v="-2.2700000000000031"/>
    <x v="207"/>
    <x v="4"/>
    <x v="15"/>
    <x v="0"/>
    <x v="0"/>
    <x v="0"/>
  </r>
  <r>
    <x v="18"/>
    <n v="57.73"/>
    <n v="1500.98"/>
    <x v="42"/>
    <x v="0"/>
    <n v="3"/>
    <n v="9"/>
    <n v="2004"/>
    <x v="2"/>
    <n v="60"/>
    <n v="-2.2700000000000031"/>
    <x v="207"/>
    <x v="4"/>
    <x v="31"/>
    <x v="8"/>
    <x v="1"/>
    <x v="0"/>
  </r>
  <r>
    <x v="2"/>
    <n v="53.48"/>
    <n v="2192.6799999999998"/>
    <x v="95"/>
    <x v="0"/>
    <n v="4"/>
    <n v="10"/>
    <n v="2004"/>
    <x v="2"/>
    <n v="60"/>
    <n v="-6.5200000000000031"/>
    <x v="208"/>
    <x v="1"/>
    <x v="12"/>
    <x v="0"/>
    <x v="0"/>
    <x v="0"/>
  </r>
  <r>
    <x v="1"/>
    <n v="52.87"/>
    <n v="1797.58"/>
    <x v="96"/>
    <x v="0"/>
    <n v="4"/>
    <n v="10"/>
    <n v="2004"/>
    <x v="2"/>
    <n v="60"/>
    <n v="-7.1300000000000026"/>
    <x v="209"/>
    <x v="1"/>
    <x v="26"/>
    <x v="10"/>
    <x v="0"/>
    <x v="0"/>
  </r>
  <r>
    <x v="21"/>
    <n v="61.21"/>
    <n v="2142.35"/>
    <x v="45"/>
    <x v="0"/>
    <n v="4"/>
    <n v="11"/>
    <n v="2004"/>
    <x v="2"/>
    <n v="60"/>
    <n v="1.2100000000000009"/>
    <x v="210"/>
    <x v="0"/>
    <x v="34"/>
    <x v="0"/>
    <x v="0"/>
    <x v="0"/>
  </r>
  <r>
    <x v="1"/>
    <n v="61.38"/>
    <n v="2086.92"/>
    <x v="97"/>
    <x v="4"/>
    <n v="4"/>
    <n v="11"/>
    <n v="2004"/>
    <x v="2"/>
    <n v="60"/>
    <n v="1.3800000000000026"/>
    <x v="204"/>
    <x v="0"/>
    <x v="21"/>
    <x v="8"/>
    <x v="1"/>
    <x v="0"/>
  </r>
  <r>
    <x v="24"/>
    <n v="100"/>
    <n v="5000"/>
    <x v="47"/>
    <x v="0"/>
    <n v="4"/>
    <n v="11"/>
    <n v="2004"/>
    <x v="2"/>
    <n v="60"/>
    <n v="40"/>
    <x v="184"/>
    <x v="0"/>
    <x v="8"/>
    <x v="3"/>
    <x v="2"/>
    <x v="1"/>
  </r>
  <r>
    <x v="2"/>
    <n v="61.99"/>
    <n v="2541.59"/>
    <x v="48"/>
    <x v="0"/>
    <n v="4"/>
    <n v="12"/>
    <n v="2004"/>
    <x v="2"/>
    <n v="60"/>
    <n v="1.990000000000002"/>
    <x v="198"/>
    <x v="0"/>
    <x v="33"/>
    <x v="0"/>
    <x v="0"/>
    <x v="0"/>
  </r>
  <r>
    <x v="8"/>
    <n v="96.86"/>
    <n v="2130.92"/>
    <x v="49"/>
    <x v="0"/>
    <n v="1"/>
    <n v="1"/>
    <n v="2005"/>
    <x v="2"/>
    <n v="60"/>
    <n v="36.86"/>
    <x v="211"/>
    <x v="0"/>
    <x v="36"/>
    <x v="3"/>
    <x v="2"/>
    <x v="0"/>
  </r>
  <r>
    <x v="21"/>
    <n v="48.62"/>
    <n v="1701.6999999999998"/>
    <x v="50"/>
    <x v="0"/>
    <n v="1"/>
    <n v="2"/>
    <n v="2005"/>
    <x v="2"/>
    <n v="60"/>
    <n v="-11.380000000000003"/>
    <x v="212"/>
    <x v="6"/>
    <x v="4"/>
    <x v="0"/>
    <x v="0"/>
    <x v="0"/>
  </r>
  <r>
    <x v="27"/>
    <n v="38.5"/>
    <n v="1694"/>
    <x v="51"/>
    <x v="0"/>
    <n v="1"/>
    <n v="3"/>
    <n v="2005"/>
    <x v="2"/>
    <n v="60"/>
    <n v="-21.5"/>
    <x v="213"/>
    <x v="5"/>
    <x v="36"/>
    <x v="3"/>
    <x v="2"/>
    <x v="0"/>
  </r>
  <r>
    <x v="20"/>
    <n v="61.99"/>
    <n v="2913.53"/>
    <x v="147"/>
    <x v="0"/>
    <n v="2"/>
    <n v="5"/>
    <n v="2005"/>
    <x v="2"/>
    <n v="60"/>
    <n v="1.990000000000002"/>
    <x v="198"/>
    <x v="0"/>
    <x v="20"/>
    <x v="7"/>
    <x v="1"/>
    <x v="0"/>
  </r>
  <r>
    <x v="34"/>
    <n v="49.22"/>
    <n v="935.18"/>
    <x v="53"/>
    <x v="2"/>
    <n v="2"/>
    <n v="5"/>
    <n v="2005"/>
    <x v="2"/>
    <n v="60"/>
    <n v="-10.780000000000001"/>
    <x v="206"/>
    <x v="6"/>
    <x v="11"/>
    <x v="1"/>
    <x v="1"/>
    <x v="0"/>
  </r>
  <r>
    <x v="1"/>
    <n v="90.39"/>
    <n v="3073.26"/>
    <x v="186"/>
    <x v="0"/>
    <n v="1"/>
    <n v="2"/>
    <n v="2003"/>
    <x v="4"/>
    <n v="84"/>
    <n v="6.3900000000000006"/>
    <x v="214"/>
    <x v="0"/>
    <x v="69"/>
    <x v="12"/>
    <x v="1"/>
    <x v="1"/>
  </r>
  <r>
    <x v="6"/>
    <n v="71.81"/>
    <n v="2082.4900000000002"/>
    <x v="54"/>
    <x v="0"/>
    <n v="2"/>
    <n v="4"/>
    <n v="2003"/>
    <x v="4"/>
    <n v="84"/>
    <n v="-12.189999999999998"/>
    <x v="215"/>
    <x v="1"/>
    <x v="8"/>
    <x v="3"/>
    <x v="2"/>
    <x v="0"/>
  </r>
  <r>
    <x v="4"/>
    <n v="69.27"/>
    <n v="3394.23"/>
    <x v="209"/>
    <x v="0"/>
    <n v="2"/>
    <n v="6"/>
    <n v="2003"/>
    <x v="4"/>
    <n v="84"/>
    <n v="-14.730000000000004"/>
    <x v="216"/>
    <x v="6"/>
    <x v="20"/>
    <x v="7"/>
    <x v="1"/>
    <x v="1"/>
  </r>
  <r>
    <x v="0"/>
    <n v="85.32"/>
    <n v="2559.6"/>
    <x v="3"/>
    <x v="0"/>
    <n v="3"/>
    <n v="8"/>
    <n v="2003"/>
    <x v="4"/>
    <n v="84"/>
    <n v="1.3199999999999932"/>
    <x v="217"/>
    <x v="0"/>
    <x v="3"/>
    <x v="0"/>
    <x v="0"/>
    <x v="0"/>
  </r>
  <r>
    <x v="15"/>
    <n v="70.959999999999994"/>
    <n v="1490.1599999999999"/>
    <x v="5"/>
    <x v="0"/>
    <n v="4"/>
    <n v="10"/>
    <n v="2003"/>
    <x v="4"/>
    <n v="84"/>
    <n v="-13.040000000000006"/>
    <x v="218"/>
    <x v="6"/>
    <x v="5"/>
    <x v="0"/>
    <x v="0"/>
    <x v="0"/>
  </r>
  <r>
    <x v="24"/>
    <n v="76.88"/>
    <n v="3844"/>
    <x v="55"/>
    <x v="0"/>
    <n v="1"/>
    <n v="1"/>
    <n v="2004"/>
    <x v="4"/>
    <n v="84"/>
    <n v="-7.1200000000000045"/>
    <x v="219"/>
    <x v="3"/>
    <x v="38"/>
    <x v="11"/>
    <x v="3"/>
    <x v="1"/>
  </r>
  <r>
    <x v="20"/>
    <n v="100"/>
    <n v="4700"/>
    <x v="10"/>
    <x v="0"/>
    <n v="1"/>
    <n v="2"/>
    <n v="2004"/>
    <x v="4"/>
    <n v="84"/>
    <n v="16"/>
    <x v="220"/>
    <x v="0"/>
    <x v="8"/>
    <x v="3"/>
    <x v="2"/>
    <x v="1"/>
  </r>
  <r>
    <x v="16"/>
    <n v="76.03"/>
    <n v="1824.72"/>
    <x v="210"/>
    <x v="0"/>
    <n v="2"/>
    <n v="4"/>
    <n v="2004"/>
    <x v="4"/>
    <n v="84"/>
    <n v="-7.9699999999999989"/>
    <x v="221"/>
    <x v="3"/>
    <x v="47"/>
    <x v="10"/>
    <x v="0"/>
    <x v="0"/>
  </r>
  <r>
    <x v="26"/>
    <n v="98.84"/>
    <n v="2668.6800000000003"/>
    <x v="189"/>
    <x v="0"/>
    <n v="2"/>
    <n v="5"/>
    <n v="2004"/>
    <x v="4"/>
    <n v="84"/>
    <n v="14.840000000000003"/>
    <x v="222"/>
    <x v="0"/>
    <x v="51"/>
    <x v="0"/>
    <x v="0"/>
    <x v="0"/>
  </r>
  <r>
    <x v="29"/>
    <n v="86.17"/>
    <n v="2843.61"/>
    <x v="13"/>
    <x v="0"/>
    <n v="2"/>
    <n v="6"/>
    <n v="2004"/>
    <x v="4"/>
    <n v="84"/>
    <n v="2.1700000000000017"/>
    <x v="223"/>
    <x v="0"/>
    <x v="10"/>
    <x v="0"/>
    <x v="0"/>
    <x v="0"/>
  </r>
  <r>
    <x v="21"/>
    <n v="90.39"/>
    <n v="3163.65"/>
    <x v="14"/>
    <x v="0"/>
    <n v="3"/>
    <n v="7"/>
    <n v="2004"/>
    <x v="4"/>
    <n v="84"/>
    <n v="6.3900000000000006"/>
    <x v="214"/>
    <x v="0"/>
    <x v="11"/>
    <x v="1"/>
    <x v="1"/>
    <x v="1"/>
  </r>
  <r>
    <x v="28"/>
    <n v="71.81"/>
    <n v="2226.11"/>
    <x v="191"/>
    <x v="0"/>
    <n v="3"/>
    <n v="8"/>
    <n v="2004"/>
    <x v="4"/>
    <n v="84"/>
    <n v="-12.189999999999998"/>
    <x v="215"/>
    <x v="1"/>
    <x v="68"/>
    <x v="2"/>
    <x v="1"/>
    <x v="0"/>
  </r>
  <r>
    <x v="32"/>
    <n v="82.79"/>
    <n v="2069.75"/>
    <x v="211"/>
    <x v="0"/>
    <n v="3"/>
    <n v="9"/>
    <n v="2004"/>
    <x v="4"/>
    <n v="84"/>
    <n v="-1.2099999999999937"/>
    <x v="224"/>
    <x v="4"/>
    <x v="60"/>
    <x v="18"/>
    <x v="1"/>
    <x v="0"/>
  </r>
  <r>
    <x v="26"/>
    <n v="82.79"/>
    <n v="2235.3300000000004"/>
    <x v="17"/>
    <x v="0"/>
    <n v="4"/>
    <n v="10"/>
    <n v="2004"/>
    <x v="4"/>
    <n v="84"/>
    <n v="-1.2099999999999937"/>
    <x v="224"/>
    <x v="4"/>
    <x v="39"/>
    <x v="0"/>
    <x v="0"/>
    <x v="0"/>
  </r>
  <r>
    <x v="28"/>
    <n v="100"/>
    <n v="3100"/>
    <x v="18"/>
    <x v="0"/>
    <n v="4"/>
    <n v="11"/>
    <n v="2004"/>
    <x v="4"/>
    <n v="84"/>
    <n v="16"/>
    <x v="220"/>
    <x v="0"/>
    <x v="15"/>
    <x v="0"/>
    <x v="0"/>
    <x v="1"/>
  </r>
  <r>
    <x v="3"/>
    <n v="100"/>
    <n v="4500"/>
    <x v="193"/>
    <x v="5"/>
    <n v="4"/>
    <n v="11"/>
    <n v="2004"/>
    <x v="4"/>
    <n v="84"/>
    <n v="16"/>
    <x v="220"/>
    <x v="0"/>
    <x v="40"/>
    <x v="13"/>
    <x v="1"/>
    <x v="1"/>
  </r>
  <r>
    <x v="26"/>
    <n v="100"/>
    <n v="2700"/>
    <x v="58"/>
    <x v="0"/>
    <n v="4"/>
    <n v="11"/>
    <n v="2004"/>
    <x v="4"/>
    <n v="84"/>
    <n v="16"/>
    <x v="220"/>
    <x v="0"/>
    <x v="29"/>
    <x v="11"/>
    <x v="3"/>
    <x v="0"/>
  </r>
  <r>
    <x v="26"/>
    <n v="100"/>
    <n v="2700"/>
    <x v="212"/>
    <x v="0"/>
    <n v="4"/>
    <n v="12"/>
    <n v="2004"/>
    <x v="4"/>
    <n v="84"/>
    <n v="16"/>
    <x v="220"/>
    <x v="0"/>
    <x v="63"/>
    <x v="0"/>
    <x v="0"/>
    <x v="1"/>
  </r>
  <r>
    <x v="13"/>
    <n v="69.27"/>
    <n v="2909.3399999999997"/>
    <x v="59"/>
    <x v="0"/>
    <n v="1"/>
    <n v="2"/>
    <n v="2005"/>
    <x v="4"/>
    <n v="84"/>
    <n v="-14.730000000000004"/>
    <x v="216"/>
    <x v="6"/>
    <x v="23"/>
    <x v="3"/>
    <x v="2"/>
    <x v="0"/>
  </r>
  <r>
    <x v="15"/>
    <n v="74.77"/>
    <n v="1570.1699999999998"/>
    <x v="196"/>
    <x v="5"/>
    <n v="1"/>
    <n v="3"/>
    <n v="2005"/>
    <x v="4"/>
    <n v="84"/>
    <n v="-9.230000000000004"/>
    <x v="225"/>
    <x v="1"/>
    <x v="20"/>
    <x v="7"/>
    <x v="1"/>
    <x v="0"/>
  </r>
  <r>
    <x v="1"/>
    <n v="76.88"/>
    <n v="2613.92"/>
    <x v="197"/>
    <x v="0"/>
    <n v="1"/>
    <n v="3"/>
    <n v="2005"/>
    <x v="4"/>
    <n v="84"/>
    <n v="-7.1200000000000045"/>
    <x v="219"/>
    <x v="3"/>
    <x v="1"/>
    <x v="1"/>
    <x v="1"/>
    <x v="0"/>
  </r>
  <r>
    <x v="13"/>
    <n v="76.03"/>
    <n v="3193.26"/>
    <x v="213"/>
    <x v="4"/>
    <n v="2"/>
    <n v="4"/>
    <n v="2005"/>
    <x v="4"/>
    <n v="84"/>
    <n v="-7.9699999999999989"/>
    <x v="221"/>
    <x v="3"/>
    <x v="9"/>
    <x v="0"/>
    <x v="0"/>
    <x v="1"/>
  </r>
  <r>
    <x v="45"/>
    <n v="98.84"/>
    <n v="1482.6000000000001"/>
    <x v="198"/>
    <x v="0"/>
    <n v="2"/>
    <n v="5"/>
    <n v="2005"/>
    <x v="4"/>
    <n v="84"/>
    <n v="14.840000000000003"/>
    <x v="222"/>
    <x v="0"/>
    <x v="57"/>
    <x v="12"/>
    <x v="1"/>
    <x v="0"/>
  </r>
  <r>
    <x v="6"/>
    <n v="70.87"/>
    <n v="2055.23"/>
    <x v="0"/>
    <x v="0"/>
    <n v="1"/>
    <n v="2"/>
    <n v="2003"/>
    <x v="0"/>
    <n v="60"/>
    <n v="10.870000000000005"/>
    <x v="226"/>
    <x v="0"/>
    <x v="0"/>
    <x v="0"/>
    <x v="0"/>
    <x v="0"/>
  </r>
  <r>
    <x v="12"/>
    <n v="58.15"/>
    <n v="2674.9"/>
    <x v="54"/>
    <x v="0"/>
    <n v="2"/>
    <n v="4"/>
    <n v="2003"/>
    <x v="0"/>
    <n v="60"/>
    <n v="-1.8500000000000014"/>
    <x v="227"/>
    <x v="4"/>
    <x v="8"/>
    <x v="3"/>
    <x v="2"/>
    <x v="0"/>
  </r>
  <r>
    <x v="0"/>
    <n v="61.78"/>
    <n v="1853.4"/>
    <x v="2"/>
    <x v="0"/>
    <n v="3"/>
    <n v="7"/>
    <n v="2003"/>
    <x v="0"/>
    <n v="60"/>
    <n v="1.7800000000000011"/>
    <x v="228"/>
    <x v="0"/>
    <x v="2"/>
    <x v="1"/>
    <x v="1"/>
    <x v="0"/>
  </r>
  <r>
    <x v="0"/>
    <n v="49.67"/>
    <n v="1490.1000000000001"/>
    <x v="3"/>
    <x v="0"/>
    <n v="3"/>
    <n v="8"/>
    <n v="2003"/>
    <x v="0"/>
    <n v="60"/>
    <n v="-10.329999999999998"/>
    <x v="229"/>
    <x v="6"/>
    <x v="3"/>
    <x v="0"/>
    <x v="0"/>
    <x v="0"/>
  </r>
  <r>
    <x v="13"/>
    <n v="51.48"/>
    <n v="2162.16"/>
    <x v="4"/>
    <x v="0"/>
    <n v="4"/>
    <n v="10"/>
    <n v="2003"/>
    <x v="0"/>
    <n v="60"/>
    <n v="-8.5200000000000031"/>
    <x v="230"/>
    <x v="1"/>
    <x v="4"/>
    <x v="0"/>
    <x v="0"/>
    <x v="0"/>
  </r>
  <r>
    <x v="12"/>
    <n v="61.18"/>
    <n v="2814.28"/>
    <x v="5"/>
    <x v="0"/>
    <n v="4"/>
    <n v="10"/>
    <n v="2003"/>
    <x v="0"/>
    <n v="60"/>
    <n v="1.1799999999999997"/>
    <x v="231"/>
    <x v="0"/>
    <x v="5"/>
    <x v="0"/>
    <x v="0"/>
    <x v="0"/>
  </r>
  <r>
    <x v="32"/>
    <n v="64.2"/>
    <n v="1605"/>
    <x v="6"/>
    <x v="0"/>
    <n v="4"/>
    <n v="11"/>
    <n v="2003"/>
    <x v="0"/>
    <n v="60"/>
    <n v="4.2000000000000028"/>
    <x v="232"/>
    <x v="0"/>
    <x v="6"/>
    <x v="1"/>
    <x v="1"/>
    <x v="0"/>
  </r>
  <r>
    <x v="22"/>
    <n v="65.42"/>
    <n v="2093.44"/>
    <x v="7"/>
    <x v="0"/>
    <n v="4"/>
    <n v="11"/>
    <n v="2003"/>
    <x v="0"/>
    <n v="60"/>
    <n v="5.4200000000000017"/>
    <x v="233"/>
    <x v="0"/>
    <x v="7"/>
    <x v="2"/>
    <x v="1"/>
    <x v="0"/>
  </r>
  <r>
    <x v="0"/>
    <n v="64.81"/>
    <n v="1944.3000000000002"/>
    <x v="8"/>
    <x v="0"/>
    <n v="4"/>
    <n v="12"/>
    <n v="2003"/>
    <x v="0"/>
    <n v="60"/>
    <n v="4.8100000000000023"/>
    <x v="234"/>
    <x v="0"/>
    <x v="4"/>
    <x v="0"/>
    <x v="0"/>
    <x v="0"/>
  </r>
  <r>
    <x v="23"/>
    <n v="49.67"/>
    <n v="1986.8000000000002"/>
    <x v="55"/>
    <x v="0"/>
    <n v="1"/>
    <n v="1"/>
    <n v="2004"/>
    <x v="0"/>
    <n v="60"/>
    <n v="-10.329999999999998"/>
    <x v="229"/>
    <x v="6"/>
    <x v="38"/>
    <x v="11"/>
    <x v="3"/>
    <x v="0"/>
  </r>
  <r>
    <x v="11"/>
    <n v="60.57"/>
    <n v="1695.96"/>
    <x v="10"/>
    <x v="0"/>
    <n v="1"/>
    <n v="2"/>
    <n v="2004"/>
    <x v="0"/>
    <n v="60"/>
    <n v="0.57000000000000028"/>
    <x v="235"/>
    <x v="0"/>
    <x v="8"/>
    <x v="3"/>
    <x v="2"/>
    <x v="0"/>
  </r>
  <r>
    <x v="10"/>
    <n v="55.72"/>
    <n v="1281.56"/>
    <x v="56"/>
    <x v="0"/>
    <n v="2"/>
    <n v="4"/>
    <n v="2004"/>
    <x v="0"/>
    <n v="60"/>
    <n v="-4.2800000000000011"/>
    <x v="236"/>
    <x v="3"/>
    <x v="24"/>
    <x v="0"/>
    <x v="0"/>
    <x v="0"/>
  </r>
  <r>
    <x v="6"/>
    <n v="61.18"/>
    <n v="1774.22"/>
    <x v="12"/>
    <x v="0"/>
    <n v="2"/>
    <n v="5"/>
    <n v="2004"/>
    <x v="0"/>
    <n v="60"/>
    <n v="1.1799999999999997"/>
    <x v="231"/>
    <x v="0"/>
    <x v="9"/>
    <x v="0"/>
    <x v="0"/>
    <x v="0"/>
  </r>
  <r>
    <x v="1"/>
    <n v="58.75"/>
    <n v="1997.5"/>
    <x v="13"/>
    <x v="0"/>
    <n v="2"/>
    <n v="6"/>
    <n v="2004"/>
    <x v="0"/>
    <n v="60"/>
    <n v="-1.25"/>
    <x v="237"/>
    <x v="4"/>
    <x v="10"/>
    <x v="0"/>
    <x v="0"/>
    <x v="0"/>
  </r>
  <r>
    <x v="9"/>
    <n v="63.6"/>
    <n v="2353.2000000000003"/>
    <x v="14"/>
    <x v="0"/>
    <n v="3"/>
    <n v="7"/>
    <n v="2004"/>
    <x v="0"/>
    <n v="60"/>
    <n v="3.6000000000000014"/>
    <x v="238"/>
    <x v="0"/>
    <x v="11"/>
    <x v="1"/>
    <x v="1"/>
    <x v="0"/>
  </r>
  <r>
    <x v="14"/>
    <n v="49.06"/>
    <n v="981.2"/>
    <x v="15"/>
    <x v="0"/>
    <n v="3"/>
    <n v="8"/>
    <n v="2004"/>
    <x v="0"/>
    <n v="60"/>
    <n v="-10.939999999999998"/>
    <x v="239"/>
    <x v="6"/>
    <x v="12"/>
    <x v="0"/>
    <x v="0"/>
    <x v="0"/>
  </r>
  <r>
    <x v="22"/>
    <n v="48.46"/>
    <n v="1550.72"/>
    <x v="57"/>
    <x v="0"/>
    <n v="3"/>
    <n v="9"/>
    <n v="2004"/>
    <x v="0"/>
    <n v="60"/>
    <n v="-11.54"/>
    <x v="240"/>
    <x v="6"/>
    <x v="11"/>
    <x v="1"/>
    <x v="1"/>
    <x v="0"/>
  </r>
  <r>
    <x v="1"/>
    <n v="52.09"/>
    <n v="1771.0600000000002"/>
    <x v="17"/>
    <x v="0"/>
    <n v="4"/>
    <n v="10"/>
    <n v="2004"/>
    <x v="0"/>
    <n v="60"/>
    <n v="-7.9099999999999966"/>
    <x v="241"/>
    <x v="1"/>
    <x v="39"/>
    <x v="0"/>
    <x v="0"/>
    <x v="0"/>
  </r>
  <r>
    <x v="13"/>
    <n v="52.7"/>
    <n v="2213.4"/>
    <x v="18"/>
    <x v="0"/>
    <n v="4"/>
    <n v="11"/>
    <n v="2004"/>
    <x v="0"/>
    <n v="60"/>
    <n v="-7.2999999999999972"/>
    <x v="242"/>
    <x v="1"/>
    <x v="15"/>
    <x v="0"/>
    <x v="0"/>
    <x v="0"/>
  </r>
  <r>
    <x v="19"/>
    <n v="100"/>
    <n v="3800"/>
    <x v="19"/>
    <x v="0"/>
    <n v="4"/>
    <n v="11"/>
    <n v="2004"/>
    <x v="0"/>
    <n v="60"/>
    <n v="40"/>
    <x v="184"/>
    <x v="0"/>
    <x v="0"/>
    <x v="0"/>
    <x v="0"/>
    <x v="1"/>
  </r>
  <r>
    <x v="0"/>
    <n v="62.16"/>
    <n v="1864.8"/>
    <x v="58"/>
    <x v="0"/>
    <n v="4"/>
    <n v="11"/>
    <n v="2004"/>
    <x v="0"/>
    <n v="60"/>
    <n v="2.1599999999999966"/>
    <x v="243"/>
    <x v="0"/>
    <x v="29"/>
    <x v="11"/>
    <x v="3"/>
    <x v="0"/>
  </r>
  <r>
    <x v="10"/>
    <n v="49.67"/>
    <n v="1142.4100000000001"/>
    <x v="61"/>
    <x v="0"/>
    <n v="1"/>
    <n v="1"/>
    <n v="2005"/>
    <x v="0"/>
    <n v="60"/>
    <n v="-10.329999999999998"/>
    <x v="229"/>
    <x v="6"/>
    <x v="5"/>
    <x v="0"/>
    <x v="0"/>
    <x v="0"/>
  </r>
  <r>
    <x v="8"/>
    <n v="53.3"/>
    <n v="1172.5999999999999"/>
    <x v="59"/>
    <x v="0"/>
    <n v="1"/>
    <n v="2"/>
    <n v="2005"/>
    <x v="0"/>
    <n v="60"/>
    <n v="-6.7000000000000028"/>
    <x v="244"/>
    <x v="1"/>
    <x v="23"/>
    <x v="3"/>
    <x v="2"/>
    <x v="0"/>
  </r>
  <r>
    <x v="25"/>
    <n v="100"/>
    <n v="3900"/>
    <x v="23"/>
    <x v="0"/>
    <n v="1"/>
    <n v="3"/>
    <n v="2005"/>
    <x v="0"/>
    <n v="60"/>
    <n v="40"/>
    <x v="184"/>
    <x v="0"/>
    <x v="31"/>
    <x v="8"/>
    <x v="1"/>
    <x v="1"/>
  </r>
  <r>
    <x v="36"/>
    <n v="55.72"/>
    <n v="3064.6"/>
    <x v="60"/>
    <x v="0"/>
    <n v="2"/>
    <n v="4"/>
    <n v="2005"/>
    <x v="0"/>
    <n v="60"/>
    <n v="-4.2800000000000011"/>
    <x v="236"/>
    <x v="3"/>
    <x v="2"/>
    <x v="1"/>
    <x v="1"/>
    <x v="1"/>
  </r>
  <r>
    <x v="5"/>
    <n v="61.18"/>
    <n v="2202.48"/>
    <x v="25"/>
    <x v="1"/>
    <n v="2"/>
    <n v="5"/>
    <n v="2005"/>
    <x v="0"/>
    <n v="60"/>
    <n v="1.1799999999999997"/>
    <x v="231"/>
    <x v="0"/>
    <x v="20"/>
    <x v="7"/>
    <x v="1"/>
    <x v="0"/>
  </r>
  <r>
    <x v="18"/>
    <n v="100"/>
    <n v="2600"/>
    <x v="206"/>
    <x v="0"/>
    <n v="1"/>
    <n v="1"/>
    <n v="2003"/>
    <x v="3"/>
    <n v="168"/>
    <n v="-68"/>
    <x v="245"/>
    <x v="5"/>
    <x v="58"/>
    <x v="16"/>
    <x v="1"/>
    <x v="1"/>
  </r>
  <r>
    <x v="28"/>
    <n v="100"/>
    <n v="3100"/>
    <x v="178"/>
    <x v="0"/>
    <n v="1"/>
    <n v="3"/>
    <n v="2003"/>
    <x v="3"/>
    <n v="168"/>
    <n v="-68"/>
    <x v="245"/>
    <x v="5"/>
    <x v="61"/>
    <x v="6"/>
    <x v="1"/>
    <x v="1"/>
  </r>
  <r>
    <x v="1"/>
    <n v="100"/>
    <n v="3400"/>
    <x v="166"/>
    <x v="0"/>
    <n v="2"/>
    <n v="5"/>
    <n v="2003"/>
    <x v="3"/>
    <n v="168"/>
    <n v="-68"/>
    <x v="245"/>
    <x v="5"/>
    <x v="8"/>
    <x v="3"/>
    <x v="2"/>
    <x v="1"/>
  </r>
  <r>
    <x v="2"/>
    <n v="100"/>
    <n v="4100"/>
    <x v="167"/>
    <x v="0"/>
    <n v="3"/>
    <n v="7"/>
    <n v="2003"/>
    <x v="3"/>
    <n v="168"/>
    <n v="-68"/>
    <x v="245"/>
    <x v="5"/>
    <x v="17"/>
    <x v="3"/>
    <x v="2"/>
    <x v="2"/>
  </r>
  <r>
    <x v="10"/>
    <n v="100"/>
    <n v="2300"/>
    <x v="168"/>
    <x v="0"/>
    <n v="3"/>
    <n v="9"/>
    <n v="2003"/>
    <x v="3"/>
    <n v="168"/>
    <n v="-68"/>
    <x v="245"/>
    <x v="5"/>
    <x v="65"/>
    <x v="0"/>
    <x v="0"/>
    <x v="1"/>
  </r>
  <r>
    <x v="7"/>
    <n v="100"/>
    <n v="4800"/>
    <x v="169"/>
    <x v="0"/>
    <n v="4"/>
    <n v="10"/>
    <n v="2003"/>
    <x v="3"/>
    <n v="168"/>
    <n v="-68"/>
    <x v="245"/>
    <x v="5"/>
    <x v="4"/>
    <x v="0"/>
    <x v="0"/>
    <x v="2"/>
  </r>
  <r>
    <x v="8"/>
    <n v="100"/>
    <n v="2200"/>
    <x v="155"/>
    <x v="0"/>
    <n v="4"/>
    <n v="11"/>
    <n v="2003"/>
    <x v="3"/>
    <n v="168"/>
    <n v="-68"/>
    <x v="245"/>
    <x v="5"/>
    <x v="69"/>
    <x v="12"/>
    <x v="1"/>
    <x v="1"/>
  </r>
  <r>
    <x v="15"/>
    <n v="100"/>
    <n v="2100"/>
    <x v="103"/>
    <x v="0"/>
    <n v="4"/>
    <n v="11"/>
    <n v="2003"/>
    <x v="3"/>
    <n v="168"/>
    <n v="-68"/>
    <x v="245"/>
    <x v="5"/>
    <x v="33"/>
    <x v="0"/>
    <x v="0"/>
    <x v="1"/>
  </r>
  <r>
    <x v="8"/>
    <n v="100"/>
    <n v="2200"/>
    <x v="170"/>
    <x v="0"/>
    <n v="4"/>
    <n v="11"/>
    <n v="2003"/>
    <x v="3"/>
    <n v="168"/>
    <n v="-68"/>
    <x v="245"/>
    <x v="5"/>
    <x v="70"/>
    <x v="3"/>
    <x v="2"/>
    <x v="1"/>
  </r>
  <r>
    <x v="23"/>
    <n v="100"/>
    <n v="4000"/>
    <x v="171"/>
    <x v="0"/>
    <n v="4"/>
    <n v="12"/>
    <n v="2003"/>
    <x v="3"/>
    <n v="168"/>
    <n v="-68"/>
    <x v="245"/>
    <x v="5"/>
    <x v="20"/>
    <x v="7"/>
    <x v="1"/>
    <x v="2"/>
  </r>
  <r>
    <x v="24"/>
    <n v="100"/>
    <n v="5000"/>
    <x v="200"/>
    <x v="0"/>
    <n v="1"/>
    <n v="1"/>
    <n v="2004"/>
    <x v="3"/>
    <n v="168"/>
    <n v="-68"/>
    <x v="245"/>
    <x v="5"/>
    <x v="20"/>
    <x v="7"/>
    <x v="1"/>
    <x v="2"/>
  </r>
  <r>
    <x v="6"/>
    <n v="100"/>
    <n v="2900"/>
    <x v="172"/>
    <x v="0"/>
    <n v="1"/>
    <n v="3"/>
    <n v="2004"/>
    <x v="3"/>
    <n v="168"/>
    <n v="-68"/>
    <x v="245"/>
    <x v="5"/>
    <x v="25"/>
    <x v="1"/>
    <x v="1"/>
    <x v="1"/>
  </r>
  <r>
    <x v="30"/>
    <n v="100"/>
    <n v="4300"/>
    <x v="173"/>
    <x v="0"/>
    <n v="2"/>
    <n v="4"/>
    <n v="2004"/>
    <x v="3"/>
    <n v="168"/>
    <n v="-68"/>
    <x v="245"/>
    <x v="5"/>
    <x v="20"/>
    <x v="7"/>
    <x v="1"/>
    <x v="1"/>
  </r>
  <r>
    <x v="16"/>
    <n v="100"/>
    <n v="2400"/>
    <x v="214"/>
    <x v="0"/>
    <n v="2"/>
    <n v="6"/>
    <n v="2004"/>
    <x v="3"/>
    <n v="168"/>
    <n v="-68"/>
    <x v="245"/>
    <x v="5"/>
    <x v="66"/>
    <x v="1"/>
    <x v="1"/>
    <x v="1"/>
  </r>
  <r>
    <x v="8"/>
    <n v="100"/>
    <n v="2200"/>
    <x v="41"/>
    <x v="0"/>
    <n v="3"/>
    <n v="8"/>
    <n v="2004"/>
    <x v="3"/>
    <n v="168"/>
    <n v="-68"/>
    <x v="245"/>
    <x v="5"/>
    <x v="30"/>
    <x v="12"/>
    <x v="1"/>
    <x v="1"/>
  </r>
  <r>
    <x v="30"/>
    <n v="100"/>
    <n v="4300"/>
    <x v="175"/>
    <x v="0"/>
    <n v="3"/>
    <n v="9"/>
    <n v="2004"/>
    <x v="3"/>
    <n v="168"/>
    <n v="-68"/>
    <x v="245"/>
    <x v="5"/>
    <x v="7"/>
    <x v="2"/>
    <x v="1"/>
    <x v="2"/>
  </r>
  <r>
    <x v="14"/>
    <n v="100"/>
    <n v="2000"/>
    <x v="43"/>
    <x v="0"/>
    <n v="4"/>
    <n v="10"/>
    <n v="2004"/>
    <x v="3"/>
    <n v="168"/>
    <n v="-68"/>
    <x v="245"/>
    <x v="5"/>
    <x v="32"/>
    <x v="1"/>
    <x v="1"/>
    <x v="1"/>
  </r>
  <r>
    <x v="32"/>
    <n v="100"/>
    <n v="2500"/>
    <x v="44"/>
    <x v="0"/>
    <n v="4"/>
    <n v="10"/>
    <n v="2004"/>
    <x v="3"/>
    <n v="168"/>
    <n v="-68"/>
    <x v="245"/>
    <x v="5"/>
    <x v="33"/>
    <x v="0"/>
    <x v="0"/>
    <x v="1"/>
  </r>
  <r>
    <x v="5"/>
    <n v="100"/>
    <n v="3600"/>
    <x v="45"/>
    <x v="0"/>
    <n v="4"/>
    <n v="11"/>
    <n v="2004"/>
    <x v="3"/>
    <n v="168"/>
    <n v="-68"/>
    <x v="245"/>
    <x v="5"/>
    <x v="34"/>
    <x v="0"/>
    <x v="0"/>
    <x v="1"/>
  </r>
  <r>
    <x v="16"/>
    <n v="52.67"/>
    <n v="1264.08"/>
    <x v="159"/>
    <x v="0"/>
    <n v="4"/>
    <n v="11"/>
    <n v="2004"/>
    <x v="3"/>
    <n v="168"/>
    <n v="-115.33"/>
    <x v="246"/>
    <x v="5"/>
    <x v="61"/>
    <x v="6"/>
    <x v="1"/>
    <x v="0"/>
  </r>
  <r>
    <x v="15"/>
    <n v="100"/>
    <n v="2100"/>
    <x v="47"/>
    <x v="0"/>
    <n v="4"/>
    <n v="11"/>
    <n v="2004"/>
    <x v="3"/>
    <n v="168"/>
    <n v="-68"/>
    <x v="245"/>
    <x v="5"/>
    <x v="8"/>
    <x v="3"/>
    <x v="2"/>
    <x v="1"/>
  </r>
  <r>
    <x v="0"/>
    <n v="100"/>
    <n v="3000"/>
    <x v="160"/>
    <x v="0"/>
    <n v="4"/>
    <n v="12"/>
    <n v="2004"/>
    <x v="3"/>
    <n v="168"/>
    <n v="-68"/>
    <x v="245"/>
    <x v="5"/>
    <x v="2"/>
    <x v="1"/>
    <x v="1"/>
    <x v="1"/>
  </r>
  <r>
    <x v="22"/>
    <n v="94.79"/>
    <n v="3033.28"/>
    <x v="183"/>
    <x v="5"/>
    <n v="1"/>
    <n v="1"/>
    <n v="2005"/>
    <x v="3"/>
    <n v="168"/>
    <n v="-73.209999999999994"/>
    <x v="247"/>
    <x v="5"/>
    <x v="3"/>
    <x v="0"/>
    <x v="0"/>
    <x v="1"/>
  </r>
  <r>
    <x v="15"/>
    <n v="47.18"/>
    <n v="990.78"/>
    <x v="176"/>
    <x v="0"/>
    <n v="1"/>
    <n v="2"/>
    <n v="2005"/>
    <x v="3"/>
    <n v="168"/>
    <n v="-120.82"/>
    <x v="248"/>
    <x v="5"/>
    <x v="20"/>
    <x v="7"/>
    <x v="1"/>
    <x v="0"/>
  </r>
  <r>
    <x v="18"/>
    <n v="78.11"/>
    <n v="2030.86"/>
    <x v="162"/>
    <x v="0"/>
    <n v="1"/>
    <n v="3"/>
    <n v="2005"/>
    <x v="3"/>
    <n v="168"/>
    <n v="-89.89"/>
    <x v="249"/>
    <x v="5"/>
    <x v="33"/>
    <x v="0"/>
    <x v="0"/>
    <x v="0"/>
  </r>
  <r>
    <x v="21"/>
    <n v="100"/>
    <n v="3500"/>
    <x v="202"/>
    <x v="2"/>
    <n v="2"/>
    <n v="5"/>
    <n v="2005"/>
    <x v="3"/>
    <n v="168"/>
    <n v="-68"/>
    <x v="245"/>
    <x v="5"/>
    <x v="33"/>
    <x v="0"/>
    <x v="0"/>
    <x v="1"/>
  </r>
  <r>
    <x v="18"/>
    <n v="100"/>
    <n v="2600"/>
    <x v="151"/>
    <x v="0"/>
    <n v="1"/>
    <n v="3"/>
    <n v="2003"/>
    <x v="1"/>
    <n v="132"/>
    <n v="-32"/>
    <x v="250"/>
    <x v="5"/>
    <x v="24"/>
    <x v="0"/>
    <x v="0"/>
    <x v="1"/>
  </r>
  <r>
    <x v="12"/>
    <n v="100"/>
    <n v="4600"/>
    <x v="179"/>
    <x v="0"/>
    <n v="2"/>
    <n v="5"/>
    <n v="2003"/>
    <x v="1"/>
    <n v="132"/>
    <n v="-32"/>
    <x v="250"/>
    <x v="5"/>
    <x v="11"/>
    <x v="1"/>
    <x v="1"/>
    <x v="1"/>
  </r>
  <r>
    <x v="9"/>
    <n v="100"/>
    <n v="3700"/>
    <x v="180"/>
    <x v="0"/>
    <n v="3"/>
    <n v="7"/>
    <n v="2003"/>
    <x v="1"/>
    <n v="132"/>
    <n v="-32"/>
    <x v="250"/>
    <x v="5"/>
    <x v="1"/>
    <x v="1"/>
    <x v="1"/>
    <x v="1"/>
  </r>
  <r>
    <x v="26"/>
    <n v="100"/>
    <n v="2700"/>
    <x v="153"/>
    <x v="0"/>
    <n v="3"/>
    <n v="9"/>
    <n v="2003"/>
    <x v="1"/>
    <n v="132"/>
    <n v="-32"/>
    <x v="250"/>
    <x v="5"/>
    <x v="36"/>
    <x v="3"/>
    <x v="2"/>
    <x v="1"/>
  </r>
  <r>
    <x v="10"/>
    <n v="100"/>
    <n v="2300"/>
    <x v="154"/>
    <x v="0"/>
    <n v="4"/>
    <n v="10"/>
    <n v="2003"/>
    <x v="1"/>
    <n v="132"/>
    <n v="-32"/>
    <x v="250"/>
    <x v="5"/>
    <x v="62"/>
    <x v="13"/>
    <x v="1"/>
    <x v="1"/>
  </r>
  <r>
    <x v="25"/>
    <n v="100"/>
    <n v="3900"/>
    <x v="155"/>
    <x v="0"/>
    <n v="4"/>
    <n v="11"/>
    <n v="2003"/>
    <x v="1"/>
    <n v="132"/>
    <n v="-32"/>
    <x v="250"/>
    <x v="5"/>
    <x v="10"/>
    <x v="0"/>
    <x v="0"/>
    <x v="1"/>
  </r>
  <r>
    <x v="26"/>
    <n v="100"/>
    <n v="2700"/>
    <x v="103"/>
    <x v="0"/>
    <n v="4"/>
    <n v="11"/>
    <n v="2003"/>
    <x v="1"/>
    <n v="132"/>
    <n v="-32"/>
    <x v="250"/>
    <x v="5"/>
    <x v="7"/>
    <x v="2"/>
    <x v="1"/>
    <x v="1"/>
  </r>
  <r>
    <x v="19"/>
    <n v="100"/>
    <n v="3800"/>
    <x v="104"/>
    <x v="0"/>
    <n v="4"/>
    <n v="11"/>
    <n v="2003"/>
    <x v="1"/>
    <n v="132"/>
    <n v="-32"/>
    <x v="250"/>
    <x v="5"/>
    <x v="34"/>
    <x v="0"/>
    <x v="0"/>
    <x v="1"/>
  </r>
  <r>
    <x v="26"/>
    <n v="100"/>
    <n v="2700"/>
    <x v="105"/>
    <x v="0"/>
    <n v="4"/>
    <n v="12"/>
    <n v="2003"/>
    <x v="1"/>
    <n v="132"/>
    <n v="-32"/>
    <x v="250"/>
    <x v="5"/>
    <x v="0"/>
    <x v="0"/>
    <x v="0"/>
    <x v="1"/>
  </r>
  <r>
    <x v="23"/>
    <n v="100"/>
    <n v="4000"/>
    <x v="138"/>
    <x v="0"/>
    <n v="1"/>
    <n v="1"/>
    <n v="2004"/>
    <x v="1"/>
    <n v="132"/>
    <n v="-32"/>
    <x v="250"/>
    <x v="5"/>
    <x v="20"/>
    <x v="7"/>
    <x v="1"/>
    <x v="1"/>
  </r>
  <r>
    <x v="16"/>
    <n v="100"/>
    <n v="2400"/>
    <x v="181"/>
    <x v="0"/>
    <n v="1"/>
    <n v="2"/>
    <n v="2004"/>
    <x v="1"/>
    <n v="132"/>
    <n v="-32"/>
    <x v="250"/>
    <x v="5"/>
    <x v="45"/>
    <x v="0"/>
    <x v="0"/>
    <x v="1"/>
  </r>
  <r>
    <x v="27"/>
    <n v="100"/>
    <n v="4400"/>
    <x v="156"/>
    <x v="0"/>
    <n v="2"/>
    <n v="4"/>
    <n v="2004"/>
    <x v="1"/>
    <n v="132"/>
    <n v="-32"/>
    <x v="250"/>
    <x v="5"/>
    <x v="66"/>
    <x v="1"/>
    <x v="1"/>
    <x v="1"/>
  </r>
  <r>
    <x v="9"/>
    <n v="100"/>
    <n v="3700"/>
    <x v="108"/>
    <x v="3"/>
    <n v="2"/>
    <n v="6"/>
    <n v="2004"/>
    <x v="1"/>
    <n v="132"/>
    <n v="-32"/>
    <x v="250"/>
    <x v="5"/>
    <x v="19"/>
    <x v="6"/>
    <x v="1"/>
    <x v="1"/>
  </r>
  <r>
    <x v="14"/>
    <n v="100"/>
    <n v="2000"/>
    <x v="109"/>
    <x v="0"/>
    <n v="3"/>
    <n v="7"/>
    <n v="2004"/>
    <x v="1"/>
    <n v="132"/>
    <n v="-32"/>
    <x v="250"/>
    <x v="5"/>
    <x v="57"/>
    <x v="12"/>
    <x v="1"/>
    <x v="0"/>
  </r>
  <r>
    <x v="25"/>
    <n v="100"/>
    <n v="3900"/>
    <x v="157"/>
    <x v="0"/>
    <n v="3"/>
    <n v="8"/>
    <n v="2004"/>
    <x v="1"/>
    <n v="132"/>
    <n v="-32"/>
    <x v="250"/>
    <x v="5"/>
    <x v="67"/>
    <x v="0"/>
    <x v="0"/>
    <x v="1"/>
  </r>
  <r>
    <x v="27"/>
    <n v="100"/>
    <n v="4400"/>
    <x v="111"/>
    <x v="0"/>
    <n v="3"/>
    <n v="8"/>
    <n v="2004"/>
    <x v="1"/>
    <n v="132"/>
    <n v="-32"/>
    <x v="250"/>
    <x v="5"/>
    <x v="56"/>
    <x v="17"/>
    <x v="1"/>
    <x v="1"/>
  </r>
  <r>
    <x v="8"/>
    <n v="100"/>
    <n v="2200"/>
    <x v="158"/>
    <x v="0"/>
    <n v="4"/>
    <n v="10"/>
    <n v="2003"/>
    <x v="1"/>
    <n v="132"/>
    <n v="-32"/>
    <x v="250"/>
    <x v="5"/>
    <x v="68"/>
    <x v="2"/>
    <x v="1"/>
    <x v="1"/>
  </r>
  <r>
    <x v="30"/>
    <n v="100"/>
    <n v="4300"/>
    <x v="113"/>
    <x v="0"/>
    <n v="4"/>
    <n v="10"/>
    <n v="2004"/>
    <x v="1"/>
    <n v="132"/>
    <n v="-32"/>
    <x v="250"/>
    <x v="5"/>
    <x v="20"/>
    <x v="7"/>
    <x v="1"/>
    <x v="1"/>
  </r>
  <r>
    <x v="26"/>
    <n v="100"/>
    <n v="2700"/>
    <x v="45"/>
    <x v="0"/>
    <n v="4"/>
    <n v="11"/>
    <n v="2004"/>
    <x v="1"/>
    <n v="132"/>
    <n v="-32"/>
    <x v="250"/>
    <x v="5"/>
    <x v="18"/>
    <x v="0"/>
    <x v="0"/>
    <x v="0"/>
  </r>
  <r>
    <x v="18"/>
    <n v="64.900000000000006"/>
    <n v="1687.4"/>
    <x v="159"/>
    <x v="0"/>
    <n v="4"/>
    <n v="11"/>
    <n v="2004"/>
    <x v="1"/>
    <n v="132"/>
    <n v="-67.099999999999994"/>
    <x v="251"/>
    <x v="5"/>
    <x v="24"/>
    <x v="0"/>
    <x v="0"/>
    <x v="0"/>
  </r>
  <r>
    <x v="32"/>
    <n v="52.32"/>
    <n v="1308"/>
    <x v="20"/>
    <x v="0"/>
    <n v="4"/>
    <n v="11"/>
    <n v="2004"/>
    <x v="1"/>
    <n v="132"/>
    <n v="-79.680000000000007"/>
    <x v="252"/>
    <x v="5"/>
    <x v="1"/>
    <x v="1"/>
    <x v="1"/>
    <x v="0"/>
  </r>
  <r>
    <x v="4"/>
    <n v="100"/>
    <n v="4900"/>
    <x v="203"/>
    <x v="0"/>
    <n v="1"/>
    <n v="1"/>
    <n v="2005"/>
    <x v="1"/>
    <n v="132"/>
    <n v="-32"/>
    <x v="250"/>
    <x v="5"/>
    <x v="72"/>
    <x v="14"/>
    <x v="1"/>
    <x v="1"/>
  </r>
  <r>
    <x v="6"/>
    <n v="100"/>
    <n v="2900"/>
    <x v="184"/>
    <x v="0"/>
    <n v="1"/>
    <n v="2"/>
    <n v="2005"/>
    <x v="1"/>
    <n v="132"/>
    <n v="-32"/>
    <x v="250"/>
    <x v="5"/>
    <x v="20"/>
    <x v="7"/>
    <x v="1"/>
    <x v="1"/>
  </r>
  <r>
    <x v="2"/>
    <n v="100"/>
    <n v="4100"/>
    <x v="185"/>
    <x v="4"/>
    <n v="2"/>
    <n v="4"/>
    <n v="2005"/>
    <x v="1"/>
    <n v="132"/>
    <n v="-32"/>
    <x v="250"/>
    <x v="5"/>
    <x v="51"/>
    <x v="0"/>
    <x v="0"/>
    <x v="1"/>
  </r>
  <r>
    <x v="36"/>
    <n v="100"/>
    <n v="5500"/>
    <x v="116"/>
    <x v="0"/>
    <n v="2"/>
    <n v="5"/>
    <n v="2005"/>
    <x v="1"/>
    <n v="132"/>
    <n v="-32"/>
    <x v="250"/>
    <x v="5"/>
    <x v="16"/>
    <x v="5"/>
    <x v="1"/>
    <x v="2"/>
  </r>
  <r>
    <x v="26"/>
    <n v="83.07"/>
    <n v="2242.89"/>
    <x v="26"/>
    <x v="0"/>
    <n v="1"/>
    <n v="1"/>
    <n v="2003"/>
    <x v="3"/>
    <n v="101"/>
    <n v="-17.930000000000007"/>
    <x v="253"/>
    <x v="6"/>
    <x v="14"/>
    <x v="2"/>
    <x v="1"/>
    <x v="0"/>
  </r>
  <r>
    <x v="10"/>
    <n v="100"/>
    <n v="2300"/>
    <x v="27"/>
    <x v="0"/>
    <n v="1"/>
    <n v="3"/>
    <n v="2003"/>
    <x v="3"/>
    <n v="101"/>
    <n v="-1"/>
    <x v="254"/>
    <x v="4"/>
    <x v="21"/>
    <x v="8"/>
    <x v="1"/>
    <x v="0"/>
  </r>
  <r>
    <x v="28"/>
    <n v="90.17"/>
    <n v="2795.27"/>
    <x v="28"/>
    <x v="0"/>
    <n v="2"/>
    <n v="5"/>
    <n v="2003"/>
    <x v="3"/>
    <n v="101"/>
    <n v="-10.829999999999998"/>
    <x v="255"/>
    <x v="1"/>
    <x v="20"/>
    <x v="7"/>
    <x v="1"/>
    <x v="0"/>
  </r>
  <r>
    <x v="12"/>
    <n v="100"/>
    <n v="4600"/>
    <x v="167"/>
    <x v="0"/>
    <n v="3"/>
    <n v="7"/>
    <n v="2003"/>
    <x v="3"/>
    <n v="101"/>
    <n v="-1"/>
    <x v="254"/>
    <x v="4"/>
    <x v="17"/>
    <x v="3"/>
    <x v="2"/>
    <x v="1"/>
  </r>
  <r>
    <x v="20"/>
    <n v="91.18"/>
    <n v="4285.46"/>
    <x v="30"/>
    <x v="0"/>
    <n v="3"/>
    <n v="9"/>
    <n v="2003"/>
    <x v="3"/>
    <n v="101"/>
    <n v="-9.8199999999999932"/>
    <x v="256"/>
    <x v="3"/>
    <x v="22"/>
    <x v="9"/>
    <x v="2"/>
    <x v="1"/>
  </r>
  <r>
    <x v="28"/>
    <n v="100"/>
    <n v="3100"/>
    <x v="31"/>
    <x v="0"/>
    <n v="4"/>
    <n v="10"/>
    <n v="2003"/>
    <x v="3"/>
    <n v="101"/>
    <n v="-1"/>
    <x v="254"/>
    <x v="4"/>
    <x v="0"/>
    <x v="0"/>
    <x v="0"/>
    <x v="1"/>
  </r>
  <r>
    <x v="12"/>
    <n v="100"/>
    <n v="4600"/>
    <x v="32"/>
    <x v="0"/>
    <n v="4"/>
    <n v="11"/>
    <n v="2003"/>
    <x v="3"/>
    <n v="101"/>
    <n v="-1"/>
    <x v="254"/>
    <x v="4"/>
    <x v="23"/>
    <x v="3"/>
    <x v="2"/>
    <x v="1"/>
  </r>
  <r>
    <x v="9"/>
    <n v="89.15"/>
    <n v="3298.55"/>
    <x v="33"/>
    <x v="0"/>
    <n v="4"/>
    <n v="11"/>
    <n v="2003"/>
    <x v="3"/>
    <n v="101"/>
    <n v="-11.849999999999994"/>
    <x v="257"/>
    <x v="1"/>
    <x v="24"/>
    <x v="0"/>
    <x v="0"/>
    <x v="1"/>
  </r>
  <r>
    <x v="11"/>
    <n v="93.21"/>
    <n v="2609.8799999999997"/>
    <x v="170"/>
    <x v="0"/>
    <n v="4"/>
    <n v="11"/>
    <n v="2003"/>
    <x v="3"/>
    <n v="101"/>
    <n v="-7.7900000000000063"/>
    <x v="258"/>
    <x v="3"/>
    <x v="70"/>
    <x v="3"/>
    <x v="2"/>
    <x v="0"/>
  </r>
  <r>
    <x v="9"/>
    <n v="90.17"/>
    <n v="3336.29"/>
    <x v="35"/>
    <x v="0"/>
    <n v="4"/>
    <n v="12"/>
    <n v="2003"/>
    <x v="3"/>
    <n v="101"/>
    <n v="-10.829999999999998"/>
    <x v="255"/>
    <x v="1"/>
    <x v="26"/>
    <x v="10"/>
    <x v="0"/>
    <x v="1"/>
  </r>
  <r>
    <x v="4"/>
    <n v="100"/>
    <n v="4900"/>
    <x v="36"/>
    <x v="0"/>
    <n v="1"/>
    <n v="1"/>
    <n v="2004"/>
    <x v="3"/>
    <n v="101"/>
    <n v="-1"/>
    <x v="254"/>
    <x v="4"/>
    <x v="27"/>
    <x v="0"/>
    <x v="0"/>
    <x v="1"/>
  </r>
  <r>
    <x v="16"/>
    <n v="100"/>
    <n v="2400"/>
    <x v="37"/>
    <x v="0"/>
    <n v="1"/>
    <n v="3"/>
    <n v="2004"/>
    <x v="3"/>
    <n v="101"/>
    <n v="-1"/>
    <x v="254"/>
    <x v="4"/>
    <x v="12"/>
    <x v="0"/>
    <x v="0"/>
    <x v="0"/>
  </r>
  <r>
    <x v="0"/>
    <n v="100"/>
    <n v="3000"/>
    <x v="173"/>
    <x v="0"/>
    <n v="2"/>
    <n v="4"/>
    <n v="2004"/>
    <x v="3"/>
    <n v="101"/>
    <n v="-1"/>
    <x v="254"/>
    <x v="4"/>
    <x v="20"/>
    <x v="7"/>
    <x v="1"/>
    <x v="1"/>
  </r>
  <r>
    <x v="24"/>
    <n v="88.14"/>
    <n v="4407"/>
    <x v="215"/>
    <x v="0"/>
    <n v="2"/>
    <n v="6"/>
    <n v="2004"/>
    <x v="3"/>
    <n v="101"/>
    <n v="-12.86"/>
    <x v="259"/>
    <x v="1"/>
    <x v="51"/>
    <x v="0"/>
    <x v="0"/>
    <x v="1"/>
  </r>
  <r>
    <x v="28"/>
    <n v="96.24"/>
    <n v="2983.44"/>
    <x v="40"/>
    <x v="0"/>
    <n v="3"/>
    <n v="7"/>
    <n v="2004"/>
    <x v="3"/>
    <n v="101"/>
    <n v="-4.7600000000000051"/>
    <x v="260"/>
    <x v="4"/>
    <x v="17"/>
    <x v="3"/>
    <x v="2"/>
    <x v="0"/>
  </r>
  <r>
    <x v="12"/>
    <n v="100"/>
    <n v="4600"/>
    <x v="41"/>
    <x v="0"/>
    <n v="3"/>
    <n v="8"/>
    <n v="2004"/>
    <x v="3"/>
    <n v="101"/>
    <n v="-1"/>
    <x v="254"/>
    <x v="4"/>
    <x v="30"/>
    <x v="12"/>
    <x v="1"/>
    <x v="1"/>
  </r>
  <r>
    <x v="20"/>
    <n v="100"/>
    <n v="4700"/>
    <x v="42"/>
    <x v="0"/>
    <n v="3"/>
    <n v="9"/>
    <n v="2004"/>
    <x v="3"/>
    <n v="101"/>
    <n v="-1"/>
    <x v="254"/>
    <x v="4"/>
    <x v="31"/>
    <x v="8"/>
    <x v="1"/>
    <x v="1"/>
  </r>
  <r>
    <x v="12"/>
    <n v="100"/>
    <n v="4600"/>
    <x v="43"/>
    <x v="0"/>
    <n v="4"/>
    <n v="10"/>
    <n v="2004"/>
    <x v="3"/>
    <n v="101"/>
    <n v="-1"/>
    <x v="254"/>
    <x v="4"/>
    <x v="32"/>
    <x v="1"/>
    <x v="1"/>
    <x v="1"/>
  </r>
  <r>
    <x v="9"/>
    <n v="100"/>
    <n v="3700"/>
    <x v="44"/>
    <x v="0"/>
    <n v="4"/>
    <n v="10"/>
    <n v="2004"/>
    <x v="3"/>
    <n v="101"/>
    <n v="-1"/>
    <x v="254"/>
    <x v="4"/>
    <x v="33"/>
    <x v="0"/>
    <x v="0"/>
    <x v="1"/>
  </r>
  <r>
    <x v="29"/>
    <n v="100"/>
    <n v="3300"/>
    <x v="45"/>
    <x v="0"/>
    <n v="4"/>
    <n v="11"/>
    <n v="2004"/>
    <x v="3"/>
    <n v="101"/>
    <n v="-1"/>
    <x v="254"/>
    <x v="4"/>
    <x v="34"/>
    <x v="0"/>
    <x v="0"/>
    <x v="1"/>
  </r>
  <r>
    <x v="28"/>
    <n v="90.17"/>
    <n v="2795.27"/>
    <x v="46"/>
    <x v="0"/>
    <n v="4"/>
    <n v="11"/>
    <n v="2004"/>
    <x v="3"/>
    <n v="101"/>
    <n v="-10.829999999999998"/>
    <x v="255"/>
    <x v="1"/>
    <x v="4"/>
    <x v="0"/>
    <x v="0"/>
    <x v="0"/>
  </r>
  <r>
    <x v="7"/>
    <n v="100"/>
    <n v="4800"/>
    <x v="47"/>
    <x v="0"/>
    <n v="4"/>
    <n v="11"/>
    <n v="2004"/>
    <x v="3"/>
    <n v="101"/>
    <n v="-1"/>
    <x v="254"/>
    <x v="4"/>
    <x v="8"/>
    <x v="3"/>
    <x v="2"/>
    <x v="1"/>
  </r>
  <r>
    <x v="2"/>
    <n v="87.13"/>
    <n v="3572.33"/>
    <x v="48"/>
    <x v="0"/>
    <n v="4"/>
    <n v="12"/>
    <n v="2004"/>
    <x v="3"/>
    <n v="101"/>
    <n v="-13.870000000000005"/>
    <x v="261"/>
    <x v="1"/>
    <x v="33"/>
    <x v="0"/>
    <x v="0"/>
    <x v="1"/>
  </r>
  <r>
    <x v="13"/>
    <n v="100"/>
    <n v="4200"/>
    <x v="49"/>
    <x v="0"/>
    <n v="1"/>
    <n v="1"/>
    <n v="2005"/>
    <x v="3"/>
    <n v="101"/>
    <n v="-1"/>
    <x v="254"/>
    <x v="4"/>
    <x v="35"/>
    <x v="0"/>
    <x v="0"/>
    <x v="1"/>
  </r>
  <r>
    <x v="2"/>
    <n v="100"/>
    <n v="4100"/>
    <x v="50"/>
    <x v="0"/>
    <n v="1"/>
    <n v="2"/>
    <n v="2005"/>
    <x v="3"/>
    <n v="101"/>
    <n v="-1"/>
    <x v="254"/>
    <x v="4"/>
    <x v="4"/>
    <x v="0"/>
    <x v="0"/>
    <x v="1"/>
  </r>
  <r>
    <x v="22"/>
    <n v="45.25"/>
    <n v="1448"/>
    <x v="51"/>
    <x v="0"/>
    <n v="1"/>
    <n v="3"/>
    <n v="2005"/>
    <x v="3"/>
    <n v="101"/>
    <n v="-55.75"/>
    <x v="262"/>
    <x v="5"/>
    <x v="36"/>
    <x v="3"/>
    <x v="2"/>
    <x v="0"/>
  </r>
  <r>
    <x v="37"/>
    <n v="88.14"/>
    <n v="881.4"/>
    <x v="177"/>
    <x v="2"/>
    <n v="2"/>
    <n v="5"/>
    <n v="2005"/>
    <x v="3"/>
    <n v="101"/>
    <n v="-12.86"/>
    <x v="259"/>
    <x v="1"/>
    <x v="46"/>
    <x v="14"/>
    <x v="1"/>
    <x v="0"/>
  </r>
  <r>
    <x v="21"/>
    <n v="57.46"/>
    <n v="2011.1000000000001"/>
    <x v="26"/>
    <x v="0"/>
    <n v="1"/>
    <n v="1"/>
    <n v="2003"/>
    <x v="3"/>
    <n v="62"/>
    <n v="-4.5399999999999991"/>
    <x v="263"/>
    <x v="3"/>
    <x v="14"/>
    <x v="2"/>
    <x v="1"/>
    <x v="0"/>
  </r>
  <r>
    <x v="11"/>
    <n v="64.33"/>
    <n v="1801.24"/>
    <x v="165"/>
    <x v="0"/>
    <n v="1"/>
    <n v="3"/>
    <n v="2003"/>
    <x v="3"/>
    <n v="62"/>
    <n v="2.3299999999999983"/>
    <x v="264"/>
    <x v="0"/>
    <x v="4"/>
    <x v="0"/>
    <x v="0"/>
    <x v="0"/>
  </r>
  <r>
    <x v="12"/>
    <n v="73.7"/>
    <n v="3390.2000000000003"/>
    <x v="28"/>
    <x v="0"/>
    <n v="2"/>
    <n v="5"/>
    <n v="2003"/>
    <x v="3"/>
    <n v="62"/>
    <n v="11.700000000000003"/>
    <x v="265"/>
    <x v="0"/>
    <x v="20"/>
    <x v="7"/>
    <x v="1"/>
    <x v="1"/>
  </r>
  <r>
    <x v="14"/>
    <n v="71.2"/>
    <n v="1424"/>
    <x v="167"/>
    <x v="0"/>
    <n v="3"/>
    <n v="7"/>
    <n v="2003"/>
    <x v="3"/>
    <n v="62"/>
    <n v="9.2000000000000028"/>
    <x v="266"/>
    <x v="0"/>
    <x v="17"/>
    <x v="3"/>
    <x v="2"/>
    <x v="0"/>
  </r>
  <r>
    <x v="0"/>
    <n v="49.97"/>
    <n v="1499.1"/>
    <x v="30"/>
    <x v="0"/>
    <n v="3"/>
    <n v="9"/>
    <n v="2003"/>
    <x v="3"/>
    <n v="62"/>
    <n v="-12.030000000000001"/>
    <x v="267"/>
    <x v="6"/>
    <x v="22"/>
    <x v="9"/>
    <x v="2"/>
    <x v="0"/>
  </r>
  <r>
    <x v="7"/>
    <n v="69.959999999999994"/>
    <n v="3358.08"/>
    <x v="31"/>
    <x v="0"/>
    <n v="4"/>
    <n v="10"/>
    <n v="2003"/>
    <x v="3"/>
    <n v="62"/>
    <n v="7.9599999999999937"/>
    <x v="268"/>
    <x v="0"/>
    <x v="0"/>
    <x v="0"/>
    <x v="0"/>
    <x v="1"/>
  </r>
  <r>
    <x v="11"/>
    <n v="53.72"/>
    <n v="1504.1599999999999"/>
    <x v="155"/>
    <x v="0"/>
    <n v="4"/>
    <n v="11"/>
    <n v="2003"/>
    <x v="3"/>
    <n v="62"/>
    <n v="-8.2800000000000011"/>
    <x v="269"/>
    <x v="1"/>
    <x v="69"/>
    <x v="12"/>
    <x v="1"/>
    <x v="0"/>
  </r>
  <r>
    <x v="25"/>
    <n v="68.08"/>
    <n v="2655.12"/>
    <x v="33"/>
    <x v="0"/>
    <n v="4"/>
    <n v="11"/>
    <n v="2003"/>
    <x v="3"/>
    <n v="62"/>
    <n v="6.0799999999999983"/>
    <x v="270"/>
    <x v="0"/>
    <x v="24"/>
    <x v="0"/>
    <x v="0"/>
    <x v="0"/>
  </r>
  <r>
    <x v="16"/>
    <n v="51.84"/>
    <n v="1244.1600000000001"/>
    <x v="170"/>
    <x v="0"/>
    <n v="4"/>
    <n v="11"/>
    <n v="2003"/>
    <x v="3"/>
    <n v="62"/>
    <n v="-10.159999999999997"/>
    <x v="271"/>
    <x v="6"/>
    <x v="70"/>
    <x v="3"/>
    <x v="2"/>
    <x v="0"/>
  </r>
  <r>
    <x v="11"/>
    <n v="67.459999999999994"/>
    <n v="1888.8799999999999"/>
    <x v="35"/>
    <x v="0"/>
    <n v="4"/>
    <n v="12"/>
    <n v="2003"/>
    <x v="3"/>
    <n v="62"/>
    <n v="5.4599999999999937"/>
    <x v="272"/>
    <x v="0"/>
    <x v="26"/>
    <x v="10"/>
    <x v="0"/>
    <x v="0"/>
  </r>
  <r>
    <x v="28"/>
    <n v="58.71"/>
    <n v="1820.01"/>
    <x v="36"/>
    <x v="0"/>
    <n v="1"/>
    <n v="1"/>
    <n v="2004"/>
    <x v="3"/>
    <n v="62"/>
    <n v="-3.2899999999999991"/>
    <x v="273"/>
    <x v="4"/>
    <x v="27"/>
    <x v="0"/>
    <x v="0"/>
    <x v="0"/>
  </r>
  <r>
    <x v="3"/>
    <n v="63.71"/>
    <n v="2866.95"/>
    <x v="37"/>
    <x v="0"/>
    <n v="1"/>
    <n v="3"/>
    <n v="2004"/>
    <x v="3"/>
    <n v="62"/>
    <n v="1.7100000000000009"/>
    <x v="274"/>
    <x v="0"/>
    <x v="12"/>
    <x v="0"/>
    <x v="0"/>
    <x v="0"/>
  </r>
  <r>
    <x v="16"/>
    <n v="58.09"/>
    <n v="1394.16"/>
    <x v="173"/>
    <x v="0"/>
    <n v="2"/>
    <n v="4"/>
    <n v="2004"/>
    <x v="3"/>
    <n v="62"/>
    <n v="-3.9099999999999966"/>
    <x v="275"/>
    <x v="3"/>
    <x v="20"/>
    <x v="7"/>
    <x v="1"/>
    <x v="0"/>
  </r>
  <r>
    <x v="4"/>
    <n v="53.72"/>
    <n v="2632.2799999999997"/>
    <x v="215"/>
    <x v="0"/>
    <n v="2"/>
    <n v="6"/>
    <n v="2004"/>
    <x v="3"/>
    <n v="62"/>
    <n v="-8.2800000000000011"/>
    <x v="269"/>
    <x v="1"/>
    <x v="51"/>
    <x v="0"/>
    <x v="0"/>
    <x v="0"/>
  </r>
  <r>
    <x v="22"/>
    <n v="63.08"/>
    <n v="2018.56"/>
    <x v="216"/>
    <x v="0"/>
    <n v="3"/>
    <n v="7"/>
    <n v="2004"/>
    <x v="3"/>
    <n v="62"/>
    <n v="1.0799999999999983"/>
    <x v="276"/>
    <x v="0"/>
    <x v="16"/>
    <x v="5"/>
    <x v="1"/>
    <x v="0"/>
  </r>
  <r>
    <x v="30"/>
    <n v="68.709999999999994"/>
    <n v="2954.5299999999997"/>
    <x v="41"/>
    <x v="0"/>
    <n v="3"/>
    <n v="8"/>
    <n v="2004"/>
    <x v="3"/>
    <n v="62"/>
    <n v="6.7099999999999937"/>
    <x v="277"/>
    <x v="0"/>
    <x v="30"/>
    <x v="12"/>
    <x v="1"/>
    <x v="0"/>
  </r>
  <r>
    <x v="9"/>
    <n v="50.59"/>
    <n v="1871.8300000000002"/>
    <x v="42"/>
    <x v="0"/>
    <n v="3"/>
    <n v="9"/>
    <n v="2004"/>
    <x v="3"/>
    <n v="62"/>
    <n v="-11.409999999999997"/>
    <x v="278"/>
    <x v="6"/>
    <x v="31"/>
    <x v="8"/>
    <x v="1"/>
    <x v="0"/>
  </r>
  <r>
    <x v="16"/>
    <n v="64.959999999999994"/>
    <n v="1559.04"/>
    <x v="43"/>
    <x v="0"/>
    <n v="4"/>
    <n v="10"/>
    <n v="2004"/>
    <x v="3"/>
    <n v="62"/>
    <n v="2.9599999999999937"/>
    <x v="279"/>
    <x v="0"/>
    <x v="32"/>
    <x v="1"/>
    <x v="1"/>
    <x v="0"/>
  </r>
  <r>
    <x v="21"/>
    <n v="53.72"/>
    <n v="1880.2"/>
    <x v="44"/>
    <x v="0"/>
    <n v="4"/>
    <n v="10"/>
    <n v="2004"/>
    <x v="3"/>
    <n v="62"/>
    <n v="-8.2800000000000011"/>
    <x v="269"/>
    <x v="1"/>
    <x v="33"/>
    <x v="0"/>
    <x v="0"/>
    <x v="0"/>
  </r>
  <r>
    <x v="2"/>
    <n v="29.87"/>
    <n v="1224.67"/>
    <x v="45"/>
    <x v="0"/>
    <n v="4"/>
    <n v="11"/>
    <n v="2004"/>
    <x v="3"/>
    <n v="62"/>
    <n v="-32.129999999999995"/>
    <x v="280"/>
    <x v="5"/>
    <x v="34"/>
    <x v="0"/>
    <x v="0"/>
    <x v="0"/>
  </r>
  <r>
    <x v="18"/>
    <n v="100"/>
    <n v="2600"/>
    <x v="159"/>
    <x v="0"/>
    <n v="4"/>
    <n v="11"/>
    <n v="2004"/>
    <x v="3"/>
    <n v="62"/>
    <n v="38"/>
    <x v="281"/>
    <x v="0"/>
    <x v="61"/>
    <x v="6"/>
    <x v="1"/>
    <x v="0"/>
  </r>
  <r>
    <x v="1"/>
    <n v="64.959999999999994"/>
    <n v="2208.64"/>
    <x v="47"/>
    <x v="0"/>
    <n v="4"/>
    <n v="11"/>
    <n v="2004"/>
    <x v="3"/>
    <n v="62"/>
    <n v="2.9599999999999937"/>
    <x v="279"/>
    <x v="0"/>
    <x v="8"/>
    <x v="3"/>
    <x v="2"/>
    <x v="0"/>
  </r>
  <r>
    <x v="4"/>
    <n v="70.58"/>
    <n v="3458.42"/>
    <x v="48"/>
    <x v="0"/>
    <n v="4"/>
    <n v="12"/>
    <n v="2004"/>
    <x v="3"/>
    <n v="62"/>
    <n v="8.5799999999999983"/>
    <x v="282"/>
    <x v="0"/>
    <x v="33"/>
    <x v="0"/>
    <x v="0"/>
    <x v="1"/>
  </r>
  <r>
    <x v="11"/>
    <n v="44.21"/>
    <n v="1237.8800000000001"/>
    <x v="49"/>
    <x v="0"/>
    <n v="1"/>
    <n v="1"/>
    <n v="2005"/>
    <x v="3"/>
    <n v="62"/>
    <n v="-17.79"/>
    <x v="283"/>
    <x v="5"/>
    <x v="35"/>
    <x v="0"/>
    <x v="0"/>
    <x v="0"/>
  </r>
  <r>
    <x v="23"/>
    <n v="68.08"/>
    <n v="2723.2"/>
    <x v="50"/>
    <x v="0"/>
    <n v="1"/>
    <n v="2"/>
    <n v="2005"/>
    <x v="3"/>
    <n v="62"/>
    <n v="6.0799999999999983"/>
    <x v="270"/>
    <x v="0"/>
    <x v="4"/>
    <x v="0"/>
    <x v="0"/>
    <x v="0"/>
  </r>
  <r>
    <x v="9"/>
    <n v="59.96"/>
    <n v="2218.52"/>
    <x v="217"/>
    <x v="0"/>
    <n v="1"/>
    <n v="3"/>
    <n v="2005"/>
    <x v="3"/>
    <n v="62"/>
    <n v="-2.0399999999999991"/>
    <x v="284"/>
    <x v="4"/>
    <x v="52"/>
    <x v="5"/>
    <x v="1"/>
    <x v="0"/>
  </r>
  <r>
    <x v="28"/>
    <n v="53.72"/>
    <n v="1665.32"/>
    <x v="177"/>
    <x v="2"/>
    <n v="2"/>
    <n v="5"/>
    <n v="2005"/>
    <x v="3"/>
    <n v="62"/>
    <n v="-8.2800000000000011"/>
    <x v="269"/>
    <x v="1"/>
    <x v="46"/>
    <x v="14"/>
    <x v="1"/>
    <x v="0"/>
  </r>
  <r>
    <x v="2"/>
    <n v="83.44"/>
    <n v="3421.04"/>
    <x v="186"/>
    <x v="0"/>
    <n v="1"/>
    <n v="2"/>
    <n v="2003"/>
    <x v="5"/>
    <n v="86"/>
    <n v="-2.5600000000000023"/>
    <x v="285"/>
    <x v="4"/>
    <x v="69"/>
    <x v="12"/>
    <x v="1"/>
    <x v="1"/>
  </r>
  <r>
    <x v="15"/>
    <n v="89.46"/>
    <n v="1878.6599999999999"/>
    <x v="63"/>
    <x v="0"/>
    <n v="2"/>
    <n v="4"/>
    <n v="2003"/>
    <x v="5"/>
    <n v="86"/>
    <n v="3.4599999999999937"/>
    <x v="286"/>
    <x v="0"/>
    <x v="16"/>
    <x v="5"/>
    <x v="1"/>
    <x v="0"/>
  </r>
  <r>
    <x v="23"/>
    <n v="96.34"/>
    <n v="3853.6000000000004"/>
    <x v="187"/>
    <x v="0"/>
    <n v="2"/>
    <n v="6"/>
    <n v="2003"/>
    <x v="5"/>
    <n v="86"/>
    <n v="10.340000000000003"/>
    <x v="287"/>
    <x v="0"/>
    <x v="35"/>
    <x v="0"/>
    <x v="0"/>
    <x v="1"/>
  </r>
  <r>
    <x v="12"/>
    <n v="74.84"/>
    <n v="3442.6400000000003"/>
    <x v="65"/>
    <x v="0"/>
    <n v="3"/>
    <n v="8"/>
    <n v="2003"/>
    <x v="5"/>
    <n v="86"/>
    <n v="-11.159999999999997"/>
    <x v="288"/>
    <x v="1"/>
    <x v="18"/>
    <x v="0"/>
    <x v="0"/>
    <x v="1"/>
  </r>
  <r>
    <x v="27"/>
    <n v="79.14"/>
    <n v="3482.16"/>
    <x v="66"/>
    <x v="0"/>
    <n v="4"/>
    <n v="10"/>
    <n v="2003"/>
    <x v="5"/>
    <n v="86"/>
    <n v="-6.8599999999999994"/>
    <x v="289"/>
    <x v="3"/>
    <x v="13"/>
    <x v="4"/>
    <x v="1"/>
    <x v="1"/>
  </r>
  <r>
    <x v="12"/>
    <n v="73.12"/>
    <n v="3363.5200000000004"/>
    <x v="67"/>
    <x v="3"/>
    <n v="4"/>
    <n v="10"/>
    <n v="2003"/>
    <x v="5"/>
    <n v="86"/>
    <n v="-12.879999999999995"/>
    <x v="290"/>
    <x v="1"/>
    <x v="31"/>
    <x v="8"/>
    <x v="1"/>
    <x v="1"/>
  </r>
  <r>
    <x v="2"/>
    <n v="81.72"/>
    <n v="3350.52"/>
    <x v="68"/>
    <x v="0"/>
    <n v="4"/>
    <n v="11"/>
    <n v="2003"/>
    <x v="5"/>
    <n v="86"/>
    <n v="-4.2800000000000011"/>
    <x v="291"/>
    <x v="4"/>
    <x v="42"/>
    <x v="1"/>
    <x v="1"/>
    <x v="1"/>
  </r>
  <r>
    <x v="22"/>
    <n v="89.46"/>
    <n v="2862.72"/>
    <x v="69"/>
    <x v="0"/>
    <n v="4"/>
    <n v="11"/>
    <n v="2003"/>
    <x v="5"/>
    <n v="86"/>
    <n v="3.4599999999999937"/>
    <x v="286"/>
    <x v="0"/>
    <x v="41"/>
    <x v="6"/>
    <x v="1"/>
    <x v="0"/>
  </r>
  <r>
    <x v="12"/>
    <n v="87.74"/>
    <n v="4036.04"/>
    <x v="70"/>
    <x v="0"/>
    <n v="4"/>
    <n v="11"/>
    <n v="2003"/>
    <x v="5"/>
    <n v="86"/>
    <n v="1.7399999999999949"/>
    <x v="292"/>
    <x v="0"/>
    <x v="43"/>
    <x v="7"/>
    <x v="1"/>
    <x v="1"/>
  </r>
  <r>
    <x v="11"/>
    <n v="100"/>
    <n v="2800"/>
    <x v="71"/>
    <x v="0"/>
    <n v="1"/>
    <n v="1"/>
    <n v="2004"/>
    <x v="5"/>
    <n v="86"/>
    <n v="14"/>
    <x v="293"/>
    <x v="0"/>
    <x v="44"/>
    <x v="0"/>
    <x v="0"/>
    <x v="0"/>
  </r>
  <r>
    <x v="4"/>
    <n v="94.62"/>
    <n v="4636.38"/>
    <x v="72"/>
    <x v="0"/>
    <n v="1"/>
    <n v="2"/>
    <n v="2004"/>
    <x v="5"/>
    <n v="86"/>
    <n v="8.6200000000000045"/>
    <x v="294"/>
    <x v="0"/>
    <x v="45"/>
    <x v="0"/>
    <x v="0"/>
    <x v="1"/>
  </r>
  <r>
    <x v="15"/>
    <n v="73.98"/>
    <n v="1553.5800000000002"/>
    <x v="73"/>
    <x v="3"/>
    <n v="2"/>
    <n v="5"/>
    <n v="2004"/>
    <x v="5"/>
    <n v="86"/>
    <n v="-12.019999999999996"/>
    <x v="295"/>
    <x v="1"/>
    <x v="0"/>
    <x v="0"/>
    <x v="0"/>
    <x v="0"/>
  </r>
  <r>
    <x v="22"/>
    <n v="84.3"/>
    <n v="2697.6"/>
    <x v="190"/>
    <x v="3"/>
    <n v="2"/>
    <n v="6"/>
    <n v="2004"/>
    <x v="5"/>
    <n v="86"/>
    <n v="-1.7000000000000028"/>
    <x v="296"/>
    <x v="4"/>
    <x v="20"/>
    <x v="7"/>
    <x v="1"/>
    <x v="0"/>
  </r>
  <r>
    <x v="1"/>
    <n v="98.06"/>
    <n v="3334.04"/>
    <x v="75"/>
    <x v="0"/>
    <n v="3"/>
    <n v="7"/>
    <n v="2004"/>
    <x v="5"/>
    <n v="86"/>
    <n v="12.060000000000002"/>
    <x v="297"/>
    <x v="0"/>
    <x v="46"/>
    <x v="14"/>
    <x v="1"/>
    <x v="1"/>
  </r>
  <r>
    <x v="15"/>
    <n v="98.06"/>
    <n v="2059.2600000000002"/>
    <x v="76"/>
    <x v="0"/>
    <n v="3"/>
    <n v="8"/>
    <n v="2004"/>
    <x v="5"/>
    <n v="86"/>
    <n v="12.060000000000002"/>
    <x v="297"/>
    <x v="0"/>
    <x v="47"/>
    <x v="10"/>
    <x v="0"/>
    <x v="0"/>
  </r>
  <r>
    <x v="15"/>
    <n v="96.34"/>
    <n v="2023.14"/>
    <x v="192"/>
    <x v="0"/>
    <n v="3"/>
    <n v="9"/>
    <n v="2004"/>
    <x v="5"/>
    <n v="86"/>
    <n v="10.340000000000003"/>
    <x v="287"/>
    <x v="0"/>
    <x v="71"/>
    <x v="16"/>
    <x v="1"/>
    <x v="0"/>
  </r>
  <r>
    <x v="28"/>
    <n v="83.44"/>
    <n v="2586.64"/>
    <x v="78"/>
    <x v="0"/>
    <n v="4"/>
    <n v="10"/>
    <n v="2004"/>
    <x v="5"/>
    <n v="86"/>
    <n v="-2.5600000000000023"/>
    <x v="285"/>
    <x v="4"/>
    <x v="24"/>
    <x v="0"/>
    <x v="0"/>
    <x v="0"/>
  </r>
  <r>
    <x v="15"/>
    <n v="94.62"/>
    <n v="1987.02"/>
    <x v="79"/>
    <x v="0"/>
    <n v="4"/>
    <n v="11"/>
    <n v="2004"/>
    <x v="5"/>
    <n v="86"/>
    <n v="8.6200000000000045"/>
    <x v="294"/>
    <x v="0"/>
    <x v="49"/>
    <x v="6"/>
    <x v="1"/>
    <x v="0"/>
  </r>
  <r>
    <x v="32"/>
    <n v="45.86"/>
    <n v="1146.5"/>
    <x v="193"/>
    <x v="5"/>
    <n v="4"/>
    <n v="11"/>
    <n v="2004"/>
    <x v="5"/>
    <n v="86"/>
    <n v="-40.14"/>
    <x v="298"/>
    <x v="5"/>
    <x v="40"/>
    <x v="13"/>
    <x v="1"/>
    <x v="0"/>
  </r>
  <r>
    <x v="11"/>
    <n v="82.58"/>
    <n v="2312.2399999999998"/>
    <x v="194"/>
    <x v="0"/>
    <n v="4"/>
    <n v="11"/>
    <n v="2004"/>
    <x v="5"/>
    <n v="86"/>
    <n v="-3.4200000000000017"/>
    <x v="299"/>
    <x v="4"/>
    <x v="72"/>
    <x v="14"/>
    <x v="1"/>
    <x v="0"/>
  </r>
  <r>
    <x v="30"/>
    <n v="64.97"/>
    <n v="2793.71"/>
    <x v="82"/>
    <x v="0"/>
    <n v="4"/>
    <n v="12"/>
    <n v="2004"/>
    <x v="5"/>
    <n v="86"/>
    <n v="-21.03"/>
    <x v="300"/>
    <x v="5"/>
    <x v="20"/>
    <x v="7"/>
    <x v="1"/>
    <x v="0"/>
  </r>
  <r>
    <x v="8"/>
    <n v="86.74"/>
    <n v="1908.28"/>
    <x v="84"/>
    <x v="0"/>
    <n v="1"/>
    <n v="1"/>
    <n v="2005"/>
    <x v="5"/>
    <n v="86"/>
    <n v="0.73999999999999488"/>
    <x v="301"/>
    <x v="0"/>
    <x v="50"/>
    <x v="4"/>
    <x v="1"/>
    <x v="0"/>
  </r>
  <r>
    <x v="9"/>
    <n v="93.01"/>
    <n v="3441.3700000000003"/>
    <x v="196"/>
    <x v="5"/>
    <n v="1"/>
    <n v="3"/>
    <n v="2005"/>
    <x v="5"/>
    <n v="86"/>
    <n v="7.0100000000000051"/>
    <x v="302"/>
    <x v="0"/>
    <x v="20"/>
    <x v="7"/>
    <x v="1"/>
    <x v="1"/>
  </r>
  <r>
    <x v="11"/>
    <n v="72.260000000000005"/>
    <n v="2023.2800000000002"/>
    <x v="197"/>
    <x v="0"/>
    <n v="1"/>
    <n v="3"/>
    <n v="2005"/>
    <x v="5"/>
    <n v="86"/>
    <n v="-13.739999999999995"/>
    <x v="303"/>
    <x v="6"/>
    <x v="1"/>
    <x v="1"/>
    <x v="1"/>
    <x v="0"/>
  </r>
  <r>
    <x v="0"/>
    <n v="74.84"/>
    <n v="2245.2000000000003"/>
    <x v="87"/>
    <x v="0"/>
    <n v="2"/>
    <n v="4"/>
    <n v="2005"/>
    <x v="5"/>
    <n v="86"/>
    <n v="-11.159999999999997"/>
    <x v="288"/>
    <x v="1"/>
    <x v="51"/>
    <x v="0"/>
    <x v="0"/>
    <x v="0"/>
  </r>
  <r>
    <x v="27"/>
    <n v="73.98"/>
    <n v="3255.1200000000003"/>
    <x v="88"/>
    <x v="4"/>
    <n v="2"/>
    <n v="5"/>
    <n v="2005"/>
    <x v="5"/>
    <n v="86"/>
    <n v="-12.019999999999996"/>
    <x v="295"/>
    <x v="1"/>
    <x v="48"/>
    <x v="0"/>
    <x v="0"/>
    <x v="1"/>
  </r>
  <r>
    <x v="32"/>
    <n v="100"/>
    <n v="2500"/>
    <x v="26"/>
    <x v="0"/>
    <n v="1"/>
    <n v="1"/>
    <n v="2003"/>
    <x v="3"/>
    <n v="104"/>
    <n v="-4"/>
    <x v="304"/>
    <x v="4"/>
    <x v="14"/>
    <x v="2"/>
    <x v="1"/>
    <x v="0"/>
  </r>
  <r>
    <x v="30"/>
    <n v="100"/>
    <n v="4300"/>
    <x v="165"/>
    <x v="0"/>
    <n v="1"/>
    <n v="3"/>
    <n v="2003"/>
    <x v="3"/>
    <n v="104"/>
    <n v="-4"/>
    <x v="304"/>
    <x v="4"/>
    <x v="4"/>
    <x v="0"/>
    <x v="0"/>
    <x v="1"/>
  </r>
  <r>
    <x v="0"/>
    <n v="97.39"/>
    <n v="2921.7"/>
    <x v="28"/>
    <x v="0"/>
    <n v="2"/>
    <n v="5"/>
    <n v="2003"/>
    <x v="3"/>
    <n v="104"/>
    <n v="-6.6099999999999994"/>
    <x v="305"/>
    <x v="3"/>
    <x v="20"/>
    <x v="7"/>
    <x v="1"/>
    <x v="0"/>
  </r>
  <r>
    <x v="14"/>
    <n v="90.06"/>
    <n v="1801.2"/>
    <x v="167"/>
    <x v="0"/>
    <n v="3"/>
    <n v="7"/>
    <n v="2003"/>
    <x v="3"/>
    <n v="104"/>
    <n v="-13.939999999999998"/>
    <x v="306"/>
    <x v="1"/>
    <x v="17"/>
    <x v="3"/>
    <x v="2"/>
    <x v="0"/>
  </r>
  <r>
    <x v="18"/>
    <n v="100"/>
    <n v="2600"/>
    <x v="30"/>
    <x v="0"/>
    <n v="3"/>
    <n v="9"/>
    <n v="2003"/>
    <x v="3"/>
    <n v="104"/>
    <n v="-4"/>
    <x v="304"/>
    <x v="4"/>
    <x v="22"/>
    <x v="9"/>
    <x v="2"/>
    <x v="0"/>
  </r>
  <r>
    <x v="23"/>
    <n v="100"/>
    <n v="4000"/>
    <x v="31"/>
    <x v="0"/>
    <n v="4"/>
    <n v="10"/>
    <n v="2003"/>
    <x v="3"/>
    <n v="104"/>
    <n v="-4"/>
    <x v="304"/>
    <x v="4"/>
    <x v="0"/>
    <x v="0"/>
    <x v="0"/>
    <x v="1"/>
  </r>
  <r>
    <x v="28"/>
    <n v="89.01"/>
    <n v="2759.31"/>
    <x v="155"/>
    <x v="0"/>
    <n v="4"/>
    <n v="11"/>
    <n v="2003"/>
    <x v="3"/>
    <n v="104"/>
    <n v="-14.989999999999995"/>
    <x v="307"/>
    <x v="1"/>
    <x v="69"/>
    <x v="12"/>
    <x v="1"/>
    <x v="0"/>
  </r>
  <r>
    <x v="8"/>
    <n v="100"/>
    <n v="2200"/>
    <x v="33"/>
    <x v="0"/>
    <n v="4"/>
    <n v="11"/>
    <n v="2003"/>
    <x v="3"/>
    <n v="104"/>
    <n v="-4"/>
    <x v="304"/>
    <x v="4"/>
    <x v="24"/>
    <x v="0"/>
    <x v="0"/>
    <x v="0"/>
  </r>
  <r>
    <x v="10"/>
    <n v="100"/>
    <n v="2300"/>
    <x v="170"/>
    <x v="0"/>
    <n v="4"/>
    <n v="11"/>
    <n v="2003"/>
    <x v="3"/>
    <n v="104"/>
    <n v="-4"/>
    <x v="304"/>
    <x v="4"/>
    <x v="70"/>
    <x v="3"/>
    <x v="2"/>
    <x v="0"/>
  </r>
  <r>
    <x v="0"/>
    <n v="100"/>
    <n v="3000"/>
    <x v="35"/>
    <x v="0"/>
    <n v="4"/>
    <n v="12"/>
    <n v="2003"/>
    <x v="3"/>
    <n v="104"/>
    <n v="-4"/>
    <x v="304"/>
    <x v="4"/>
    <x v="26"/>
    <x v="10"/>
    <x v="0"/>
    <x v="1"/>
  </r>
  <r>
    <x v="4"/>
    <n v="100"/>
    <n v="4900"/>
    <x v="36"/>
    <x v="0"/>
    <n v="1"/>
    <n v="1"/>
    <n v="2004"/>
    <x v="3"/>
    <n v="104"/>
    <n v="-4"/>
    <x v="304"/>
    <x v="4"/>
    <x v="27"/>
    <x v="0"/>
    <x v="0"/>
    <x v="1"/>
  </r>
  <r>
    <x v="28"/>
    <n v="100"/>
    <n v="3100"/>
    <x v="37"/>
    <x v="0"/>
    <n v="1"/>
    <n v="3"/>
    <n v="2004"/>
    <x v="3"/>
    <n v="104"/>
    <n v="-4"/>
    <x v="304"/>
    <x v="4"/>
    <x v="12"/>
    <x v="0"/>
    <x v="0"/>
    <x v="1"/>
  </r>
  <r>
    <x v="6"/>
    <n v="100"/>
    <n v="2900"/>
    <x v="173"/>
    <x v="0"/>
    <n v="2"/>
    <n v="4"/>
    <n v="2004"/>
    <x v="3"/>
    <n v="104"/>
    <n v="-4"/>
    <x v="304"/>
    <x v="4"/>
    <x v="20"/>
    <x v="7"/>
    <x v="1"/>
    <x v="1"/>
  </r>
  <r>
    <x v="9"/>
    <n v="84.82"/>
    <n v="3138.3399999999997"/>
    <x v="215"/>
    <x v="0"/>
    <n v="2"/>
    <n v="6"/>
    <n v="2004"/>
    <x v="3"/>
    <n v="104"/>
    <n v="-19.180000000000007"/>
    <x v="308"/>
    <x v="6"/>
    <x v="51"/>
    <x v="0"/>
    <x v="0"/>
    <x v="1"/>
  </r>
  <r>
    <x v="19"/>
    <n v="100"/>
    <n v="3800"/>
    <x v="40"/>
    <x v="0"/>
    <n v="3"/>
    <n v="7"/>
    <n v="2004"/>
    <x v="3"/>
    <n v="104"/>
    <n v="-4"/>
    <x v="304"/>
    <x v="4"/>
    <x v="17"/>
    <x v="3"/>
    <x v="2"/>
    <x v="1"/>
  </r>
  <r>
    <x v="6"/>
    <n v="100"/>
    <n v="2900"/>
    <x v="41"/>
    <x v="0"/>
    <n v="3"/>
    <n v="8"/>
    <n v="2004"/>
    <x v="3"/>
    <n v="104"/>
    <n v="-4"/>
    <x v="304"/>
    <x v="4"/>
    <x v="30"/>
    <x v="12"/>
    <x v="1"/>
    <x v="1"/>
  </r>
  <r>
    <x v="10"/>
    <n v="100"/>
    <n v="2300"/>
    <x v="42"/>
    <x v="0"/>
    <n v="3"/>
    <n v="9"/>
    <n v="2004"/>
    <x v="3"/>
    <n v="104"/>
    <n v="-4"/>
    <x v="304"/>
    <x v="4"/>
    <x v="31"/>
    <x v="8"/>
    <x v="1"/>
    <x v="0"/>
  </r>
  <r>
    <x v="18"/>
    <n v="85.87"/>
    <n v="2232.62"/>
    <x v="43"/>
    <x v="0"/>
    <n v="4"/>
    <n v="10"/>
    <n v="2004"/>
    <x v="3"/>
    <n v="104"/>
    <n v="-18.129999999999995"/>
    <x v="309"/>
    <x v="6"/>
    <x v="32"/>
    <x v="1"/>
    <x v="1"/>
    <x v="0"/>
  </r>
  <r>
    <x v="19"/>
    <n v="100"/>
    <n v="3800"/>
    <x v="44"/>
    <x v="0"/>
    <n v="4"/>
    <n v="10"/>
    <n v="2004"/>
    <x v="3"/>
    <n v="104"/>
    <n v="-4"/>
    <x v="304"/>
    <x v="4"/>
    <x v="33"/>
    <x v="0"/>
    <x v="0"/>
    <x v="1"/>
  </r>
  <r>
    <x v="7"/>
    <n v="47.04"/>
    <n v="2257.92"/>
    <x v="45"/>
    <x v="0"/>
    <n v="4"/>
    <n v="11"/>
    <n v="2004"/>
    <x v="3"/>
    <n v="104"/>
    <n v="-56.96"/>
    <x v="310"/>
    <x v="5"/>
    <x v="34"/>
    <x v="0"/>
    <x v="0"/>
    <x v="0"/>
  </r>
  <r>
    <x v="23"/>
    <n v="39.799999999999997"/>
    <n v="1592"/>
    <x v="159"/>
    <x v="0"/>
    <n v="4"/>
    <n v="11"/>
    <n v="2004"/>
    <x v="3"/>
    <n v="104"/>
    <n v="-64.2"/>
    <x v="311"/>
    <x v="5"/>
    <x v="61"/>
    <x v="6"/>
    <x v="1"/>
    <x v="0"/>
  </r>
  <r>
    <x v="3"/>
    <n v="100"/>
    <n v="4500"/>
    <x v="47"/>
    <x v="0"/>
    <n v="4"/>
    <n v="11"/>
    <n v="2004"/>
    <x v="3"/>
    <n v="104"/>
    <n v="-4"/>
    <x v="304"/>
    <x v="4"/>
    <x v="8"/>
    <x v="3"/>
    <x v="2"/>
    <x v="1"/>
  </r>
  <r>
    <x v="27"/>
    <n v="100"/>
    <n v="4400"/>
    <x v="48"/>
    <x v="0"/>
    <n v="4"/>
    <n v="12"/>
    <n v="2004"/>
    <x v="3"/>
    <n v="104"/>
    <n v="-4"/>
    <x v="304"/>
    <x v="4"/>
    <x v="33"/>
    <x v="0"/>
    <x v="0"/>
    <x v="1"/>
  </r>
  <r>
    <x v="15"/>
    <n v="94.22"/>
    <n v="1978.62"/>
    <x v="49"/>
    <x v="0"/>
    <n v="1"/>
    <n v="1"/>
    <n v="2005"/>
    <x v="3"/>
    <n v="104"/>
    <n v="-9.7800000000000011"/>
    <x v="312"/>
    <x v="3"/>
    <x v="35"/>
    <x v="0"/>
    <x v="0"/>
    <x v="0"/>
  </r>
  <r>
    <x v="21"/>
    <n v="100"/>
    <n v="3500"/>
    <x v="50"/>
    <x v="0"/>
    <n v="1"/>
    <n v="2"/>
    <n v="2005"/>
    <x v="3"/>
    <n v="104"/>
    <n v="-4"/>
    <x v="304"/>
    <x v="4"/>
    <x v="4"/>
    <x v="0"/>
    <x v="0"/>
    <x v="1"/>
  </r>
  <r>
    <x v="6"/>
    <n v="86.92"/>
    <n v="2520.6799999999998"/>
    <x v="217"/>
    <x v="0"/>
    <n v="1"/>
    <n v="3"/>
    <n v="2005"/>
    <x v="3"/>
    <n v="104"/>
    <n v="-17.079999999999998"/>
    <x v="313"/>
    <x v="6"/>
    <x v="52"/>
    <x v="5"/>
    <x v="1"/>
    <x v="0"/>
  </r>
  <r>
    <x v="15"/>
    <n v="84.82"/>
    <n v="1781.2199999999998"/>
    <x v="177"/>
    <x v="2"/>
    <n v="2"/>
    <n v="5"/>
    <n v="2005"/>
    <x v="3"/>
    <n v="104"/>
    <n v="-19.180000000000007"/>
    <x v="308"/>
    <x v="6"/>
    <x v="46"/>
    <x v="14"/>
    <x v="1"/>
    <x v="0"/>
  </r>
  <r>
    <x v="8"/>
    <n v="100"/>
    <n v="2200"/>
    <x v="62"/>
    <x v="0"/>
    <n v="1"/>
    <n v="2"/>
    <n v="2003"/>
    <x v="3"/>
    <n v="136"/>
    <n v="-36"/>
    <x v="22"/>
    <x v="5"/>
    <x v="40"/>
    <x v="13"/>
    <x v="1"/>
    <x v="1"/>
  </r>
  <r>
    <x v="18"/>
    <n v="100"/>
    <n v="2600"/>
    <x v="117"/>
    <x v="0"/>
    <n v="2"/>
    <n v="4"/>
    <n v="2003"/>
    <x v="3"/>
    <n v="136"/>
    <n v="-36"/>
    <x v="22"/>
    <x v="5"/>
    <x v="22"/>
    <x v="9"/>
    <x v="2"/>
    <x v="1"/>
  </r>
  <r>
    <x v="2"/>
    <n v="100"/>
    <n v="4100"/>
    <x v="218"/>
    <x v="0"/>
    <n v="2"/>
    <n v="6"/>
    <n v="2003"/>
    <x v="3"/>
    <n v="136"/>
    <n v="-36"/>
    <x v="22"/>
    <x v="5"/>
    <x v="20"/>
    <x v="7"/>
    <x v="1"/>
    <x v="1"/>
  </r>
  <r>
    <x v="20"/>
    <n v="100"/>
    <n v="4700"/>
    <x v="119"/>
    <x v="0"/>
    <n v="3"/>
    <n v="8"/>
    <n v="2003"/>
    <x v="3"/>
    <n v="136"/>
    <n v="-36"/>
    <x v="22"/>
    <x v="5"/>
    <x v="33"/>
    <x v="0"/>
    <x v="0"/>
    <x v="1"/>
  </r>
  <r>
    <x v="28"/>
    <n v="100"/>
    <n v="3100"/>
    <x v="120"/>
    <x v="0"/>
    <n v="3"/>
    <n v="9"/>
    <n v="2003"/>
    <x v="3"/>
    <n v="136"/>
    <n v="-36"/>
    <x v="22"/>
    <x v="5"/>
    <x v="20"/>
    <x v="7"/>
    <x v="1"/>
    <x v="1"/>
  </r>
  <r>
    <x v="30"/>
    <n v="100"/>
    <n v="4300"/>
    <x v="90"/>
    <x v="0"/>
    <n v="4"/>
    <n v="10"/>
    <n v="2003"/>
    <x v="3"/>
    <n v="136"/>
    <n v="-36"/>
    <x v="22"/>
    <x v="5"/>
    <x v="18"/>
    <x v="0"/>
    <x v="0"/>
    <x v="1"/>
  </r>
  <r>
    <x v="10"/>
    <n v="100"/>
    <n v="2300"/>
    <x v="219"/>
    <x v="0"/>
    <n v="4"/>
    <n v="11"/>
    <n v="2003"/>
    <x v="3"/>
    <n v="136"/>
    <n v="-36"/>
    <x v="22"/>
    <x v="5"/>
    <x v="20"/>
    <x v="7"/>
    <x v="1"/>
    <x v="1"/>
  </r>
  <r>
    <x v="11"/>
    <n v="100"/>
    <n v="2800"/>
    <x v="69"/>
    <x v="0"/>
    <n v="4"/>
    <n v="11"/>
    <n v="2003"/>
    <x v="3"/>
    <n v="136"/>
    <n v="-36"/>
    <x v="22"/>
    <x v="5"/>
    <x v="18"/>
    <x v="0"/>
    <x v="0"/>
    <x v="1"/>
  </r>
  <r>
    <x v="4"/>
    <n v="100"/>
    <n v="4900"/>
    <x v="70"/>
    <x v="0"/>
    <n v="4"/>
    <n v="11"/>
    <n v="2003"/>
    <x v="3"/>
    <n v="136"/>
    <n v="-36"/>
    <x v="22"/>
    <x v="5"/>
    <x v="28"/>
    <x v="0"/>
    <x v="0"/>
    <x v="1"/>
  </r>
  <r>
    <x v="16"/>
    <n v="100"/>
    <n v="2400"/>
    <x v="122"/>
    <x v="0"/>
    <n v="1"/>
    <n v="1"/>
    <n v="2004"/>
    <x v="3"/>
    <n v="136"/>
    <n v="-36"/>
    <x v="22"/>
    <x v="5"/>
    <x v="25"/>
    <x v="1"/>
    <x v="1"/>
    <x v="0"/>
  </r>
  <r>
    <x v="29"/>
    <n v="100"/>
    <n v="3300"/>
    <x v="220"/>
    <x v="0"/>
    <n v="1"/>
    <n v="2"/>
    <n v="2004"/>
    <x v="3"/>
    <n v="136"/>
    <n v="-36"/>
    <x v="22"/>
    <x v="5"/>
    <x v="46"/>
    <x v="14"/>
    <x v="1"/>
    <x v="1"/>
  </r>
  <r>
    <x v="8"/>
    <n v="100"/>
    <n v="2200"/>
    <x v="221"/>
    <x v="0"/>
    <n v="1"/>
    <n v="3"/>
    <n v="2004"/>
    <x v="3"/>
    <n v="136"/>
    <n v="-36"/>
    <x v="22"/>
    <x v="5"/>
    <x v="49"/>
    <x v="6"/>
    <x v="1"/>
    <x v="1"/>
  </r>
  <r>
    <x v="22"/>
    <n v="100"/>
    <n v="3200"/>
    <x v="73"/>
    <x v="3"/>
    <n v="2"/>
    <n v="5"/>
    <n v="2004"/>
    <x v="3"/>
    <n v="136"/>
    <n v="-36"/>
    <x v="22"/>
    <x v="5"/>
    <x v="0"/>
    <x v="0"/>
    <x v="0"/>
    <x v="1"/>
  </r>
  <r>
    <x v="23"/>
    <n v="100"/>
    <n v="4000"/>
    <x v="75"/>
    <x v="0"/>
    <n v="3"/>
    <n v="7"/>
    <n v="2004"/>
    <x v="3"/>
    <n v="136"/>
    <n v="-36"/>
    <x v="22"/>
    <x v="5"/>
    <x v="46"/>
    <x v="14"/>
    <x v="1"/>
    <x v="1"/>
  </r>
  <r>
    <x v="30"/>
    <n v="100"/>
    <n v="4300"/>
    <x v="76"/>
    <x v="0"/>
    <n v="3"/>
    <n v="8"/>
    <n v="2004"/>
    <x v="3"/>
    <n v="136"/>
    <n v="-36"/>
    <x v="22"/>
    <x v="5"/>
    <x v="33"/>
    <x v="0"/>
    <x v="0"/>
    <x v="1"/>
  </r>
  <r>
    <x v="16"/>
    <n v="100"/>
    <n v="2400"/>
    <x v="127"/>
    <x v="0"/>
    <n v="3"/>
    <n v="9"/>
    <n v="2004"/>
    <x v="3"/>
    <n v="136"/>
    <n v="-36"/>
    <x v="22"/>
    <x v="5"/>
    <x v="30"/>
    <x v="12"/>
    <x v="1"/>
    <x v="0"/>
  </r>
  <r>
    <x v="22"/>
    <n v="100"/>
    <n v="3200"/>
    <x v="78"/>
    <x v="0"/>
    <n v="4"/>
    <n v="10"/>
    <n v="2004"/>
    <x v="3"/>
    <n v="136"/>
    <n v="-36"/>
    <x v="22"/>
    <x v="5"/>
    <x v="61"/>
    <x v="6"/>
    <x v="1"/>
    <x v="1"/>
  </r>
  <r>
    <x v="14"/>
    <n v="100"/>
    <n v="2000"/>
    <x v="96"/>
    <x v="0"/>
    <n v="4"/>
    <n v="10"/>
    <n v="2004"/>
    <x v="3"/>
    <n v="136"/>
    <n v="-36"/>
    <x v="22"/>
    <x v="5"/>
    <x v="62"/>
    <x v="13"/>
    <x v="1"/>
    <x v="0"/>
  </r>
  <r>
    <x v="16"/>
    <n v="69.12"/>
    <n v="1658.88"/>
    <x v="80"/>
    <x v="0"/>
    <n v="4"/>
    <n v="11"/>
    <n v="2004"/>
    <x v="3"/>
    <n v="136"/>
    <n v="-66.88"/>
    <x v="314"/>
    <x v="5"/>
    <x v="14"/>
    <x v="2"/>
    <x v="1"/>
    <x v="0"/>
  </r>
  <r>
    <x v="7"/>
    <n v="100"/>
    <n v="4800"/>
    <x v="128"/>
    <x v="0"/>
    <n v="4"/>
    <n v="11"/>
    <n v="2004"/>
    <x v="3"/>
    <n v="136"/>
    <n v="-36"/>
    <x v="22"/>
    <x v="5"/>
    <x v="2"/>
    <x v="1"/>
    <x v="1"/>
    <x v="1"/>
  </r>
  <r>
    <x v="27"/>
    <n v="100"/>
    <n v="4400"/>
    <x v="82"/>
    <x v="0"/>
    <n v="4"/>
    <n v="12"/>
    <n v="2004"/>
    <x v="3"/>
    <n v="136"/>
    <n v="-36"/>
    <x v="22"/>
    <x v="5"/>
    <x v="20"/>
    <x v="7"/>
    <x v="1"/>
    <x v="1"/>
  </r>
  <r>
    <x v="11"/>
    <n v="100"/>
    <n v="2800"/>
    <x v="136"/>
    <x v="0"/>
    <n v="1"/>
    <n v="1"/>
    <n v="2005"/>
    <x v="3"/>
    <n v="136"/>
    <n v="-36"/>
    <x v="22"/>
    <x v="5"/>
    <x v="29"/>
    <x v="11"/>
    <x v="3"/>
    <x v="1"/>
  </r>
  <r>
    <x v="16"/>
    <n v="61.52"/>
    <n v="1476.48"/>
    <x v="205"/>
    <x v="0"/>
    <n v="1"/>
    <n v="2"/>
    <n v="2005"/>
    <x v="3"/>
    <n v="136"/>
    <n v="-74.47999999999999"/>
    <x v="315"/>
    <x v="5"/>
    <x v="20"/>
    <x v="7"/>
    <x v="1"/>
    <x v="0"/>
  </r>
  <r>
    <x v="29"/>
    <n v="100"/>
    <n v="3300"/>
    <x v="141"/>
    <x v="0"/>
    <n v="1"/>
    <n v="3"/>
    <n v="2005"/>
    <x v="3"/>
    <n v="136"/>
    <n v="-36"/>
    <x v="22"/>
    <x v="5"/>
    <x v="33"/>
    <x v="0"/>
    <x v="0"/>
    <x v="1"/>
  </r>
  <r>
    <x v="2"/>
    <n v="100"/>
    <n v="4100"/>
    <x v="88"/>
    <x v="4"/>
    <n v="2"/>
    <n v="5"/>
    <n v="2005"/>
    <x v="3"/>
    <n v="136"/>
    <n v="-36"/>
    <x v="22"/>
    <x v="5"/>
    <x v="48"/>
    <x v="0"/>
    <x v="0"/>
    <x v="1"/>
  </r>
  <r>
    <x v="10"/>
    <n v="100"/>
    <n v="2300"/>
    <x v="134"/>
    <x v="0"/>
    <n v="1"/>
    <n v="1"/>
    <n v="2003"/>
    <x v="1"/>
    <n v="169"/>
    <n v="-69"/>
    <x v="316"/>
    <x v="5"/>
    <x v="20"/>
    <x v="7"/>
    <x v="1"/>
    <x v="1"/>
  </r>
  <r>
    <x v="12"/>
    <n v="100"/>
    <n v="4600"/>
    <x v="151"/>
    <x v="0"/>
    <n v="1"/>
    <n v="3"/>
    <n v="2003"/>
    <x v="1"/>
    <n v="169"/>
    <n v="-69"/>
    <x v="316"/>
    <x v="5"/>
    <x v="24"/>
    <x v="0"/>
    <x v="0"/>
    <x v="2"/>
  </r>
  <r>
    <x v="7"/>
    <n v="100"/>
    <n v="4800"/>
    <x v="89"/>
    <x v="0"/>
    <n v="2"/>
    <n v="4"/>
    <n v="2003"/>
    <x v="1"/>
    <n v="169"/>
    <n v="-69"/>
    <x v="316"/>
    <x v="5"/>
    <x v="2"/>
    <x v="1"/>
    <x v="1"/>
    <x v="2"/>
  </r>
  <r>
    <x v="32"/>
    <n v="100"/>
    <n v="2500"/>
    <x v="99"/>
    <x v="0"/>
    <n v="2"/>
    <n v="5"/>
    <n v="2003"/>
    <x v="1"/>
    <n v="169"/>
    <n v="-69"/>
    <x v="316"/>
    <x v="5"/>
    <x v="54"/>
    <x v="1"/>
    <x v="1"/>
    <x v="1"/>
  </r>
  <r>
    <x v="8"/>
    <n v="100"/>
    <n v="2200"/>
    <x v="118"/>
    <x v="0"/>
    <n v="2"/>
    <n v="6"/>
    <n v="2003"/>
    <x v="1"/>
    <n v="169"/>
    <n v="-69"/>
    <x v="316"/>
    <x v="5"/>
    <x v="0"/>
    <x v="0"/>
    <x v="0"/>
    <x v="1"/>
  </r>
  <r>
    <x v="2"/>
    <n v="100"/>
    <n v="4100"/>
    <x v="152"/>
    <x v="0"/>
    <n v="3"/>
    <n v="7"/>
    <n v="2003"/>
    <x v="1"/>
    <n v="169"/>
    <n v="-69"/>
    <x v="316"/>
    <x v="5"/>
    <x v="42"/>
    <x v="1"/>
    <x v="1"/>
    <x v="2"/>
  </r>
  <r>
    <x v="1"/>
    <n v="100"/>
    <n v="3400"/>
    <x v="144"/>
    <x v="0"/>
    <n v="3"/>
    <n v="8"/>
    <n v="2003"/>
    <x v="1"/>
    <n v="169"/>
    <n v="-69"/>
    <x v="316"/>
    <x v="5"/>
    <x v="59"/>
    <x v="4"/>
    <x v="1"/>
    <x v="1"/>
  </r>
  <r>
    <x v="22"/>
    <n v="100"/>
    <n v="3200"/>
    <x v="153"/>
    <x v="0"/>
    <n v="3"/>
    <n v="9"/>
    <n v="2003"/>
    <x v="1"/>
    <n v="169"/>
    <n v="-69"/>
    <x v="316"/>
    <x v="5"/>
    <x v="36"/>
    <x v="3"/>
    <x v="2"/>
    <x v="1"/>
  </r>
  <r>
    <x v="15"/>
    <n v="100"/>
    <n v="2100"/>
    <x v="145"/>
    <x v="0"/>
    <n v="3"/>
    <n v="9"/>
    <n v="2003"/>
    <x v="1"/>
    <n v="169"/>
    <n v="-69"/>
    <x v="316"/>
    <x v="5"/>
    <x v="50"/>
    <x v="4"/>
    <x v="1"/>
    <x v="1"/>
  </r>
  <r>
    <x v="14"/>
    <n v="100"/>
    <n v="2000"/>
    <x v="137"/>
    <x v="0"/>
    <n v="4"/>
    <n v="10"/>
    <n v="2003"/>
    <x v="1"/>
    <n v="169"/>
    <n v="-69"/>
    <x v="316"/>
    <x v="5"/>
    <x v="44"/>
    <x v="0"/>
    <x v="0"/>
    <x v="1"/>
  </r>
  <r>
    <x v="20"/>
    <n v="100"/>
    <n v="4700"/>
    <x v="121"/>
    <x v="0"/>
    <n v="4"/>
    <n v="10"/>
    <n v="2003"/>
    <x v="1"/>
    <n v="169"/>
    <n v="-69"/>
    <x v="316"/>
    <x v="5"/>
    <x v="22"/>
    <x v="9"/>
    <x v="2"/>
    <x v="2"/>
  </r>
  <r>
    <x v="25"/>
    <n v="100"/>
    <n v="3900"/>
    <x v="155"/>
    <x v="0"/>
    <n v="4"/>
    <n v="11"/>
    <n v="2003"/>
    <x v="1"/>
    <n v="169"/>
    <n v="-69"/>
    <x v="316"/>
    <x v="5"/>
    <x v="37"/>
    <x v="10"/>
    <x v="0"/>
    <x v="1"/>
  </r>
  <r>
    <x v="6"/>
    <n v="100"/>
    <n v="2900"/>
    <x v="32"/>
    <x v="0"/>
    <n v="4"/>
    <n v="11"/>
    <n v="2003"/>
    <x v="1"/>
    <n v="169"/>
    <n v="-69"/>
    <x v="316"/>
    <x v="5"/>
    <x v="41"/>
    <x v="6"/>
    <x v="1"/>
    <x v="1"/>
  </r>
  <r>
    <x v="3"/>
    <n v="100"/>
    <n v="4500"/>
    <x v="103"/>
    <x v="0"/>
    <n v="4"/>
    <n v="11"/>
    <n v="2003"/>
    <x v="1"/>
    <n v="169"/>
    <n v="-69"/>
    <x v="316"/>
    <x v="5"/>
    <x v="7"/>
    <x v="2"/>
    <x v="1"/>
    <x v="1"/>
  </r>
  <r>
    <x v="11"/>
    <n v="100"/>
    <n v="2800"/>
    <x v="69"/>
    <x v="0"/>
    <n v="4"/>
    <n v="11"/>
    <n v="2003"/>
    <x v="1"/>
    <n v="169"/>
    <n v="-69"/>
    <x v="316"/>
    <x v="5"/>
    <x v="64"/>
    <x v="7"/>
    <x v="1"/>
    <x v="1"/>
  </r>
  <r>
    <x v="18"/>
    <n v="100"/>
    <n v="2600"/>
    <x v="104"/>
    <x v="0"/>
    <n v="4"/>
    <n v="11"/>
    <n v="2003"/>
    <x v="1"/>
    <n v="169"/>
    <n v="-69"/>
    <x v="316"/>
    <x v="5"/>
    <x v="34"/>
    <x v="0"/>
    <x v="0"/>
    <x v="1"/>
  </r>
  <r>
    <x v="24"/>
    <n v="100"/>
    <n v="5000"/>
    <x v="34"/>
    <x v="0"/>
    <n v="4"/>
    <n v="11"/>
    <n v="2003"/>
    <x v="1"/>
    <n v="169"/>
    <n v="-69"/>
    <x v="316"/>
    <x v="5"/>
    <x v="39"/>
    <x v="0"/>
    <x v="0"/>
    <x v="2"/>
  </r>
  <r>
    <x v="7"/>
    <n v="100"/>
    <n v="4800"/>
    <x v="105"/>
    <x v="0"/>
    <n v="4"/>
    <n v="12"/>
    <n v="2003"/>
    <x v="1"/>
    <n v="169"/>
    <n v="-69"/>
    <x v="316"/>
    <x v="5"/>
    <x v="20"/>
    <x v="7"/>
    <x v="1"/>
    <x v="2"/>
  </r>
  <r>
    <x v="32"/>
    <n v="100"/>
    <n v="2500"/>
    <x v="91"/>
    <x v="0"/>
    <n v="4"/>
    <n v="12"/>
    <n v="2003"/>
    <x v="1"/>
    <n v="169"/>
    <n v="-69"/>
    <x v="316"/>
    <x v="5"/>
    <x v="48"/>
    <x v="0"/>
    <x v="0"/>
    <x v="1"/>
  </r>
  <r>
    <x v="23"/>
    <n v="100"/>
    <n v="4000"/>
    <x v="138"/>
    <x v="0"/>
    <n v="1"/>
    <n v="1"/>
    <n v="2004"/>
    <x v="1"/>
    <n v="169"/>
    <n v="-69"/>
    <x v="316"/>
    <x v="5"/>
    <x v="20"/>
    <x v="7"/>
    <x v="1"/>
    <x v="1"/>
  </r>
  <r>
    <x v="30"/>
    <n v="100"/>
    <n v="4300"/>
    <x v="106"/>
    <x v="0"/>
    <n v="1"/>
    <n v="2"/>
    <n v="2004"/>
    <x v="1"/>
    <n v="169"/>
    <n v="-69"/>
    <x v="316"/>
    <x v="5"/>
    <x v="56"/>
    <x v="17"/>
    <x v="1"/>
    <x v="1"/>
  </r>
  <r>
    <x v="8"/>
    <n v="100"/>
    <n v="2200"/>
    <x v="93"/>
    <x v="0"/>
    <n v="1"/>
    <n v="3"/>
    <n v="2004"/>
    <x v="1"/>
    <n v="169"/>
    <n v="-69"/>
    <x v="316"/>
    <x v="5"/>
    <x v="33"/>
    <x v="0"/>
    <x v="0"/>
    <x v="1"/>
  </r>
  <r>
    <x v="20"/>
    <n v="100"/>
    <n v="4700"/>
    <x v="148"/>
    <x v="0"/>
    <n v="2"/>
    <n v="4"/>
    <n v="2004"/>
    <x v="1"/>
    <n v="169"/>
    <n v="-69"/>
    <x v="316"/>
    <x v="5"/>
    <x v="50"/>
    <x v="4"/>
    <x v="1"/>
    <x v="2"/>
  </r>
  <r>
    <x v="5"/>
    <n v="100"/>
    <n v="3600"/>
    <x v="125"/>
    <x v="0"/>
    <n v="2"/>
    <n v="5"/>
    <n v="2004"/>
    <x v="1"/>
    <n v="169"/>
    <n v="-69"/>
    <x v="316"/>
    <x v="5"/>
    <x v="20"/>
    <x v="7"/>
    <x v="1"/>
    <x v="2"/>
  </r>
  <r>
    <x v="23"/>
    <n v="100"/>
    <n v="4000"/>
    <x v="108"/>
    <x v="3"/>
    <n v="2"/>
    <n v="6"/>
    <n v="2004"/>
    <x v="1"/>
    <n v="169"/>
    <n v="-69"/>
    <x v="316"/>
    <x v="5"/>
    <x v="19"/>
    <x v="6"/>
    <x v="1"/>
    <x v="1"/>
  </r>
  <r>
    <x v="26"/>
    <n v="100"/>
    <n v="2700"/>
    <x v="39"/>
    <x v="0"/>
    <n v="2"/>
    <n v="6"/>
    <n v="2004"/>
    <x v="1"/>
    <n v="169"/>
    <n v="-69"/>
    <x v="316"/>
    <x v="5"/>
    <x v="22"/>
    <x v="9"/>
    <x v="2"/>
    <x v="1"/>
  </r>
  <r>
    <x v="6"/>
    <n v="100"/>
    <n v="2900"/>
    <x v="109"/>
    <x v="0"/>
    <n v="3"/>
    <n v="7"/>
    <n v="2004"/>
    <x v="1"/>
    <n v="169"/>
    <n v="-69"/>
    <x v="316"/>
    <x v="5"/>
    <x v="57"/>
    <x v="12"/>
    <x v="1"/>
    <x v="1"/>
  </r>
  <r>
    <x v="14"/>
    <n v="100"/>
    <n v="2000"/>
    <x v="126"/>
    <x v="0"/>
    <n v="3"/>
    <n v="7"/>
    <n v="2004"/>
    <x v="1"/>
    <n v="169"/>
    <n v="-69"/>
    <x v="316"/>
    <x v="5"/>
    <x v="33"/>
    <x v="0"/>
    <x v="0"/>
    <x v="1"/>
  </r>
  <r>
    <x v="13"/>
    <n v="100"/>
    <n v="4200"/>
    <x v="157"/>
    <x v="0"/>
    <n v="3"/>
    <n v="8"/>
    <n v="2004"/>
    <x v="1"/>
    <n v="169"/>
    <n v="-69"/>
    <x v="316"/>
    <x v="5"/>
    <x v="67"/>
    <x v="0"/>
    <x v="0"/>
    <x v="1"/>
  </r>
  <r>
    <x v="32"/>
    <n v="100"/>
    <n v="2500"/>
    <x v="94"/>
    <x v="0"/>
    <n v="3"/>
    <n v="8"/>
    <n v="2004"/>
    <x v="1"/>
    <n v="169"/>
    <n v="-69"/>
    <x v="316"/>
    <x v="5"/>
    <x v="15"/>
    <x v="0"/>
    <x v="0"/>
    <x v="1"/>
  </r>
  <r>
    <x v="5"/>
    <n v="100"/>
    <n v="3600"/>
    <x v="111"/>
    <x v="0"/>
    <n v="3"/>
    <n v="8"/>
    <n v="2004"/>
    <x v="1"/>
    <n v="169"/>
    <n v="-69"/>
    <x v="316"/>
    <x v="5"/>
    <x v="56"/>
    <x v="17"/>
    <x v="1"/>
    <x v="1"/>
  </r>
  <r>
    <x v="15"/>
    <n v="100"/>
    <n v="2100"/>
    <x v="42"/>
    <x v="0"/>
    <n v="3"/>
    <n v="9"/>
    <n v="2004"/>
    <x v="1"/>
    <n v="169"/>
    <n v="-69"/>
    <x v="316"/>
    <x v="5"/>
    <x v="0"/>
    <x v="0"/>
    <x v="0"/>
    <x v="0"/>
  </r>
  <r>
    <x v="10"/>
    <n v="100"/>
    <n v="2300"/>
    <x v="158"/>
    <x v="0"/>
    <n v="4"/>
    <n v="10"/>
    <n v="2003"/>
    <x v="1"/>
    <n v="169"/>
    <n v="-69"/>
    <x v="316"/>
    <x v="5"/>
    <x v="68"/>
    <x v="2"/>
    <x v="1"/>
    <x v="1"/>
  </r>
  <r>
    <x v="9"/>
    <n v="100"/>
    <n v="3700"/>
    <x v="95"/>
    <x v="0"/>
    <n v="4"/>
    <n v="10"/>
    <n v="2004"/>
    <x v="1"/>
    <n v="169"/>
    <n v="-69"/>
    <x v="316"/>
    <x v="5"/>
    <x v="12"/>
    <x v="0"/>
    <x v="0"/>
    <x v="2"/>
  </r>
  <r>
    <x v="7"/>
    <n v="100"/>
    <n v="4800"/>
    <x v="113"/>
    <x v="0"/>
    <n v="4"/>
    <n v="10"/>
    <n v="2004"/>
    <x v="1"/>
    <n v="169"/>
    <n v="-69"/>
    <x v="316"/>
    <x v="5"/>
    <x v="55"/>
    <x v="16"/>
    <x v="1"/>
    <x v="2"/>
  </r>
  <r>
    <x v="32"/>
    <n v="100"/>
    <n v="2500"/>
    <x v="96"/>
    <x v="0"/>
    <n v="4"/>
    <n v="10"/>
    <n v="2004"/>
    <x v="1"/>
    <n v="169"/>
    <n v="-69"/>
    <x v="316"/>
    <x v="5"/>
    <x v="26"/>
    <x v="10"/>
    <x v="0"/>
    <x v="1"/>
  </r>
  <r>
    <x v="29"/>
    <n v="100"/>
    <n v="3300"/>
    <x v="45"/>
    <x v="0"/>
    <n v="4"/>
    <n v="11"/>
    <n v="2004"/>
    <x v="1"/>
    <n v="169"/>
    <n v="-69"/>
    <x v="316"/>
    <x v="5"/>
    <x v="18"/>
    <x v="0"/>
    <x v="0"/>
    <x v="1"/>
  </r>
  <r>
    <x v="26"/>
    <n v="100"/>
    <n v="2700"/>
    <x v="80"/>
    <x v="0"/>
    <n v="4"/>
    <n v="11"/>
    <n v="2004"/>
    <x v="1"/>
    <n v="169"/>
    <n v="-69"/>
    <x v="316"/>
    <x v="5"/>
    <x v="0"/>
    <x v="0"/>
    <x v="0"/>
    <x v="1"/>
  </r>
  <r>
    <x v="26"/>
    <n v="100"/>
    <n v="2700"/>
    <x v="159"/>
    <x v="0"/>
    <n v="4"/>
    <n v="11"/>
    <n v="2004"/>
    <x v="1"/>
    <n v="169"/>
    <n v="-69"/>
    <x v="316"/>
    <x v="5"/>
    <x v="24"/>
    <x v="0"/>
    <x v="0"/>
    <x v="1"/>
  </r>
  <r>
    <x v="14"/>
    <n v="100"/>
    <n v="2000"/>
    <x v="97"/>
    <x v="4"/>
    <n v="4"/>
    <n v="11"/>
    <n v="2004"/>
    <x v="1"/>
    <n v="169"/>
    <n v="-69"/>
    <x v="316"/>
    <x v="5"/>
    <x v="21"/>
    <x v="8"/>
    <x v="1"/>
    <x v="0"/>
  </r>
  <r>
    <x v="0"/>
    <n v="100"/>
    <n v="3000"/>
    <x v="20"/>
    <x v="0"/>
    <n v="4"/>
    <n v="11"/>
    <n v="2004"/>
    <x v="1"/>
    <n v="169"/>
    <n v="-69"/>
    <x v="316"/>
    <x v="5"/>
    <x v="8"/>
    <x v="3"/>
    <x v="2"/>
    <x v="1"/>
  </r>
  <r>
    <x v="7"/>
    <n v="100"/>
    <n v="4800"/>
    <x v="140"/>
    <x v="0"/>
    <n v="4"/>
    <n v="12"/>
    <n v="2004"/>
    <x v="1"/>
    <n v="169"/>
    <n v="-69"/>
    <x v="316"/>
    <x v="5"/>
    <x v="0"/>
    <x v="0"/>
    <x v="0"/>
    <x v="2"/>
  </r>
  <r>
    <x v="22"/>
    <n v="93.49"/>
    <n v="2991.68"/>
    <x v="48"/>
    <x v="0"/>
    <n v="4"/>
    <n v="12"/>
    <n v="2004"/>
    <x v="1"/>
    <n v="169"/>
    <n v="-75.510000000000005"/>
    <x v="317"/>
    <x v="5"/>
    <x v="20"/>
    <x v="7"/>
    <x v="1"/>
    <x v="0"/>
  </r>
  <r>
    <x v="1"/>
    <n v="100"/>
    <n v="3400"/>
    <x v="203"/>
    <x v="0"/>
    <n v="1"/>
    <n v="1"/>
    <n v="2005"/>
    <x v="1"/>
    <n v="169"/>
    <n v="-69"/>
    <x v="316"/>
    <x v="5"/>
    <x v="72"/>
    <x v="14"/>
    <x v="1"/>
    <x v="1"/>
  </r>
  <r>
    <x v="26"/>
    <n v="56.85"/>
    <n v="1534.95"/>
    <x v="49"/>
    <x v="0"/>
    <n v="1"/>
    <n v="1"/>
    <n v="2005"/>
    <x v="1"/>
    <n v="169"/>
    <n v="-112.15"/>
    <x v="318"/>
    <x v="5"/>
    <x v="36"/>
    <x v="3"/>
    <x v="2"/>
    <x v="0"/>
  </r>
  <r>
    <x v="25"/>
    <n v="100"/>
    <n v="3900"/>
    <x v="142"/>
    <x v="0"/>
    <n v="1"/>
    <n v="2"/>
    <n v="2005"/>
    <x v="1"/>
    <n v="169"/>
    <n v="-69"/>
    <x v="316"/>
    <x v="5"/>
    <x v="13"/>
    <x v="4"/>
    <x v="1"/>
    <x v="2"/>
  </r>
  <r>
    <x v="20"/>
    <n v="100"/>
    <n v="4700"/>
    <x v="205"/>
    <x v="0"/>
    <n v="1"/>
    <n v="2"/>
    <n v="2005"/>
    <x v="1"/>
    <n v="169"/>
    <n v="-69"/>
    <x v="316"/>
    <x v="5"/>
    <x v="20"/>
    <x v="7"/>
    <x v="1"/>
    <x v="1"/>
  </r>
  <r>
    <x v="8"/>
    <n v="100"/>
    <n v="2200"/>
    <x v="222"/>
    <x v="0"/>
    <n v="1"/>
    <n v="3"/>
    <n v="2005"/>
    <x v="1"/>
    <n v="169"/>
    <n v="-69"/>
    <x v="316"/>
    <x v="5"/>
    <x v="20"/>
    <x v="7"/>
    <x v="1"/>
    <x v="1"/>
  </r>
  <r>
    <x v="36"/>
    <n v="100"/>
    <n v="5500"/>
    <x v="150"/>
    <x v="0"/>
    <n v="2"/>
    <n v="4"/>
    <n v="2005"/>
    <x v="1"/>
    <n v="169"/>
    <n v="-69"/>
    <x v="316"/>
    <x v="5"/>
    <x v="66"/>
    <x v="1"/>
    <x v="1"/>
    <x v="2"/>
  </r>
  <r>
    <x v="46"/>
    <n v="100"/>
    <n v="6000"/>
    <x v="147"/>
    <x v="0"/>
    <n v="2"/>
    <n v="5"/>
    <n v="2005"/>
    <x v="1"/>
    <n v="169"/>
    <n v="-69"/>
    <x v="316"/>
    <x v="5"/>
    <x v="20"/>
    <x v="7"/>
    <x v="1"/>
    <x v="2"/>
  </r>
  <r>
    <x v="21"/>
    <n v="100"/>
    <n v="3500"/>
    <x v="116"/>
    <x v="0"/>
    <n v="2"/>
    <n v="5"/>
    <n v="2005"/>
    <x v="1"/>
    <n v="169"/>
    <n v="-69"/>
    <x v="316"/>
    <x v="5"/>
    <x v="16"/>
    <x v="5"/>
    <x v="1"/>
    <x v="1"/>
  </r>
  <r>
    <x v="11"/>
    <n v="100"/>
    <n v="2800"/>
    <x v="53"/>
    <x v="2"/>
    <n v="2"/>
    <n v="5"/>
    <n v="2005"/>
    <x v="1"/>
    <n v="169"/>
    <n v="-69"/>
    <x v="316"/>
    <x v="5"/>
    <x v="11"/>
    <x v="1"/>
    <x v="1"/>
    <x v="1"/>
  </r>
  <r>
    <x v="19"/>
    <n v="100"/>
    <n v="3800"/>
    <x v="62"/>
    <x v="0"/>
    <n v="1"/>
    <n v="2"/>
    <n v="2003"/>
    <x v="6"/>
    <n v="100"/>
    <n v="0"/>
    <x v="319"/>
    <x v="2"/>
    <x v="40"/>
    <x v="13"/>
    <x v="1"/>
    <x v="1"/>
  </r>
  <r>
    <x v="15"/>
    <n v="95.8"/>
    <n v="2011.8"/>
    <x v="117"/>
    <x v="0"/>
    <n v="2"/>
    <n v="4"/>
    <n v="2003"/>
    <x v="6"/>
    <n v="100"/>
    <n v="-4.2000000000000028"/>
    <x v="320"/>
    <x v="4"/>
    <x v="22"/>
    <x v="9"/>
    <x v="2"/>
    <x v="0"/>
  </r>
  <r>
    <x v="2"/>
    <n v="100"/>
    <n v="4100"/>
    <x v="218"/>
    <x v="0"/>
    <n v="2"/>
    <n v="6"/>
    <n v="2003"/>
    <x v="6"/>
    <n v="100"/>
    <n v="0"/>
    <x v="319"/>
    <x v="2"/>
    <x v="20"/>
    <x v="7"/>
    <x v="1"/>
    <x v="1"/>
  </r>
  <r>
    <x v="8"/>
    <n v="97.81"/>
    <n v="2151.8200000000002"/>
    <x v="119"/>
    <x v="0"/>
    <n v="3"/>
    <n v="8"/>
    <n v="2003"/>
    <x v="6"/>
    <n v="100"/>
    <n v="-2.1899999999999977"/>
    <x v="321"/>
    <x v="4"/>
    <x v="33"/>
    <x v="0"/>
    <x v="0"/>
    <x v="0"/>
  </r>
  <r>
    <x v="6"/>
    <n v="88.74"/>
    <n v="2573.46"/>
    <x v="120"/>
    <x v="0"/>
    <n v="3"/>
    <n v="9"/>
    <n v="2003"/>
    <x v="6"/>
    <n v="100"/>
    <n v="-11.260000000000005"/>
    <x v="322"/>
    <x v="1"/>
    <x v="20"/>
    <x v="7"/>
    <x v="1"/>
    <x v="0"/>
  </r>
  <r>
    <x v="24"/>
    <n v="100"/>
    <n v="5000"/>
    <x v="121"/>
    <x v="0"/>
    <n v="4"/>
    <n v="10"/>
    <n v="2003"/>
    <x v="6"/>
    <n v="100"/>
    <n v="0"/>
    <x v="319"/>
    <x v="2"/>
    <x v="22"/>
    <x v="9"/>
    <x v="2"/>
    <x v="1"/>
  </r>
  <r>
    <x v="6"/>
    <n v="100"/>
    <n v="2900"/>
    <x v="219"/>
    <x v="0"/>
    <n v="4"/>
    <n v="11"/>
    <n v="2003"/>
    <x v="6"/>
    <n v="100"/>
    <n v="0"/>
    <x v="319"/>
    <x v="2"/>
    <x v="20"/>
    <x v="7"/>
    <x v="1"/>
    <x v="1"/>
  </r>
  <r>
    <x v="4"/>
    <n v="80.67"/>
    <n v="3952.83"/>
    <x v="69"/>
    <x v="0"/>
    <n v="4"/>
    <n v="11"/>
    <n v="2003"/>
    <x v="6"/>
    <n v="100"/>
    <n v="-19.329999999999998"/>
    <x v="323"/>
    <x v="6"/>
    <x v="18"/>
    <x v="0"/>
    <x v="0"/>
    <x v="1"/>
  </r>
  <r>
    <x v="21"/>
    <n v="100"/>
    <n v="3500"/>
    <x v="70"/>
    <x v="0"/>
    <n v="4"/>
    <n v="11"/>
    <n v="2003"/>
    <x v="6"/>
    <n v="100"/>
    <n v="0"/>
    <x v="319"/>
    <x v="2"/>
    <x v="28"/>
    <x v="0"/>
    <x v="0"/>
    <x v="1"/>
  </r>
  <r>
    <x v="7"/>
    <n v="100"/>
    <n v="4800"/>
    <x v="122"/>
    <x v="0"/>
    <n v="1"/>
    <n v="1"/>
    <n v="2004"/>
    <x v="6"/>
    <n v="100"/>
    <n v="0"/>
    <x v="319"/>
    <x v="2"/>
    <x v="25"/>
    <x v="1"/>
    <x v="1"/>
    <x v="1"/>
  </r>
  <r>
    <x v="10"/>
    <n v="80.67"/>
    <n v="1855.41"/>
    <x v="220"/>
    <x v="0"/>
    <n v="1"/>
    <n v="2"/>
    <n v="2004"/>
    <x v="6"/>
    <n v="100"/>
    <n v="-19.329999999999998"/>
    <x v="323"/>
    <x v="6"/>
    <x v="46"/>
    <x v="14"/>
    <x v="1"/>
    <x v="0"/>
  </r>
  <r>
    <x v="7"/>
    <n v="95.8"/>
    <n v="4598.3999999999996"/>
    <x v="221"/>
    <x v="0"/>
    <n v="1"/>
    <n v="3"/>
    <n v="2004"/>
    <x v="6"/>
    <n v="100"/>
    <n v="-4.2000000000000028"/>
    <x v="320"/>
    <x v="4"/>
    <x v="49"/>
    <x v="6"/>
    <x v="1"/>
    <x v="1"/>
  </r>
  <r>
    <x v="13"/>
    <n v="100"/>
    <n v="4200"/>
    <x v="73"/>
    <x v="3"/>
    <n v="2"/>
    <n v="5"/>
    <n v="2004"/>
    <x v="6"/>
    <n v="100"/>
    <n v="0"/>
    <x v="319"/>
    <x v="2"/>
    <x v="0"/>
    <x v="0"/>
    <x v="0"/>
    <x v="1"/>
  </r>
  <r>
    <x v="20"/>
    <n v="100"/>
    <n v="4700"/>
    <x v="75"/>
    <x v="0"/>
    <n v="3"/>
    <n v="7"/>
    <n v="2004"/>
    <x v="6"/>
    <n v="100"/>
    <n v="0"/>
    <x v="319"/>
    <x v="2"/>
    <x v="46"/>
    <x v="14"/>
    <x v="1"/>
    <x v="1"/>
  </r>
  <r>
    <x v="5"/>
    <n v="100"/>
    <n v="3600"/>
    <x v="76"/>
    <x v="0"/>
    <n v="3"/>
    <n v="8"/>
    <n v="2004"/>
    <x v="6"/>
    <n v="100"/>
    <n v="0"/>
    <x v="319"/>
    <x v="2"/>
    <x v="33"/>
    <x v="0"/>
    <x v="0"/>
    <x v="1"/>
  </r>
  <r>
    <x v="8"/>
    <n v="100"/>
    <n v="2200"/>
    <x v="127"/>
    <x v="0"/>
    <n v="3"/>
    <n v="9"/>
    <n v="2004"/>
    <x v="6"/>
    <n v="100"/>
    <n v="0"/>
    <x v="319"/>
    <x v="2"/>
    <x v="30"/>
    <x v="12"/>
    <x v="1"/>
    <x v="0"/>
  </r>
  <r>
    <x v="23"/>
    <n v="91.76"/>
    <n v="3670.4"/>
    <x v="78"/>
    <x v="0"/>
    <n v="4"/>
    <n v="10"/>
    <n v="2004"/>
    <x v="6"/>
    <n v="100"/>
    <n v="-8.2399999999999949"/>
    <x v="324"/>
    <x v="3"/>
    <x v="61"/>
    <x v="6"/>
    <x v="1"/>
    <x v="1"/>
  </r>
  <r>
    <x v="10"/>
    <n v="100"/>
    <n v="2300"/>
    <x v="96"/>
    <x v="0"/>
    <n v="4"/>
    <n v="10"/>
    <n v="2004"/>
    <x v="6"/>
    <n v="100"/>
    <n v="0"/>
    <x v="319"/>
    <x v="2"/>
    <x v="62"/>
    <x v="13"/>
    <x v="1"/>
    <x v="0"/>
  </r>
  <r>
    <x v="22"/>
    <n v="100"/>
    <n v="3200"/>
    <x v="223"/>
    <x v="0"/>
    <n v="4"/>
    <n v="11"/>
    <n v="2004"/>
    <x v="6"/>
    <n v="100"/>
    <n v="0"/>
    <x v="319"/>
    <x v="2"/>
    <x v="21"/>
    <x v="8"/>
    <x v="1"/>
    <x v="1"/>
  </r>
  <r>
    <x v="15"/>
    <n v="100"/>
    <n v="2100"/>
    <x v="128"/>
    <x v="0"/>
    <n v="4"/>
    <n v="11"/>
    <n v="2004"/>
    <x v="6"/>
    <n v="100"/>
    <n v="0"/>
    <x v="319"/>
    <x v="2"/>
    <x v="2"/>
    <x v="1"/>
    <x v="1"/>
    <x v="0"/>
  </r>
  <r>
    <x v="2"/>
    <n v="93.04"/>
    <n v="3814.6400000000003"/>
    <x v="82"/>
    <x v="0"/>
    <n v="4"/>
    <n v="12"/>
    <n v="2004"/>
    <x v="6"/>
    <n v="100"/>
    <n v="-6.9599999999999937"/>
    <x v="325"/>
    <x v="3"/>
    <x v="20"/>
    <x v="7"/>
    <x v="1"/>
    <x v="1"/>
  </r>
  <r>
    <x v="32"/>
    <n v="84.71"/>
    <n v="2117.75"/>
    <x v="136"/>
    <x v="0"/>
    <n v="1"/>
    <n v="1"/>
    <n v="2005"/>
    <x v="6"/>
    <n v="100"/>
    <n v="-15.290000000000006"/>
    <x v="326"/>
    <x v="1"/>
    <x v="29"/>
    <x v="11"/>
    <x v="3"/>
    <x v="0"/>
  </r>
  <r>
    <x v="18"/>
    <n v="100"/>
    <n v="2600"/>
    <x v="205"/>
    <x v="0"/>
    <n v="1"/>
    <n v="2"/>
    <n v="2005"/>
    <x v="6"/>
    <n v="100"/>
    <n v="0"/>
    <x v="319"/>
    <x v="2"/>
    <x v="20"/>
    <x v="7"/>
    <x v="1"/>
    <x v="1"/>
  </r>
  <r>
    <x v="16"/>
    <n v="89.75"/>
    <n v="2154"/>
    <x v="141"/>
    <x v="0"/>
    <n v="1"/>
    <n v="3"/>
    <n v="2005"/>
    <x v="6"/>
    <n v="100"/>
    <n v="-10.25"/>
    <x v="327"/>
    <x v="3"/>
    <x v="33"/>
    <x v="0"/>
    <x v="0"/>
    <x v="0"/>
  </r>
  <r>
    <x v="7"/>
    <n v="100"/>
    <n v="4800"/>
    <x v="88"/>
    <x v="4"/>
    <n v="2"/>
    <n v="5"/>
    <n v="2005"/>
    <x v="6"/>
    <n v="100"/>
    <n v="0"/>
    <x v="319"/>
    <x v="2"/>
    <x v="48"/>
    <x v="0"/>
    <x v="0"/>
    <x v="1"/>
  </r>
  <r>
    <x v="18"/>
    <n v="68.349999999999994"/>
    <n v="1777.1"/>
    <x v="98"/>
    <x v="0"/>
    <n v="1"/>
    <n v="3"/>
    <n v="2003"/>
    <x v="1"/>
    <n v="80"/>
    <n v="-11.650000000000006"/>
    <x v="328"/>
    <x v="1"/>
    <x v="53"/>
    <x v="15"/>
    <x v="2"/>
    <x v="0"/>
  </r>
  <r>
    <x v="15"/>
    <n v="73.17"/>
    <n v="1536.57"/>
    <x v="99"/>
    <x v="0"/>
    <n v="2"/>
    <n v="5"/>
    <n v="2003"/>
    <x v="1"/>
    <n v="80"/>
    <n v="-6.8299999999999983"/>
    <x v="329"/>
    <x v="3"/>
    <x v="54"/>
    <x v="1"/>
    <x v="1"/>
    <x v="0"/>
  </r>
  <r>
    <x v="3"/>
    <n v="78"/>
    <n v="3510"/>
    <x v="100"/>
    <x v="0"/>
    <n v="3"/>
    <n v="7"/>
    <n v="2003"/>
    <x v="1"/>
    <n v="80"/>
    <n v="-2"/>
    <x v="330"/>
    <x v="4"/>
    <x v="33"/>
    <x v="0"/>
    <x v="0"/>
    <x v="1"/>
  </r>
  <r>
    <x v="5"/>
    <n v="86.04"/>
    <n v="3097.44"/>
    <x v="101"/>
    <x v="0"/>
    <n v="3"/>
    <n v="9"/>
    <n v="2003"/>
    <x v="1"/>
    <n v="80"/>
    <n v="6.0400000000000063"/>
    <x v="331"/>
    <x v="0"/>
    <x v="35"/>
    <x v="0"/>
    <x v="0"/>
    <x v="1"/>
  </r>
  <r>
    <x v="15"/>
    <n v="81.209999999999994"/>
    <n v="1705.4099999999999"/>
    <x v="4"/>
    <x v="0"/>
    <n v="4"/>
    <n v="10"/>
    <n v="2003"/>
    <x v="1"/>
    <n v="80"/>
    <n v="1.2099999999999937"/>
    <x v="332"/>
    <x v="0"/>
    <x v="4"/>
    <x v="0"/>
    <x v="0"/>
    <x v="0"/>
  </r>
  <r>
    <x v="22"/>
    <n v="70.760000000000005"/>
    <n v="2264.3200000000002"/>
    <x v="102"/>
    <x v="0"/>
    <n v="4"/>
    <n v="11"/>
    <n v="2003"/>
    <x v="1"/>
    <n v="80"/>
    <n v="-9.2399999999999949"/>
    <x v="333"/>
    <x v="1"/>
    <x v="36"/>
    <x v="3"/>
    <x v="2"/>
    <x v="0"/>
  </r>
  <r>
    <x v="0"/>
    <n v="82.82"/>
    <n v="2484.6"/>
    <x v="103"/>
    <x v="0"/>
    <n v="4"/>
    <n v="11"/>
    <n v="2003"/>
    <x v="1"/>
    <n v="80"/>
    <n v="2.8199999999999932"/>
    <x v="334"/>
    <x v="0"/>
    <x v="7"/>
    <x v="2"/>
    <x v="1"/>
    <x v="0"/>
  </r>
  <r>
    <x v="5"/>
    <n v="94.88"/>
    <n v="3415.68"/>
    <x v="104"/>
    <x v="0"/>
    <n v="4"/>
    <n v="11"/>
    <n v="2003"/>
    <x v="1"/>
    <n v="80"/>
    <n v="14.879999999999995"/>
    <x v="335"/>
    <x v="0"/>
    <x v="55"/>
    <x v="16"/>
    <x v="1"/>
    <x v="1"/>
  </r>
  <r>
    <x v="29"/>
    <n v="86.04"/>
    <n v="2839.32"/>
    <x v="105"/>
    <x v="0"/>
    <n v="4"/>
    <n v="12"/>
    <n v="2003"/>
    <x v="1"/>
    <n v="80"/>
    <n v="6.0400000000000063"/>
    <x v="331"/>
    <x v="0"/>
    <x v="20"/>
    <x v="7"/>
    <x v="1"/>
    <x v="0"/>
  </r>
  <r>
    <x v="21"/>
    <n v="78"/>
    <n v="2730"/>
    <x v="9"/>
    <x v="0"/>
    <n v="1"/>
    <n v="1"/>
    <n v="2004"/>
    <x v="1"/>
    <n v="80"/>
    <n v="-2"/>
    <x v="330"/>
    <x v="4"/>
    <x v="2"/>
    <x v="1"/>
    <x v="1"/>
    <x v="0"/>
  </r>
  <r>
    <x v="9"/>
    <n v="95.69"/>
    <n v="3540.5299999999997"/>
    <x v="106"/>
    <x v="0"/>
    <n v="1"/>
    <n v="2"/>
    <n v="2004"/>
    <x v="1"/>
    <n v="80"/>
    <n v="15.689999999999998"/>
    <x v="336"/>
    <x v="0"/>
    <x v="56"/>
    <x v="17"/>
    <x v="1"/>
    <x v="1"/>
  </r>
  <r>
    <x v="2"/>
    <n v="73.17"/>
    <n v="2999.9700000000003"/>
    <x v="107"/>
    <x v="0"/>
    <n v="2"/>
    <n v="4"/>
    <n v="2004"/>
    <x v="1"/>
    <n v="80"/>
    <n v="-6.8299999999999983"/>
    <x v="329"/>
    <x v="3"/>
    <x v="40"/>
    <x v="13"/>
    <x v="1"/>
    <x v="0"/>
  </r>
  <r>
    <x v="14"/>
    <n v="76.39"/>
    <n v="1527.8"/>
    <x v="224"/>
    <x v="0"/>
    <n v="2"/>
    <n v="5"/>
    <n v="2004"/>
    <x v="1"/>
    <n v="80"/>
    <n v="-3.6099999999999994"/>
    <x v="337"/>
    <x v="4"/>
    <x v="2"/>
    <x v="1"/>
    <x v="1"/>
    <x v="0"/>
  </r>
  <r>
    <x v="3"/>
    <n v="86.84"/>
    <n v="3907.8"/>
    <x v="225"/>
    <x v="0"/>
    <n v="3"/>
    <n v="7"/>
    <n v="2004"/>
    <x v="1"/>
    <n v="80"/>
    <n v="6.8400000000000034"/>
    <x v="338"/>
    <x v="0"/>
    <x v="70"/>
    <x v="3"/>
    <x v="2"/>
    <x v="1"/>
  </r>
  <r>
    <x v="19"/>
    <n v="69.959999999999994"/>
    <n v="2658.4799999999996"/>
    <x v="110"/>
    <x v="0"/>
    <n v="3"/>
    <n v="8"/>
    <n v="2004"/>
    <x v="1"/>
    <n v="80"/>
    <n v="-10.040000000000006"/>
    <x v="339"/>
    <x v="1"/>
    <x v="35"/>
    <x v="0"/>
    <x v="0"/>
    <x v="0"/>
  </r>
  <r>
    <x v="30"/>
    <n v="70.760000000000005"/>
    <n v="3042.6800000000003"/>
    <x v="111"/>
    <x v="0"/>
    <n v="3"/>
    <n v="8"/>
    <n v="2004"/>
    <x v="1"/>
    <n v="80"/>
    <n v="-9.2399999999999949"/>
    <x v="333"/>
    <x v="1"/>
    <x v="56"/>
    <x v="17"/>
    <x v="1"/>
    <x v="1"/>
  </r>
  <r>
    <x v="4"/>
    <n v="78.8"/>
    <n v="3861.2"/>
    <x v="112"/>
    <x v="0"/>
    <n v="4"/>
    <n v="10"/>
    <n v="2003"/>
    <x v="1"/>
    <n v="80"/>
    <n v="-1.2000000000000028"/>
    <x v="340"/>
    <x v="4"/>
    <x v="58"/>
    <x v="16"/>
    <x v="1"/>
    <x v="1"/>
  </r>
  <r>
    <x v="26"/>
    <n v="80.41"/>
    <n v="2171.0699999999997"/>
    <x v="113"/>
    <x v="0"/>
    <n v="4"/>
    <n v="10"/>
    <n v="2004"/>
    <x v="1"/>
    <n v="80"/>
    <n v="0.40999999999999659"/>
    <x v="341"/>
    <x v="0"/>
    <x v="55"/>
    <x v="16"/>
    <x v="1"/>
    <x v="0"/>
  </r>
  <r>
    <x v="12"/>
    <n v="73.98"/>
    <n v="3403.0800000000004"/>
    <x v="114"/>
    <x v="0"/>
    <n v="4"/>
    <n v="11"/>
    <n v="2004"/>
    <x v="1"/>
    <n v="80"/>
    <n v="-6.019999999999996"/>
    <x v="342"/>
    <x v="3"/>
    <x v="0"/>
    <x v="0"/>
    <x v="0"/>
    <x v="1"/>
  </r>
  <r>
    <x v="19"/>
    <n v="59.1"/>
    <n v="2245.8000000000002"/>
    <x v="19"/>
    <x v="0"/>
    <n v="4"/>
    <n v="11"/>
    <n v="2004"/>
    <x v="1"/>
    <n v="80"/>
    <n v="-20.9"/>
    <x v="343"/>
    <x v="5"/>
    <x v="0"/>
    <x v="0"/>
    <x v="0"/>
    <x v="0"/>
  </r>
  <r>
    <x v="32"/>
    <n v="66.739999999999995"/>
    <n v="1668.4999999999998"/>
    <x v="20"/>
    <x v="0"/>
    <n v="4"/>
    <n v="11"/>
    <n v="2004"/>
    <x v="1"/>
    <n v="80"/>
    <n v="-13.260000000000005"/>
    <x v="344"/>
    <x v="6"/>
    <x v="8"/>
    <x v="3"/>
    <x v="2"/>
    <x v="0"/>
  </r>
  <r>
    <x v="12"/>
    <n v="60.3"/>
    <n v="2773.7999999999997"/>
    <x v="115"/>
    <x v="0"/>
    <n v="1"/>
    <n v="1"/>
    <n v="2005"/>
    <x v="1"/>
    <n v="80"/>
    <n v="-19.700000000000003"/>
    <x v="345"/>
    <x v="5"/>
    <x v="59"/>
    <x v="4"/>
    <x v="1"/>
    <x v="0"/>
  </r>
  <r>
    <x v="8"/>
    <n v="100"/>
    <n v="2200"/>
    <x v="184"/>
    <x v="0"/>
    <n v="1"/>
    <n v="2"/>
    <n v="2005"/>
    <x v="1"/>
    <n v="80"/>
    <n v="20"/>
    <x v="346"/>
    <x v="0"/>
    <x v="20"/>
    <x v="7"/>
    <x v="1"/>
    <x v="0"/>
  </r>
  <r>
    <x v="23"/>
    <n v="100"/>
    <n v="4000"/>
    <x v="162"/>
    <x v="0"/>
    <n v="1"/>
    <n v="3"/>
    <n v="2005"/>
    <x v="1"/>
    <n v="80"/>
    <n v="20"/>
    <x v="346"/>
    <x v="0"/>
    <x v="33"/>
    <x v="0"/>
    <x v="0"/>
    <x v="1"/>
  </r>
  <r>
    <x v="12"/>
    <n v="100"/>
    <n v="4600"/>
    <x v="26"/>
    <x v="0"/>
    <n v="1"/>
    <n v="1"/>
    <n v="2003"/>
    <x v="3"/>
    <n v="99"/>
    <n v="1"/>
    <x v="347"/>
    <x v="0"/>
    <x v="14"/>
    <x v="2"/>
    <x v="1"/>
    <x v="1"/>
  </r>
  <r>
    <x v="25"/>
    <n v="100"/>
    <n v="3900"/>
    <x v="165"/>
    <x v="0"/>
    <n v="1"/>
    <n v="3"/>
    <n v="2003"/>
    <x v="3"/>
    <n v="99"/>
    <n v="1"/>
    <x v="347"/>
    <x v="0"/>
    <x v="4"/>
    <x v="0"/>
    <x v="0"/>
    <x v="1"/>
  </r>
  <r>
    <x v="19"/>
    <n v="82.34"/>
    <n v="3128.92"/>
    <x v="28"/>
    <x v="0"/>
    <n v="2"/>
    <n v="5"/>
    <n v="2003"/>
    <x v="3"/>
    <n v="99"/>
    <n v="-16.659999999999997"/>
    <x v="348"/>
    <x v="6"/>
    <x v="20"/>
    <x v="7"/>
    <x v="1"/>
    <x v="1"/>
  </r>
  <r>
    <x v="0"/>
    <n v="100"/>
    <n v="3000"/>
    <x v="167"/>
    <x v="0"/>
    <n v="3"/>
    <n v="7"/>
    <n v="2003"/>
    <x v="3"/>
    <n v="99"/>
    <n v="1"/>
    <x v="347"/>
    <x v="0"/>
    <x v="17"/>
    <x v="3"/>
    <x v="2"/>
    <x v="1"/>
  </r>
  <r>
    <x v="13"/>
    <n v="94.25"/>
    <n v="3958.5"/>
    <x v="168"/>
    <x v="0"/>
    <n v="3"/>
    <n v="9"/>
    <n v="2003"/>
    <x v="3"/>
    <n v="99"/>
    <n v="-4.75"/>
    <x v="349"/>
    <x v="4"/>
    <x v="65"/>
    <x v="0"/>
    <x v="0"/>
    <x v="1"/>
  </r>
  <r>
    <x v="30"/>
    <n v="100"/>
    <n v="4300"/>
    <x v="31"/>
    <x v="0"/>
    <n v="4"/>
    <n v="10"/>
    <n v="2003"/>
    <x v="3"/>
    <n v="99"/>
    <n v="1"/>
    <x v="347"/>
    <x v="0"/>
    <x v="0"/>
    <x v="0"/>
    <x v="0"/>
    <x v="1"/>
  </r>
  <r>
    <x v="6"/>
    <n v="95.24"/>
    <n v="2761.96"/>
    <x v="155"/>
    <x v="0"/>
    <n v="4"/>
    <n v="11"/>
    <n v="2003"/>
    <x v="3"/>
    <n v="99"/>
    <n v="-3.7600000000000051"/>
    <x v="350"/>
    <x v="4"/>
    <x v="69"/>
    <x v="12"/>
    <x v="1"/>
    <x v="0"/>
  </r>
  <r>
    <x v="29"/>
    <n v="86.31"/>
    <n v="2848.23"/>
    <x v="103"/>
    <x v="0"/>
    <n v="4"/>
    <n v="11"/>
    <n v="2003"/>
    <x v="3"/>
    <n v="99"/>
    <n v="-12.689999999999998"/>
    <x v="351"/>
    <x v="1"/>
    <x v="33"/>
    <x v="0"/>
    <x v="0"/>
    <x v="0"/>
  </r>
  <r>
    <x v="22"/>
    <n v="79.37"/>
    <n v="2539.84"/>
    <x v="170"/>
    <x v="0"/>
    <n v="4"/>
    <n v="11"/>
    <n v="2003"/>
    <x v="3"/>
    <n v="99"/>
    <n v="-19.629999999999995"/>
    <x v="352"/>
    <x v="6"/>
    <x v="70"/>
    <x v="3"/>
    <x v="2"/>
    <x v="0"/>
  </r>
  <r>
    <x v="11"/>
    <n v="87.3"/>
    <n v="2444.4"/>
    <x v="35"/>
    <x v="0"/>
    <n v="4"/>
    <n v="12"/>
    <n v="2003"/>
    <x v="3"/>
    <n v="99"/>
    <n v="-11.700000000000003"/>
    <x v="353"/>
    <x v="1"/>
    <x v="26"/>
    <x v="10"/>
    <x v="0"/>
    <x v="0"/>
  </r>
  <r>
    <x v="2"/>
    <n v="100"/>
    <n v="4100"/>
    <x v="36"/>
    <x v="0"/>
    <n v="1"/>
    <n v="1"/>
    <n v="2004"/>
    <x v="3"/>
    <n v="99"/>
    <n v="1"/>
    <x v="347"/>
    <x v="0"/>
    <x v="27"/>
    <x v="0"/>
    <x v="0"/>
    <x v="1"/>
  </r>
  <r>
    <x v="29"/>
    <n v="100"/>
    <n v="3300"/>
    <x v="172"/>
    <x v="0"/>
    <n v="1"/>
    <n v="3"/>
    <n v="2004"/>
    <x v="3"/>
    <n v="99"/>
    <n v="1"/>
    <x v="347"/>
    <x v="0"/>
    <x v="25"/>
    <x v="1"/>
    <x v="1"/>
    <x v="1"/>
  </r>
  <r>
    <x v="5"/>
    <n v="84.33"/>
    <n v="3035.88"/>
    <x v="173"/>
    <x v="0"/>
    <n v="2"/>
    <n v="4"/>
    <n v="2004"/>
    <x v="3"/>
    <n v="99"/>
    <n v="-14.670000000000002"/>
    <x v="354"/>
    <x v="1"/>
    <x v="20"/>
    <x v="7"/>
    <x v="1"/>
    <x v="1"/>
  </r>
  <r>
    <x v="18"/>
    <n v="89.29"/>
    <n v="2321.54"/>
    <x v="215"/>
    <x v="0"/>
    <n v="2"/>
    <n v="6"/>
    <n v="2004"/>
    <x v="3"/>
    <n v="99"/>
    <n v="-9.7099999999999937"/>
    <x v="355"/>
    <x v="3"/>
    <x v="51"/>
    <x v="0"/>
    <x v="0"/>
    <x v="0"/>
  </r>
  <r>
    <x v="1"/>
    <n v="100"/>
    <n v="3400"/>
    <x v="41"/>
    <x v="0"/>
    <n v="3"/>
    <n v="8"/>
    <n v="2004"/>
    <x v="3"/>
    <n v="99"/>
    <n v="1"/>
    <x v="347"/>
    <x v="0"/>
    <x v="30"/>
    <x v="12"/>
    <x v="1"/>
    <x v="1"/>
  </r>
  <r>
    <x v="18"/>
    <n v="96.23"/>
    <n v="2501.98"/>
    <x v="226"/>
    <x v="0"/>
    <n v="3"/>
    <n v="9"/>
    <n v="2004"/>
    <x v="3"/>
    <n v="99"/>
    <n v="-2.769999999999996"/>
    <x v="356"/>
    <x v="4"/>
    <x v="35"/>
    <x v="0"/>
    <x v="0"/>
    <x v="0"/>
  </r>
  <r>
    <x v="19"/>
    <n v="100"/>
    <n v="3800"/>
    <x v="43"/>
    <x v="0"/>
    <n v="4"/>
    <n v="10"/>
    <n v="2004"/>
    <x v="3"/>
    <n v="99"/>
    <n v="1"/>
    <x v="347"/>
    <x v="0"/>
    <x v="32"/>
    <x v="1"/>
    <x v="1"/>
    <x v="1"/>
  </r>
  <r>
    <x v="29"/>
    <n v="100"/>
    <n v="3300"/>
    <x v="44"/>
    <x v="0"/>
    <n v="4"/>
    <n v="10"/>
    <n v="2004"/>
    <x v="3"/>
    <n v="99"/>
    <n v="1"/>
    <x v="347"/>
    <x v="0"/>
    <x v="33"/>
    <x v="0"/>
    <x v="0"/>
    <x v="1"/>
  </r>
  <r>
    <x v="29"/>
    <n v="91.27"/>
    <n v="3011.91"/>
    <x v="80"/>
    <x v="0"/>
    <n v="4"/>
    <n v="11"/>
    <n v="2004"/>
    <x v="3"/>
    <n v="99"/>
    <n v="-7.730000000000004"/>
    <x v="357"/>
    <x v="3"/>
    <x v="58"/>
    <x v="16"/>
    <x v="1"/>
    <x v="1"/>
  </r>
  <r>
    <x v="12"/>
    <n v="100"/>
    <n v="4600"/>
    <x v="46"/>
    <x v="0"/>
    <n v="4"/>
    <n v="11"/>
    <n v="2004"/>
    <x v="3"/>
    <n v="99"/>
    <n v="1"/>
    <x v="347"/>
    <x v="0"/>
    <x v="4"/>
    <x v="0"/>
    <x v="0"/>
    <x v="2"/>
  </r>
  <r>
    <x v="18"/>
    <n v="100"/>
    <n v="2600"/>
    <x v="47"/>
    <x v="0"/>
    <n v="4"/>
    <n v="11"/>
    <n v="2004"/>
    <x v="3"/>
    <n v="99"/>
    <n v="1"/>
    <x v="347"/>
    <x v="0"/>
    <x v="8"/>
    <x v="3"/>
    <x v="2"/>
    <x v="0"/>
  </r>
  <r>
    <x v="32"/>
    <n v="100"/>
    <n v="2500"/>
    <x v="48"/>
    <x v="0"/>
    <n v="4"/>
    <n v="12"/>
    <n v="2004"/>
    <x v="3"/>
    <n v="99"/>
    <n v="1"/>
    <x v="347"/>
    <x v="0"/>
    <x v="33"/>
    <x v="0"/>
    <x v="0"/>
    <x v="0"/>
  </r>
  <r>
    <x v="3"/>
    <n v="73.08"/>
    <n v="3288.6"/>
    <x v="49"/>
    <x v="0"/>
    <n v="1"/>
    <n v="1"/>
    <n v="2005"/>
    <x v="3"/>
    <n v="99"/>
    <n v="-25.92"/>
    <x v="358"/>
    <x v="5"/>
    <x v="35"/>
    <x v="0"/>
    <x v="0"/>
    <x v="1"/>
  </r>
  <r>
    <x v="24"/>
    <n v="100"/>
    <n v="5000"/>
    <x v="50"/>
    <x v="0"/>
    <n v="1"/>
    <n v="2"/>
    <n v="2005"/>
    <x v="3"/>
    <n v="99"/>
    <n v="1"/>
    <x v="347"/>
    <x v="0"/>
    <x v="33"/>
    <x v="0"/>
    <x v="0"/>
    <x v="2"/>
  </r>
  <r>
    <x v="5"/>
    <n v="100"/>
    <n v="3600"/>
    <x v="217"/>
    <x v="0"/>
    <n v="1"/>
    <n v="3"/>
    <n v="2005"/>
    <x v="3"/>
    <n v="99"/>
    <n v="1"/>
    <x v="347"/>
    <x v="0"/>
    <x v="52"/>
    <x v="5"/>
    <x v="1"/>
    <x v="1"/>
  </r>
  <r>
    <x v="15"/>
    <n v="89.29"/>
    <n v="1875.0900000000001"/>
    <x v="177"/>
    <x v="2"/>
    <n v="2"/>
    <n v="5"/>
    <n v="2005"/>
    <x v="3"/>
    <n v="99"/>
    <n v="-9.7099999999999937"/>
    <x v="355"/>
    <x v="3"/>
    <x v="46"/>
    <x v="14"/>
    <x v="1"/>
    <x v="0"/>
  </r>
  <r>
    <x v="6"/>
    <n v="100"/>
    <n v="2900"/>
    <x v="98"/>
    <x v="0"/>
    <n v="1"/>
    <n v="3"/>
    <n v="2003"/>
    <x v="1"/>
    <n v="146"/>
    <n v="-46"/>
    <x v="359"/>
    <x v="5"/>
    <x v="53"/>
    <x v="15"/>
    <x v="2"/>
    <x v="1"/>
  </r>
  <r>
    <x v="15"/>
    <n v="100"/>
    <n v="2100"/>
    <x v="99"/>
    <x v="0"/>
    <n v="2"/>
    <n v="5"/>
    <n v="2003"/>
    <x v="1"/>
    <n v="146"/>
    <n v="-46"/>
    <x v="359"/>
    <x v="5"/>
    <x v="54"/>
    <x v="1"/>
    <x v="1"/>
    <x v="0"/>
  </r>
  <r>
    <x v="13"/>
    <n v="100"/>
    <n v="4200"/>
    <x v="100"/>
    <x v="0"/>
    <n v="3"/>
    <n v="7"/>
    <n v="2003"/>
    <x v="1"/>
    <n v="146"/>
    <n v="-46"/>
    <x v="359"/>
    <x v="5"/>
    <x v="33"/>
    <x v="0"/>
    <x v="0"/>
    <x v="1"/>
  </r>
  <r>
    <x v="9"/>
    <n v="100"/>
    <n v="3700"/>
    <x v="101"/>
    <x v="0"/>
    <n v="3"/>
    <n v="9"/>
    <n v="2003"/>
    <x v="1"/>
    <n v="146"/>
    <n v="-46"/>
    <x v="359"/>
    <x v="5"/>
    <x v="35"/>
    <x v="0"/>
    <x v="0"/>
    <x v="1"/>
  </r>
  <r>
    <x v="32"/>
    <n v="100"/>
    <n v="2500"/>
    <x v="4"/>
    <x v="0"/>
    <n v="4"/>
    <n v="10"/>
    <n v="2003"/>
    <x v="1"/>
    <n v="146"/>
    <n v="-46"/>
    <x v="359"/>
    <x v="5"/>
    <x v="4"/>
    <x v="0"/>
    <x v="0"/>
    <x v="1"/>
  </r>
  <r>
    <x v="5"/>
    <n v="100"/>
    <n v="3600"/>
    <x v="102"/>
    <x v="0"/>
    <n v="4"/>
    <n v="11"/>
    <n v="2003"/>
    <x v="1"/>
    <n v="146"/>
    <n v="-46"/>
    <x v="359"/>
    <x v="5"/>
    <x v="36"/>
    <x v="3"/>
    <x v="2"/>
    <x v="1"/>
  </r>
  <r>
    <x v="8"/>
    <n v="100"/>
    <n v="2200"/>
    <x v="103"/>
    <x v="0"/>
    <n v="4"/>
    <n v="11"/>
    <n v="2003"/>
    <x v="1"/>
    <n v="146"/>
    <n v="-46"/>
    <x v="359"/>
    <x v="5"/>
    <x v="7"/>
    <x v="2"/>
    <x v="1"/>
    <x v="1"/>
  </r>
  <r>
    <x v="10"/>
    <n v="100"/>
    <n v="2300"/>
    <x v="104"/>
    <x v="0"/>
    <n v="4"/>
    <n v="11"/>
    <n v="2003"/>
    <x v="1"/>
    <n v="146"/>
    <n v="-46"/>
    <x v="359"/>
    <x v="5"/>
    <x v="55"/>
    <x v="16"/>
    <x v="1"/>
    <x v="1"/>
  </r>
  <r>
    <x v="22"/>
    <n v="100"/>
    <n v="3200"/>
    <x v="105"/>
    <x v="0"/>
    <n v="4"/>
    <n v="12"/>
    <n v="2003"/>
    <x v="1"/>
    <n v="146"/>
    <n v="-46"/>
    <x v="359"/>
    <x v="5"/>
    <x v="20"/>
    <x v="7"/>
    <x v="1"/>
    <x v="1"/>
  </r>
  <r>
    <x v="11"/>
    <n v="100"/>
    <n v="2800"/>
    <x v="9"/>
    <x v="0"/>
    <n v="1"/>
    <n v="1"/>
    <n v="2004"/>
    <x v="1"/>
    <n v="146"/>
    <n v="-46"/>
    <x v="359"/>
    <x v="5"/>
    <x v="2"/>
    <x v="1"/>
    <x v="1"/>
    <x v="1"/>
  </r>
  <r>
    <x v="26"/>
    <n v="100"/>
    <n v="2700"/>
    <x v="106"/>
    <x v="0"/>
    <n v="1"/>
    <n v="2"/>
    <n v="2004"/>
    <x v="1"/>
    <n v="146"/>
    <n v="-46"/>
    <x v="359"/>
    <x v="5"/>
    <x v="56"/>
    <x v="17"/>
    <x v="1"/>
    <x v="1"/>
  </r>
  <r>
    <x v="4"/>
    <n v="100"/>
    <n v="4900"/>
    <x v="107"/>
    <x v="0"/>
    <n v="2"/>
    <n v="4"/>
    <n v="2004"/>
    <x v="1"/>
    <n v="146"/>
    <n v="-46"/>
    <x v="359"/>
    <x v="5"/>
    <x v="40"/>
    <x v="13"/>
    <x v="1"/>
    <x v="1"/>
  </r>
  <r>
    <x v="2"/>
    <n v="100"/>
    <n v="4100"/>
    <x v="224"/>
    <x v="0"/>
    <n v="2"/>
    <n v="5"/>
    <n v="2004"/>
    <x v="1"/>
    <n v="146"/>
    <n v="-46"/>
    <x v="359"/>
    <x v="5"/>
    <x v="2"/>
    <x v="1"/>
    <x v="1"/>
    <x v="1"/>
  </r>
  <r>
    <x v="4"/>
    <n v="100"/>
    <n v="4900"/>
    <x v="225"/>
    <x v="0"/>
    <n v="3"/>
    <n v="7"/>
    <n v="2004"/>
    <x v="1"/>
    <n v="146"/>
    <n v="-46"/>
    <x v="359"/>
    <x v="5"/>
    <x v="70"/>
    <x v="3"/>
    <x v="2"/>
    <x v="2"/>
  </r>
  <r>
    <x v="0"/>
    <n v="100"/>
    <n v="3000"/>
    <x v="110"/>
    <x v="0"/>
    <n v="3"/>
    <n v="8"/>
    <n v="2004"/>
    <x v="1"/>
    <n v="146"/>
    <n v="-46"/>
    <x v="359"/>
    <x v="5"/>
    <x v="35"/>
    <x v="0"/>
    <x v="0"/>
    <x v="1"/>
  </r>
  <r>
    <x v="23"/>
    <n v="100"/>
    <n v="4000"/>
    <x v="111"/>
    <x v="0"/>
    <n v="3"/>
    <n v="8"/>
    <n v="2004"/>
    <x v="1"/>
    <n v="146"/>
    <n v="-46"/>
    <x v="359"/>
    <x v="5"/>
    <x v="56"/>
    <x v="17"/>
    <x v="1"/>
    <x v="1"/>
  </r>
  <r>
    <x v="10"/>
    <n v="100"/>
    <n v="2300"/>
    <x v="112"/>
    <x v="0"/>
    <n v="4"/>
    <n v="10"/>
    <n v="2003"/>
    <x v="1"/>
    <n v="146"/>
    <n v="-46"/>
    <x v="359"/>
    <x v="5"/>
    <x v="58"/>
    <x v="16"/>
    <x v="1"/>
    <x v="1"/>
  </r>
  <r>
    <x v="4"/>
    <n v="100"/>
    <n v="4900"/>
    <x v="113"/>
    <x v="0"/>
    <n v="4"/>
    <n v="10"/>
    <n v="2004"/>
    <x v="1"/>
    <n v="146"/>
    <n v="-46"/>
    <x v="359"/>
    <x v="5"/>
    <x v="55"/>
    <x v="16"/>
    <x v="1"/>
    <x v="1"/>
  </r>
  <r>
    <x v="32"/>
    <n v="100"/>
    <n v="2500"/>
    <x v="114"/>
    <x v="0"/>
    <n v="4"/>
    <n v="11"/>
    <n v="2004"/>
    <x v="1"/>
    <n v="146"/>
    <n v="-46"/>
    <x v="359"/>
    <x v="5"/>
    <x v="21"/>
    <x v="8"/>
    <x v="1"/>
    <x v="1"/>
  </r>
  <r>
    <x v="9"/>
    <n v="100"/>
    <n v="3700"/>
    <x v="227"/>
    <x v="0"/>
    <n v="4"/>
    <n v="11"/>
    <n v="2004"/>
    <x v="1"/>
    <n v="146"/>
    <n v="-46"/>
    <x v="359"/>
    <x v="5"/>
    <x v="53"/>
    <x v="15"/>
    <x v="2"/>
    <x v="1"/>
  </r>
  <r>
    <x v="36"/>
    <n v="100"/>
    <n v="5500"/>
    <x v="20"/>
    <x v="0"/>
    <n v="4"/>
    <n v="11"/>
    <n v="2004"/>
    <x v="1"/>
    <n v="146"/>
    <n v="-46"/>
    <x v="359"/>
    <x v="5"/>
    <x v="8"/>
    <x v="3"/>
    <x v="2"/>
    <x v="1"/>
  </r>
  <r>
    <x v="10"/>
    <n v="100"/>
    <n v="2300"/>
    <x v="228"/>
    <x v="0"/>
    <n v="4"/>
    <n v="12"/>
    <n v="2004"/>
    <x v="1"/>
    <n v="146"/>
    <n v="-46"/>
    <x v="359"/>
    <x v="5"/>
    <x v="20"/>
    <x v="7"/>
    <x v="1"/>
    <x v="1"/>
  </r>
  <r>
    <x v="16"/>
    <n v="100"/>
    <n v="2400"/>
    <x v="115"/>
    <x v="0"/>
    <n v="1"/>
    <n v="1"/>
    <n v="2005"/>
    <x v="1"/>
    <n v="146"/>
    <n v="-46"/>
    <x v="359"/>
    <x v="5"/>
    <x v="59"/>
    <x v="4"/>
    <x v="1"/>
    <x v="1"/>
  </r>
  <r>
    <x v="30"/>
    <n v="96.49"/>
    <n v="4149.07"/>
    <x v="184"/>
    <x v="0"/>
    <n v="1"/>
    <n v="2"/>
    <n v="2005"/>
    <x v="1"/>
    <n v="146"/>
    <n v="-49.510000000000005"/>
    <x v="360"/>
    <x v="5"/>
    <x v="20"/>
    <x v="7"/>
    <x v="1"/>
    <x v="1"/>
  </r>
  <r>
    <x v="24"/>
    <n v="100"/>
    <n v="5000"/>
    <x v="162"/>
    <x v="0"/>
    <n v="1"/>
    <n v="3"/>
    <n v="2005"/>
    <x v="1"/>
    <n v="146"/>
    <n v="-46"/>
    <x v="359"/>
    <x v="5"/>
    <x v="33"/>
    <x v="0"/>
    <x v="0"/>
    <x v="2"/>
  </r>
  <r>
    <x v="20"/>
    <n v="100"/>
    <n v="4700"/>
    <x v="151"/>
    <x v="0"/>
    <n v="1"/>
    <n v="3"/>
    <n v="2003"/>
    <x v="1"/>
    <n v="141"/>
    <n v="-41"/>
    <x v="98"/>
    <x v="5"/>
    <x v="24"/>
    <x v="0"/>
    <x v="0"/>
    <x v="1"/>
  </r>
  <r>
    <x v="1"/>
    <n v="100"/>
    <n v="3400"/>
    <x v="179"/>
    <x v="0"/>
    <n v="2"/>
    <n v="5"/>
    <n v="2003"/>
    <x v="1"/>
    <n v="141"/>
    <n v="-41"/>
    <x v="98"/>
    <x v="5"/>
    <x v="11"/>
    <x v="1"/>
    <x v="1"/>
    <x v="1"/>
  </r>
  <r>
    <x v="28"/>
    <n v="100"/>
    <n v="3100"/>
    <x v="180"/>
    <x v="0"/>
    <n v="3"/>
    <n v="7"/>
    <n v="2003"/>
    <x v="1"/>
    <n v="141"/>
    <n v="-41"/>
    <x v="98"/>
    <x v="5"/>
    <x v="1"/>
    <x v="1"/>
    <x v="1"/>
    <x v="1"/>
  </r>
  <r>
    <x v="11"/>
    <n v="100"/>
    <n v="2800"/>
    <x v="153"/>
    <x v="0"/>
    <n v="3"/>
    <n v="9"/>
    <n v="2003"/>
    <x v="1"/>
    <n v="141"/>
    <n v="-41"/>
    <x v="98"/>
    <x v="5"/>
    <x v="36"/>
    <x v="3"/>
    <x v="2"/>
    <x v="1"/>
  </r>
  <r>
    <x v="5"/>
    <n v="100"/>
    <n v="3600"/>
    <x v="154"/>
    <x v="0"/>
    <n v="4"/>
    <n v="10"/>
    <n v="2003"/>
    <x v="1"/>
    <n v="141"/>
    <n v="-41"/>
    <x v="98"/>
    <x v="5"/>
    <x v="62"/>
    <x v="13"/>
    <x v="1"/>
    <x v="1"/>
  </r>
  <r>
    <x v="7"/>
    <n v="100"/>
    <n v="4800"/>
    <x v="155"/>
    <x v="0"/>
    <n v="4"/>
    <n v="11"/>
    <n v="2003"/>
    <x v="1"/>
    <n v="141"/>
    <n v="-41"/>
    <x v="98"/>
    <x v="5"/>
    <x v="10"/>
    <x v="0"/>
    <x v="0"/>
    <x v="1"/>
  </r>
  <r>
    <x v="25"/>
    <n v="100"/>
    <n v="3900"/>
    <x v="103"/>
    <x v="0"/>
    <n v="4"/>
    <n v="11"/>
    <n v="2003"/>
    <x v="1"/>
    <n v="141"/>
    <n v="-41"/>
    <x v="98"/>
    <x v="5"/>
    <x v="7"/>
    <x v="2"/>
    <x v="1"/>
    <x v="1"/>
  </r>
  <r>
    <x v="3"/>
    <n v="100"/>
    <n v="4500"/>
    <x v="104"/>
    <x v="0"/>
    <n v="4"/>
    <n v="11"/>
    <n v="2003"/>
    <x v="1"/>
    <n v="141"/>
    <n v="-41"/>
    <x v="98"/>
    <x v="5"/>
    <x v="34"/>
    <x v="0"/>
    <x v="0"/>
    <x v="1"/>
  </r>
  <r>
    <x v="21"/>
    <n v="100"/>
    <n v="3500"/>
    <x v="105"/>
    <x v="0"/>
    <n v="4"/>
    <n v="12"/>
    <n v="2003"/>
    <x v="1"/>
    <n v="141"/>
    <n v="-41"/>
    <x v="98"/>
    <x v="5"/>
    <x v="0"/>
    <x v="0"/>
    <x v="0"/>
    <x v="1"/>
  </r>
  <r>
    <x v="3"/>
    <n v="100"/>
    <n v="4500"/>
    <x v="138"/>
    <x v="0"/>
    <n v="1"/>
    <n v="1"/>
    <n v="2004"/>
    <x v="1"/>
    <n v="141"/>
    <n v="-41"/>
    <x v="98"/>
    <x v="5"/>
    <x v="20"/>
    <x v="7"/>
    <x v="1"/>
    <x v="1"/>
  </r>
  <r>
    <x v="12"/>
    <n v="100"/>
    <n v="4600"/>
    <x v="181"/>
    <x v="0"/>
    <n v="1"/>
    <n v="2"/>
    <n v="2004"/>
    <x v="1"/>
    <n v="141"/>
    <n v="-41"/>
    <x v="98"/>
    <x v="5"/>
    <x v="45"/>
    <x v="0"/>
    <x v="0"/>
    <x v="2"/>
  </r>
  <r>
    <x v="9"/>
    <n v="100"/>
    <n v="3700"/>
    <x v="156"/>
    <x v="0"/>
    <n v="2"/>
    <n v="4"/>
    <n v="2004"/>
    <x v="1"/>
    <n v="141"/>
    <n v="-41"/>
    <x v="98"/>
    <x v="5"/>
    <x v="38"/>
    <x v="11"/>
    <x v="3"/>
    <x v="1"/>
  </r>
  <r>
    <x v="28"/>
    <n v="100"/>
    <n v="3100"/>
    <x v="108"/>
    <x v="3"/>
    <n v="2"/>
    <n v="6"/>
    <n v="2004"/>
    <x v="1"/>
    <n v="141"/>
    <n v="-41"/>
    <x v="98"/>
    <x v="5"/>
    <x v="19"/>
    <x v="6"/>
    <x v="1"/>
    <x v="1"/>
  </r>
  <r>
    <x v="29"/>
    <n v="100"/>
    <n v="3300"/>
    <x v="109"/>
    <x v="0"/>
    <n v="3"/>
    <n v="7"/>
    <n v="2004"/>
    <x v="1"/>
    <n v="141"/>
    <n v="-41"/>
    <x v="98"/>
    <x v="5"/>
    <x v="57"/>
    <x v="12"/>
    <x v="1"/>
    <x v="1"/>
  </r>
  <r>
    <x v="28"/>
    <n v="100"/>
    <n v="3100"/>
    <x v="157"/>
    <x v="0"/>
    <n v="3"/>
    <n v="8"/>
    <n v="2004"/>
    <x v="1"/>
    <n v="141"/>
    <n v="-41"/>
    <x v="98"/>
    <x v="5"/>
    <x v="67"/>
    <x v="0"/>
    <x v="0"/>
    <x v="1"/>
  </r>
  <r>
    <x v="26"/>
    <n v="100"/>
    <n v="2700"/>
    <x v="111"/>
    <x v="0"/>
    <n v="3"/>
    <n v="8"/>
    <n v="2004"/>
    <x v="1"/>
    <n v="141"/>
    <n v="-41"/>
    <x v="98"/>
    <x v="5"/>
    <x v="56"/>
    <x v="17"/>
    <x v="1"/>
    <x v="1"/>
  </r>
  <r>
    <x v="25"/>
    <n v="100"/>
    <n v="3900"/>
    <x v="158"/>
    <x v="0"/>
    <n v="4"/>
    <n v="10"/>
    <n v="2003"/>
    <x v="1"/>
    <n v="141"/>
    <n v="-41"/>
    <x v="98"/>
    <x v="5"/>
    <x v="68"/>
    <x v="2"/>
    <x v="1"/>
    <x v="1"/>
  </r>
  <r>
    <x v="22"/>
    <n v="100"/>
    <n v="3200"/>
    <x v="113"/>
    <x v="0"/>
    <n v="4"/>
    <n v="10"/>
    <n v="2004"/>
    <x v="1"/>
    <n v="141"/>
    <n v="-41"/>
    <x v="98"/>
    <x v="5"/>
    <x v="20"/>
    <x v="7"/>
    <x v="1"/>
    <x v="1"/>
  </r>
  <r>
    <x v="11"/>
    <n v="100"/>
    <n v="2800"/>
    <x v="45"/>
    <x v="0"/>
    <n v="4"/>
    <n v="11"/>
    <n v="2004"/>
    <x v="1"/>
    <n v="141"/>
    <n v="-41"/>
    <x v="98"/>
    <x v="5"/>
    <x v="18"/>
    <x v="0"/>
    <x v="0"/>
    <x v="1"/>
  </r>
  <r>
    <x v="18"/>
    <n v="67.91"/>
    <n v="1765.6599999999999"/>
    <x v="159"/>
    <x v="0"/>
    <n v="4"/>
    <n v="11"/>
    <n v="2004"/>
    <x v="1"/>
    <n v="141"/>
    <n v="-73.09"/>
    <x v="361"/>
    <x v="5"/>
    <x v="24"/>
    <x v="0"/>
    <x v="0"/>
    <x v="0"/>
  </r>
  <r>
    <x v="27"/>
    <n v="84.88"/>
    <n v="3734.72"/>
    <x v="20"/>
    <x v="0"/>
    <n v="4"/>
    <n v="11"/>
    <n v="2004"/>
    <x v="1"/>
    <n v="141"/>
    <n v="-56.120000000000005"/>
    <x v="362"/>
    <x v="5"/>
    <x v="1"/>
    <x v="1"/>
    <x v="1"/>
    <x v="1"/>
  </r>
  <r>
    <x v="12"/>
    <n v="100"/>
    <n v="4600"/>
    <x v="183"/>
    <x v="5"/>
    <n v="1"/>
    <n v="1"/>
    <n v="2005"/>
    <x v="1"/>
    <n v="141"/>
    <n v="-41"/>
    <x v="98"/>
    <x v="5"/>
    <x v="3"/>
    <x v="0"/>
    <x v="0"/>
    <x v="1"/>
  </r>
  <r>
    <x v="22"/>
    <n v="70.83"/>
    <n v="2266.56"/>
    <x v="184"/>
    <x v="0"/>
    <n v="1"/>
    <n v="2"/>
    <n v="2005"/>
    <x v="1"/>
    <n v="141"/>
    <n v="-70.17"/>
    <x v="363"/>
    <x v="5"/>
    <x v="20"/>
    <x v="7"/>
    <x v="1"/>
    <x v="0"/>
  </r>
  <r>
    <x v="47"/>
    <n v="100"/>
    <n v="6500"/>
    <x v="163"/>
    <x v="1"/>
    <n v="2"/>
    <n v="4"/>
    <n v="2005"/>
    <x v="1"/>
    <n v="141"/>
    <n v="-41"/>
    <x v="98"/>
    <x v="5"/>
    <x v="40"/>
    <x v="13"/>
    <x v="1"/>
    <x v="2"/>
  </r>
  <r>
    <x v="30"/>
    <n v="100"/>
    <n v="4300"/>
    <x v="116"/>
    <x v="0"/>
    <n v="2"/>
    <n v="5"/>
    <n v="2005"/>
    <x v="1"/>
    <n v="141"/>
    <n v="-41"/>
    <x v="98"/>
    <x v="5"/>
    <x v="16"/>
    <x v="5"/>
    <x v="1"/>
    <x v="1"/>
  </r>
  <r>
    <x v="30"/>
    <n v="67.77"/>
    <n v="2914.1099999999997"/>
    <x v="98"/>
    <x v="0"/>
    <n v="1"/>
    <n v="3"/>
    <n v="2003"/>
    <x v="0"/>
    <n v="62"/>
    <n v="5.769999999999996"/>
    <x v="364"/>
    <x v="0"/>
    <x v="53"/>
    <x v="15"/>
    <x v="2"/>
    <x v="0"/>
  </r>
  <r>
    <x v="21"/>
    <n v="49.74"/>
    <n v="1740.9"/>
    <x v="99"/>
    <x v="0"/>
    <n v="2"/>
    <n v="5"/>
    <n v="2003"/>
    <x v="0"/>
    <n v="62"/>
    <n v="-12.259999999999998"/>
    <x v="365"/>
    <x v="6"/>
    <x v="54"/>
    <x v="1"/>
    <x v="1"/>
    <x v="0"/>
  </r>
  <r>
    <x v="3"/>
    <n v="50.36"/>
    <n v="2266.1999999999998"/>
    <x v="100"/>
    <x v="0"/>
    <n v="3"/>
    <n v="7"/>
    <n v="2003"/>
    <x v="0"/>
    <n v="62"/>
    <n v="-11.64"/>
    <x v="366"/>
    <x v="6"/>
    <x v="33"/>
    <x v="0"/>
    <x v="0"/>
    <x v="0"/>
  </r>
  <r>
    <x v="20"/>
    <n v="67.14"/>
    <n v="3155.58"/>
    <x v="229"/>
    <x v="0"/>
    <n v="3"/>
    <n v="9"/>
    <n v="2003"/>
    <x v="0"/>
    <n v="62"/>
    <n v="5.1400000000000006"/>
    <x v="367"/>
    <x v="0"/>
    <x v="63"/>
    <x v="0"/>
    <x v="0"/>
    <x v="1"/>
  </r>
  <r>
    <x v="15"/>
    <n v="64.66"/>
    <n v="1357.86"/>
    <x v="4"/>
    <x v="0"/>
    <n v="4"/>
    <n v="10"/>
    <n v="2003"/>
    <x v="0"/>
    <n v="62"/>
    <n v="2.6599999999999966"/>
    <x v="368"/>
    <x v="0"/>
    <x v="4"/>
    <x v="0"/>
    <x v="0"/>
    <x v="0"/>
  </r>
  <r>
    <x v="19"/>
    <n v="68.39"/>
    <n v="2598.8200000000002"/>
    <x v="102"/>
    <x v="0"/>
    <n v="4"/>
    <n v="11"/>
    <n v="2003"/>
    <x v="0"/>
    <n v="62"/>
    <n v="6.3900000000000006"/>
    <x v="369"/>
    <x v="0"/>
    <x v="36"/>
    <x v="3"/>
    <x v="2"/>
    <x v="0"/>
  </r>
  <r>
    <x v="15"/>
    <n v="50.36"/>
    <n v="1057.56"/>
    <x v="6"/>
    <x v="0"/>
    <n v="4"/>
    <n v="11"/>
    <n v="2003"/>
    <x v="0"/>
    <n v="62"/>
    <n v="-11.64"/>
    <x v="366"/>
    <x v="6"/>
    <x v="6"/>
    <x v="1"/>
    <x v="1"/>
    <x v="0"/>
  </r>
  <r>
    <x v="30"/>
    <n v="72.739999999999995"/>
    <n v="3127.8199999999997"/>
    <x v="104"/>
    <x v="0"/>
    <n v="4"/>
    <n v="11"/>
    <n v="2003"/>
    <x v="0"/>
    <n v="62"/>
    <n v="10.739999999999995"/>
    <x v="370"/>
    <x v="0"/>
    <x v="55"/>
    <x v="16"/>
    <x v="1"/>
    <x v="1"/>
  </r>
  <r>
    <x v="12"/>
    <n v="54.09"/>
    <n v="2488.1400000000003"/>
    <x v="9"/>
    <x v="0"/>
    <n v="1"/>
    <n v="1"/>
    <n v="2004"/>
    <x v="0"/>
    <n v="62"/>
    <n v="-7.9099999999999966"/>
    <x v="371"/>
    <x v="1"/>
    <x v="2"/>
    <x v="1"/>
    <x v="1"/>
    <x v="0"/>
  </r>
  <r>
    <x v="19"/>
    <n v="58.44"/>
    <n v="2220.7199999999998"/>
    <x v="133"/>
    <x v="0"/>
    <n v="1"/>
    <n v="2"/>
    <n v="2004"/>
    <x v="0"/>
    <n v="62"/>
    <n v="-3.5600000000000023"/>
    <x v="372"/>
    <x v="3"/>
    <x v="6"/>
    <x v="1"/>
    <x v="1"/>
    <x v="0"/>
  </r>
  <r>
    <x v="18"/>
    <n v="52.22"/>
    <n v="1357.72"/>
    <x v="11"/>
    <x v="0"/>
    <n v="2"/>
    <n v="4"/>
    <n v="2004"/>
    <x v="0"/>
    <n v="62"/>
    <n v="-9.7800000000000011"/>
    <x v="373"/>
    <x v="6"/>
    <x v="0"/>
    <x v="0"/>
    <x v="0"/>
    <x v="0"/>
  </r>
  <r>
    <x v="28"/>
    <n v="52.84"/>
    <n v="1638.0400000000002"/>
    <x v="224"/>
    <x v="0"/>
    <n v="2"/>
    <n v="5"/>
    <n v="2004"/>
    <x v="0"/>
    <n v="62"/>
    <n v="-9.1599999999999966"/>
    <x v="374"/>
    <x v="1"/>
    <x v="2"/>
    <x v="1"/>
    <x v="1"/>
    <x v="0"/>
  </r>
  <r>
    <x v="7"/>
    <n v="54.71"/>
    <n v="2626.08"/>
    <x v="230"/>
    <x v="0"/>
    <n v="2"/>
    <n v="6"/>
    <n v="2004"/>
    <x v="0"/>
    <n v="62"/>
    <n v="-7.2899999999999991"/>
    <x v="375"/>
    <x v="1"/>
    <x v="48"/>
    <x v="0"/>
    <x v="0"/>
    <x v="0"/>
  </r>
  <r>
    <x v="29"/>
    <n v="50.36"/>
    <n v="1661.8799999999999"/>
    <x v="110"/>
    <x v="0"/>
    <n v="3"/>
    <n v="8"/>
    <n v="2004"/>
    <x v="0"/>
    <n v="62"/>
    <n v="-11.64"/>
    <x v="366"/>
    <x v="6"/>
    <x v="35"/>
    <x v="0"/>
    <x v="0"/>
    <x v="0"/>
  </r>
  <r>
    <x v="19"/>
    <n v="57.2"/>
    <n v="2173.6"/>
    <x v="231"/>
    <x v="0"/>
    <n v="3"/>
    <n v="8"/>
    <n v="2004"/>
    <x v="0"/>
    <n v="62"/>
    <n v="-4.7999999999999972"/>
    <x v="376"/>
    <x v="3"/>
    <x v="2"/>
    <x v="1"/>
    <x v="1"/>
    <x v="0"/>
  </r>
  <r>
    <x v="25"/>
    <n v="55.95"/>
    <n v="2182.0500000000002"/>
    <x v="16"/>
    <x v="0"/>
    <n v="3"/>
    <n v="9"/>
    <n v="2004"/>
    <x v="0"/>
    <n v="62"/>
    <n v="-6.0499999999999972"/>
    <x v="377"/>
    <x v="3"/>
    <x v="13"/>
    <x v="4"/>
    <x v="1"/>
    <x v="0"/>
  </r>
  <r>
    <x v="13"/>
    <n v="67.14"/>
    <n v="2819.88"/>
    <x v="113"/>
    <x v="0"/>
    <n v="4"/>
    <n v="10"/>
    <n v="2004"/>
    <x v="0"/>
    <n v="62"/>
    <n v="5.1400000000000006"/>
    <x v="367"/>
    <x v="0"/>
    <x v="55"/>
    <x v="16"/>
    <x v="1"/>
    <x v="0"/>
  </r>
  <r>
    <x v="27"/>
    <n v="59.06"/>
    <n v="2598.6400000000003"/>
    <x v="114"/>
    <x v="0"/>
    <n v="4"/>
    <n v="11"/>
    <n v="2004"/>
    <x v="0"/>
    <n v="62"/>
    <n v="-2.9399999999999977"/>
    <x v="378"/>
    <x v="4"/>
    <x v="0"/>
    <x v="0"/>
    <x v="0"/>
    <x v="0"/>
  </r>
  <r>
    <x v="6"/>
    <n v="69.63"/>
    <n v="2019.27"/>
    <x v="227"/>
    <x v="0"/>
    <n v="4"/>
    <n v="11"/>
    <n v="2004"/>
    <x v="0"/>
    <n v="62"/>
    <n v="7.6299999999999955"/>
    <x v="379"/>
    <x v="0"/>
    <x v="53"/>
    <x v="15"/>
    <x v="2"/>
    <x v="0"/>
  </r>
  <r>
    <x v="18"/>
    <n v="55.95"/>
    <n v="1454.7"/>
    <x v="20"/>
    <x v="0"/>
    <n v="4"/>
    <n v="11"/>
    <n v="2004"/>
    <x v="0"/>
    <n v="62"/>
    <n v="-6.0499999999999972"/>
    <x v="377"/>
    <x v="3"/>
    <x v="8"/>
    <x v="3"/>
    <x v="2"/>
    <x v="0"/>
  </r>
  <r>
    <x v="28"/>
    <n v="53.47"/>
    <n v="1657.57"/>
    <x v="228"/>
    <x v="0"/>
    <n v="4"/>
    <n v="12"/>
    <n v="2004"/>
    <x v="0"/>
    <n v="62"/>
    <n v="-8.5300000000000011"/>
    <x v="380"/>
    <x v="1"/>
    <x v="20"/>
    <x v="7"/>
    <x v="1"/>
    <x v="0"/>
  </r>
  <r>
    <x v="22"/>
    <n v="89.12"/>
    <n v="2851.84"/>
    <x v="115"/>
    <x v="0"/>
    <n v="1"/>
    <n v="1"/>
    <n v="2005"/>
    <x v="0"/>
    <n v="62"/>
    <n v="27.120000000000005"/>
    <x v="381"/>
    <x v="0"/>
    <x v="59"/>
    <x v="4"/>
    <x v="1"/>
    <x v="0"/>
  </r>
  <r>
    <x v="11"/>
    <n v="100"/>
    <n v="2800"/>
    <x v="184"/>
    <x v="0"/>
    <n v="1"/>
    <n v="2"/>
    <n v="2005"/>
    <x v="0"/>
    <n v="62"/>
    <n v="38"/>
    <x v="281"/>
    <x v="0"/>
    <x v="20"/>
    <x v="7"/>
    <x v="1"/>
    <x v="1"/>
  </r>
  <r>
    <x v="5"/>
    <n v="100"/>
    <n v="3600"/>
    <x v="162"/>
    <x v="0"/>
    <n v="1"/>
    <n v="3"/>
    <n v="2005"/>
    <x v="0"/>
    <n v="62"/>
    <n v="38"/>
    <x v="281"/>
    <x v="0"/>
    <x v="33"/>
    <x v="0"/>
    <x v="0"/>
    <x v="1"/>
  </r>
  <r>
    <x v="5"/>
    <n v="52.22"/>
    <n v="1879.92"/>
    <x v="24"/>
    <x v="0"/>
    <n v="2"/>
    <n v="4"/>
    <n v="2005"/>
    <x v="0"/>
    <n v="62"/>
    <n v="-9.7800000000000011"/>
    <x v="373"/>
    <x v="6"/>
    <x v="19"/>
    <x v="6"/>
    <x v="1"/>
    <x v="0"/>
  </r>
  <r>
    <x v="2"/>
    <n v="100"/>
    <n v="4100"/>
    <x v="186"/>
    <x v="0"/>
    <n v="1"/>
    <n v="2"/>
    <n v="2003"/>
    <x v="3"/>
    <n v="105"/>
    <n v="-5"/>
    <x v="382"/>
    <x v="4"/>
    <x v="69"/>
    <x v="12"/>
    <x v="1"/>
    <x v="1"/>
  </r>
  <r>
    <x v="26"/>
    <n v="99.52"/>
    <n v="2687.04"/>
    <x v="63"/>
    <x v="0"/>
    <n v="2"/>
    <n v="4"/>
    <n v="2003"/>
    <x v="3"/>
    <n v="105"/>
    <n v="-5.480000000000004"/>
    <x v="383"/>
    <x v="4"/>
    <x v="16"/>
    <x v="5"/>
    <x v="1"/>
    <x v="0"/>
  </r>
  <r>
    <x v="29"/>
    <n v="100"/>
    <n v="3300"/>
    <x v="187"/>
    <x v="0"/>
    <n v="2"/>
    <n v="6"/>
    <n v="2003"/>
    <x v="3"/>
    <n v="105"/>
    <n v="-5"/>
    <x v="382"/>
    <x v="4"/>
    <x v="35"/>
    <x v="0"/>
    <x v="0"/>
    <x v="1"/>
  </r>
  <r>
    <x v="1"/>
    <n v="100"/>
    <n v="3400"/>
    <x v="65"/>
    <x v="0"/>
    <n v="3"/>
    <n v="8"/>
    <n v="2003"/>
    <x v="3"/>
    <n v="105"/>
    <n v="-5"/>
    <x v="382"/>
    <x v="4"/>
    <x v="18"/>
    <x v="0"/>
    <x v="0"/>
    <x v="1"/>
  </r>
  <r>
    <x v="6"/>
    <n v="100"/>
    <n v="2900"/>
    <x v="66"/>
    <x v="0"/>
    <n v="4"/>
    <n v="10"/>
    <n v="2003"/>
    <x v="3"/>
    <n v="105"/>
    <n v="-5"/>
    <x v="382"/>
    <x v="4"/>
    <x v="13"/>
    <x v="4"/>
    <x v="1"/>
    <x v="1"/>
  </r>
  <r>
    <x v="1"/>
    <n v="100"/>
    <n v="3400"/>
    <x v="67"/>
    <x v="3"/>
    <n v="4"/>
    <n v="10"/>
    <n v="2003"/>
    <x v="3"/>
    <n v="105"/>
    <n v="-5"/>
    <x v="382"/>
    <x v="4"/>
    <x v="31"/>
    <x v="8"/>
    <x v="1"/>
    <x v="1"/>
  </r>
  <r>
    <x v="7"/>
    <n v="100"/>
    <n v="4800"/>
    <x v="68"/>
    <x v="0"/>
    <n v="4"/>
    <n v="11"/>
    <n v="2003"/>
    <x v="3"/>
    <n v="105"/>
    <n v="-5"/>
    <x v="382"/>
    <x v="4"/>
    <x v="42"/>
    <x v="1"/>
    <x v="1"/>
    <x v="1"/>
  </r>
  <r>
    <x v="12"/>
    <n v="100"/>
    <n v="4600"/>
    <x v="69"/>
    <x v="0"/>
    <n v="4"/>
    <n v="11"/>
    <n v="2003"/>
    <x v="3"/>
    <n v="105"/>
    <n v="-5"/>
    <x v="382"/>
    <x v="4"/>
    <x v="41"/>
    <x v="6"/>
    <x v="1"/>
    <x v="1"/>
  </r>
  <r>
    <x v="8"/>
    <n v="100"/>
    <n v="2200"/>
    <x v="70"/>
    <x v="0"/>
    <n v="4"/>
    <n v="11"/>
    <n v="2003"/>
    <x v="3"/>
    <n v="105"/>
    <n v="-5"/>
    <x v="382"/>
    <x v="4"/>
    <x v="43"/>
    <x v="7"/>
    <x v="1"/>
    <x v="0"/>
  </r>
  <r>
    <x v="14"/>
    <n v="100"/>
    <n v="2000"/>
    <x v="71"/>
    <x v="0"/>
    <n v="1"/>
    <n v="1"/>
    <n v="2004"/>
    <x v="3"/>
    <n v="105"/>
    <n v="-5"/>
    <x v="382"/>
    <x v="4"/>
    <x v="44"/>
    <x v="0"/>
    <x v="0"/>
    <x v="0"/>
  </r>
  <r>
    <x v="3"/>
    <n v="85.75"/>
    <n v="3858.75"/>
    <x v="72"/>
    <x v="0"/>
    <n v="1"/>
    <n v="2"/>
    <n v="2004"/>
    <x v="3"/>
    <n v="105"/>
    <n v="-19.25"/>
    <x v="384"/>
    <x v="6"/>
    <x v="45"/>
    <x v="0"/>
    <x v="0"/>
    <x v="1"/>
  </r>
  <r>
    <x v="12"/>
    <n v="100"/>
    <n v="4600"/>
    <x v="232"/>
    <x v="0"/>
    <n v="2"/>
    <n v="5"/>
    <n v="2004"/>
    <x v="3"/>
    <n v="105"/>
    <n v="-5"/>
    <x v="382"/>
    <x v="4"/>
    <x v="12"/>
    <x v="0"/>
    <x v="0"/>
    <x v="1"/>
  </r>
  <r>
    <x v="1"/>
    <n v="100"/>
    <n v="3400"/>
    <x v="190"/>
    <x v="3"/>
    <n v="2"/>
    <n v="6"/>
    <n v="2004"/>
    <x v="3"/>
    <n v="105"/>
    <n v="-5"/>
    <x v="382"/>
    <x v="4"/>
    <x v="20"/>
    <x v="7"/>
    <x v="1"/>
    <x v="1"/>
  </r>
  <r>
    <x v="24"/>
    <n v="85.75"/>
    <n v="4287.5"/>
    <x v="75"/>
    <x v="0"/>
    <n v="3"/>
    <n v="7"/>
    <n v="2004"/>
    <x v="3"/>
    <n v="105"/>
    <n v="-19.25"/>
    <x v="384"/>
    <x v="6"/>
    <x v="46"/>
    <x v="14"/>
    <x v="1"/>
    <x v="1"/>
  </r>
  <r>
    <x v="12"/>
    <n v="100"/>
    <n v="4600"/>
    <x v="76"/>
    <x v="0"/>
    <n v="3"/>
    <n v="8"/>
    <n v="2004"/>
    <x v="3"/>
    <n v="105"/>
    <n v="-5"/>
    <x v="382"/>
    <x v="4"/>
    <x v="47"/>
    <x v="10"/>
    <x v="0"/>
    <x v="1"/>
  </r>
  <r>
    <x v="8"/>
    <n v="84.7"/>
    <n v="1863.4"/>
    <x v="192"/>
    <x v="0"/>
    <n v="3"/>
    <n v="9"/>
    <n v="2004"/>
    <x v="3"/>
    <n v="105"/>
    <n v="-20.299999999999997"/>
    <x v="385"/>
    <x v="6"/>
    <x v="71"/>
    <x v="16"/>
    <x v="1"/>
    <x v="0"/>
  </r>
  <r>
    <x v="7"/>
    <n v="86.81"/>
    <n v="4166.88"/>
    <x v="78"/>
    <x v="0"/>
    <n v="4"/>
    <n v="10"/>
    <n v="2004"/>
    <x v="3"/>
    <n v="105"/>
    <n v="-18.189999999999998"/>
    <x v="386"/>
    <x v="6"/>
    <x v="24"/>
    <x v="0"/>
    <x v="0"/>
    <x v="1"/>
  </r>
  <r>
    <x v="20"/>
    <n v="86.81"/>
    <n v="4080.07"/>
    <x v="79"/>
    <x v="0"/>
    <n v="4"/>
    <n v="11"/>
    <n v="2004"/>
    <x v="3"/>
    <n v="105"/>
    <n v="-18.189999999999998"/>
    <x v="386"/>
    <x v="6"/>
    <x v="49"/>
    <x v="6"/>
    <x v="1"/>
    <x v="1"/>
  </r>
  <r>
    <x v="1"/>
    <n v="100"/>
    <n v="3400"/>
    <x v="233"/>
    <x v="0"/>
    <n v="4"/>
    <n v="11"/>
    <n v="2004"/>
    <x v="3"/>
    <n v="105"/>
    <n v="-5"/>
    <x v="382"/>
    <x v="4"/>
    <x v="69"/>
    <x v="12"/>
    <x v="1"/>
    <x v="1"/>
  </r>
  <r>
    <x v="3"/>
    <n v="100"/>
    <n v="4500"/>
    <x v="194"/>
    <x v="0"/>
    <n v="4"/>
    <n v="11"/>
    <n v="2004"/>
    <x v="3"/>
    <n v="105"/>
    <n v="-5"/>
    <x v="382"/>
    <x v="4"/>
    <x v="72"/>
    <x v="14"/>
    <x v="1"/>
    <x v="1"/>
  </r>
  <r>
    <x v="14"/>
    <n v="100"/>
    <n v="2000"/>
    <x v="195"/>
    <x v="0"/>
    <n v="4"/>
    <n v="12"/>
    <n v="2004"/>
    <x v="3"/>
    <n v="105"/>
    <n v="-5"/>
    <x v="382"/>
    <x v="4"/>
    <x v="41"/>
    <x v="6"/>
    <x v="1"/>
    <x v="1"/>
  </r>
  <r>
    <x v="24"/>
    <n v="60.49"/>
    <n v="3024.5"/>
    <x v="84"/>
    <x v="0"/>
    <n v="1"/>
    <n v="1"/>
    <n v="2005"/>
    <x v="3"/>
    <n v="105"/>
    <n v="-44.51"/>
    <x v="387"/>
    <x v="5"/>
    <x v="50"/>
    <x v="4"/>
    <x v="1"/>
    <x v="1"/>
  </r>
  <r>
    <x v="8"/>
    <n v="57.55"/>
    <n v="1266.0999999999999"/>
    <x v="196"/>
    <x v="5"/>
    <n v="1"/>
    <n v="3"/>
    <n v="2005"/>
    <x v="3"/>
    <n v="105"/>
    <n v="-47.45"/>
    <x v="388"/>
    <x v="5"/>
    <x v="20"/>
    <x v="7"/>
    <x v="1"/>
    <x v="0"/>
  </r>
  <r>
    <x v="3"/>
    <n v="100"/>
    <n v="4500"/>
    <x v="197"/>
    <x v="0"/>
    <n v="1"/>
    <n v="3"/>
    <n v="2005"/>
    <x v="3"/>
    <n v="105"/>
    <n v="-5"/>
    <x v="382"/>
    <x v="4"/>
    <x v="1"/>
    <x v="1"/>
    <x v="1"/>
    <x v="1"/>
  </r>
  <r>
    <x v="48"/>
    <n v="100"/>
    <n v="5800"/>
    <x v="87"/>
    <x v="0"/>
    <n v="2"/>
    <n v="4"/>
    <n v="2005"/>
    <x v="3"/>
    <n v="105"/>
    <n v="-5"/>
    <x v="382"/>
    <x v="4"/>
    <x v="51"/>
    <x v="0"/>
    <x v="0"/>
    <x v="2"/>
  </r>
  <r>
    <x v="41"/>
    <n v="100"/>
    <n v="5100"/>
    <x v="234"/>
    <x v="1"/>
    <n v="2"/>
    <n v="5"/>
    <n v="2005"/>
    <x v="3"/>
    <n v="105"/>
    <n v="-5"/>
    <x v="382"/>
    <x v="4"/>
    <x v="70"/>
    <x v="3"/>
    <x v="2"/>
    <x v="1"/>
  </r>
  <r>
    <x v="19"/>
    <n v="100"/>
    <n v="3800"/>
    <x v="134"/>
    <x v="0"/>
    <n v="1"/>
    <n v="1"/>
    <n v="2003"/>
    <x v="1"/>
    <n v="143"/>
    <n v="-43"/>
    <x v="389"/>
    <x v="5"/>
    <x v="20"/>
    <x v="7"/>
    <x v="1"/>
    <x v="1"/>
  </r>
  <r>
    <x v="8"/>
    <n v="100"/>
    <n v="2200"/>
    <x v="117"/>
    <x v="0"/>
    <n v="2"/>
    <n v="4"/>
    <n v="2003"/>
    <x v="1"/>
    <n v="143"/>
    <n v="-43"/>
    <x v="389"/>
    <x v="5"/>
    <x v="22"/>
    <x v="9"/>
    <x v="2"/>
    <x v="0"/>
  </r>
  <r>
    <x v="32"/>
    <n v="100"/>
    <n v="2500"/>
    <x v="118"/>
    <x v="0"/>
    <n v="2"/>
    <n v="6"/>
    <n v="2003"/>
    <x v="1"/>
    <n v="143"/>
    <n v="-43"/>
    <x v="389"/>
    <x v="5"/>
    <x v="0"/>
    <x v="0"/>
    <x v="0"/>
    <x v="1"/>
  </r>
  <r>
    <x v="16"/>
    <n v="100"/>
    <n v="2400"/>
    <x v="119"/>
    <x v="0"/>
    <n v="3"/>
    <n v="8"/>
    <n v="2003"/>
    <x v="1"/>
    <n v="143"/>
    <n v="-43"/>
    <x v="389"/>
    <x v="5"/>
    <x v="33"/>
    <x v="0"/>
    <x v="0"/>
    <x v="1"/>
  </r>
  <r>
    <x v="21"/>
    <n v="100"/>
    <n v="3500"/>
    <x v="235"/>
    <x v="0"/>
    <n v="3"/>
    <n v="9"/>
    <n v="2003"/>
    <x v="1"/>
    <n v="143"/>
    <n v="-43"/>
    <x v="389"/>
    <x v="5"/>
    <x v="23"/>
    <x v="3"/>
    <x v="2"/>
    <x v="1"/>
  </r>
  <r>
    <x v="11"/>
    <n v="100"/>
    <n v="2800"/>
    <x v="121"/>
    <x v="0"/>
    <n v="4"/>
    <n v="10"/>
    <n v="2003"/>
    <x v="1"/>
    <n v="143"/>
    <n v="-43"/>
    <x v="389"/>
    <x v="5"/>
    <x v="22"/>
    <x v="9"/>
    <x v="2"/>
    <x v="1"/>
  </r>
  <r>
    <x v="5"/>
    <n v="100"/>
    <n v="3600"/>
    <x v="32"/>
    <x v="0"/>
    <n v="4"/>
    <n v="11"/>
    <n v="2003"/>
    <x v="1"/>
    <n v="143"/>
    <n v="-43"/>
    <x v="389"/>
    <x v="5"/>
    <x v="57"/>
    <x v="12"/>
    <x v="1"/>
    <x v="1"/>
  </r>
  <r>
    <x v="25"/>
    <n v="100"/>
    <n v="3900"/>
    <x v="69"/>
    <x v="0"/>
    <n v="4"/>
    <n v="11"/>
    <n v="2003"/>
    <x v="1"/>
    <n v="143"/>
    <n v="-43"/>
    <x v="389"/>
    <x v="5"/>
    <x v="18"/>
    <x v="0"/>
    <x v="0"/>
    <x v="1"/>
  </r>
  <r>
    <x v="26"/>
    <n v="100"/>
    <n v="2700"/>
    <x v="70"/>
    <x v="0"/>
    <n v="4"/>
    <n v="11"/>
    <n v="2003"/>
    <x v="1"/>
    <n v="143"/>
    <n v="-43"/>
    <x v="389"/>
    <x v="5"/>
    <x v="28"/>
    <x v="0"/>
    <x v="0"/>
    <x v="1"/>
  </r>
  <r>
    <x v="23"/>
    <n v="100"/>
    <n v="4000"/>
    <x v="91"/>
    <x v="0"/>
    <n v="4"/>
    <n v="12"/>
    <n v="2003"/>
    <x v="1"/>
    <n v="143"/>
    <n v="-43"/>
    <x v="389"/>
    <x v="5"/>
    <x v="48"/>
    <x v="0"/>
    <x v="0"/>
    <x v="1"/>
  </r>
  <r>
    <x v="24"/>
    <n v="100"/>
    <n v="5000"/>
    <x v="123"/>
    <x v="0"/>
    <n v="1"/>
    <n v="2"/>
    <n v="2004"/>
    <x v="1"/>
    <n v="143"/>
    <n v="-43"/>
    <x v="389"/>
    <x v="5"/>
    <x v="60"/>
    <x v="18"/>
    <x v="1"/>
    <x v="2"/>
  </r>
  <r>
    <x v="13"/>
    <n v="100"/>
    <n v="4200"/>
    <x v="135"/>
    <x v="0"/>
    <n v="1"/>
    <n v="3"/>
    <n v="2004"/>
    <x v="1"/>
    <n v="143"/>
    <n v="-43"/>
    <x v="389"/>
    <x v="5"/>
    <x v="58"/>
    <x v="16"/>
    <x v="1"/>
    <x v="2"/>
  </r>
  <r>
    <x v="7"/>
    <n v="100"/>
    <n v="4800"/>
    <x v="125"/>
    <x v="0"/>
    <n v="2"/>
    <n v="5"/>
    <n v="2004"/>
    <x v="1"/>
    <n v="143"/>
    <n v="-43"/>
    <x v="389"/>
    <x v="5"/>
    <x v="59"/>
    <x v="4"/>
    <x v="1"/>
    <x v="1"/>
  </r>
  <r>
    <x v="32"/>
    <n v="100"/>
    <n v="2500"/>
    <x v="126"/>
    <x v="0"/>
    <n v="3"/>
    <n v="7"/>
    <n v="2004"/>
    <x v="1"/>
    <n v="143"/>
    <n v="-43"/>
    <x v="389"/>
    <x v="5"/>
    <x v="15"/>
    <x v="0"/>
    <x v="0"/>
    <x v="1"/>
  </r>
  <r>
    <x v="28"/>
    <n v="100"/>
    <n v="3100"/>
    <x v="76"/>
    <x v="0"/>
    <n v="3"/>
    <n v="8"/>
    <n v="2004"/>
    <x v="1"/>
    <n v="143"/>
    <n v="-43"/>
    <x v="389"/>
    <x v="5"/>
    <x v="33"/>
    <x v="0"/>
    <x v="0"/>
    <x v="1"/>
  </r>
  <r>
    <x v="27"/>
    <n v="100"/>
    <n v="4400"/>
    <x v="42"/>
    <x v="0"/>
    <n v="3"/>
    <n v="9"/>
    <n v="2004"/>
    <x v="1"/>
    <n v="143"/>
    <n v="-43"/>
    <x v="389"/>
    <x v="5"/>
    <x v="0"/>
    <x v="0"/>
    <x v="0"/>
    <x v="2"/>
  </r>
  <r>
    <x v="10"/>
    <n v="100"/>
    <n v="2300"/>
    <x v="78"/>
    <x v="0"/>
    <n v="4"/>
    <n v="10"/>
    <n v="2004"/>
    <x v="1"/>
    <n v="143"/>
    <n v="-43"/>
    <x v="389"/>
    <x v="5"/>
    <x v="61"/>
    <x v="6"/>
    <x v="1"/>
    <x v="1"/>
  </r>
  <r>
    <x v="6"/>
    <n v="100"/>
    <n v="2900"/>
    <x v="96"/>
    <x v="0"/>
    <n v="4"/>
    <n v="10"/>
    <n v="2004"/>
    <x v="1"/>
    <n v="143"/>
    <n v="-43"/>
    <x v="389"/>
    <x v="5"/>
    <x v="62"/>
    <x v="13"/>
    <x v="1"/>
    <x v="1"/>
  </r>
  <r>
    <x v="4"/>
    <n v="100"/>
    <n v="4900"/>
    <x v="80"/>
    <x v="0"/>
    <n v="4"/>
    <n v="11"/>
    <n v="2004"/>
    <x v="1"/>
    <n v="143"/>
    <n v="-43"/>
    <x v="389"/>
    <x v="5"/>
    <x v="0"/>
    <x v="0"/>
    <x v="0"/>
    <x v="1"/>
  </r>
  <r>
    <x v="5"/>
    <n v="100"/>
    <n v="3600"/>
    <x v="81"/>
    <x v="0"/>
    <n v="4"/>
    <n v="11"/>
    <n v="2004"/>
    <x v="1"/>
    <n v="143"/>
    <n v="-43"/>
    <x v="389"/>
    <x v="5"/>
    <x v="0"/>
    <x v="0"/>
    <x v="0"/>
    <x v="1"/>
  </r>
  <r>
    <x v="1"/>
    <n v="100"/>
    <n v="3400"/>
    <x v="140"/>
    <x v="0"/>
    <n v="4"/>
    <n v="12"/>
    <n v="2004"/>
    <x v="1"/>
    <n v="143"/>
    <n v="-43"/>
    <x v="389"/>
    <x v="5"/>
    <x v="0"/>
    <x v="0"/>
    <x v="0"/>
    <x v="1"/>
  </r>
  <r>
    <x v="32"/>
    <n v="100"/>
    <n v="2500"/>
    <x v="48"/>
    <x v="0"/>
    <n v="4"/>
    <n v="12"/>
    <n v="2004"/>
    <x v="1"/>
    <n v="143"/>
    <n v="-43"/>
    <x v="389"/>
    <x v="5"/>
    <x v="20"/>
    <x v="7"/>
    <x v="1"/>
    <x v="0"/>
  </r>
  <r>
    <x v="7"/>
    <n v="100"/>
    <n v="4800"/>
    <x v="136"/>
    <x v="0"/>
    <n v="1"/>
    <n v="1"/>
    <n v="2005"/>
    <x v="1"/>
    <n v="143"/>
    <n v="-43"/>
    <x v="389"/>
    <x v="5"/>
    <x v="29"/>
    <x v="11"/>
    <x v="3"/>
    <x v="2"/>
  </r>
  <r>
    <x v="19"/>
    <n v="100"/>
    <n v="3800"/>
    <x v="205"/>
    <x v="0"/>
    <n v="1"/>
    <n v="2"/>
    <n v="2005"/>
    <x v="1"/>
    <n v="143"/>
    <n v="-43"/>
    <x v="389"/>
    <x v="5"/>
    <x v="20"/>
    <x v="7"/>
    <x v="1"/>
    <x v="1"/>
  </r>
  <r>
    <x v="9"/>
    <n v="100"/>
    <n v="3700"/>
    <x v="222"/>
    <x v="0"/>
    <n v="1"/>
    <n v="3"/>
    <n v="2005"/>
    <x v="1"/>
    <n v="143"/>
    <n v="-43"/>
    <x v="389"/>
    <x v="5"/>
    <x v="20"/>
    <x v="7"/>
    <x v="1"/>
    <x v="1"/>
  </r>
  <r>
    <x v="4"/>
    <n v="100"/>
    <n v="4900"/>
    <x v="130"/>
    <x v="0"/>
    <n v="2"/>
    <n v="5"/>
    <n v="2005"/>
    <x v="1"/>
    <n v="143"/>
    <n v="-43"/>
    <x v="389"/>
    <x v="5"/>
    <x v="10"/>
    <x v="0"/>
    <x v="0"/>
    <x v="1"/>
  </r>
  <r>
    <x v="8"/>
    <n v="86.51"/>
    <n v="1903.22"/>
    <x v="199"/>
    <x v="0"/>
    <n v="1"/>
    <n v="1"/>
    <n v="2003"/>
    <x v="3"/>
    <n v="92"/>
    <n v="-5.4899999999999949"/>
    <x v="390"/>
    <x v="3"/>
    <x v="34"/>
    <x v="0"/>
    <x v="0"/>
    <x v="0"/>
  </r>
  <r>
    <x v="11"/>
    <n v="89.27"/>
    <n v="2499.56"/>
    <x v="178"/>
    <x v="0"/>
    <n v="1"/>
    <n v="3"/>
    <n v="2003"/>
    <x v="3"/>
    <n v="92"/>
    <n v="-2.730000000000004"/>
    <x v="391"/>
    <x v="4"/>
    <x v="61"/>
    <x v="6"/>
    <x v="1"/>
    <x v="0"/>
  </r>
  <r>
    <x v="5"/>
    <n v="85.59"/>
    <n v="3081.2400000000002"/>
    <x v="166"/>
    <x v="0"/>
    <n v="2"/>
    <n v="5"/>
    <n v="2003"/>
    <x v="3"/>
    <n v="92"/>
    <n v="-6.4099999999999966"/>
    <x v="392"/>
    <x v="3"/>
    <x v="67"/>
    <x v="0"/>
    <x v="0"/>
    <x v="1"/>
  </r>
  <r>
    <x v="1"/>
    <n v="100"/>
    <n v="3400"/>
    <x v="153"/>
    <x v="0"/>
    <n v="3"/>
    <n v="9"/>
    <n v="2003"/>
    <x v="3"/>
    <n v="92"/>
    <n v="8"/>
    <x v="393"/>
    <x v="0"/>
    <x v="36"/>
    <x v="3"/>
    <x v="2"/>
    <x v="1"/>
  </r>
  <r>
    <x v="25"/>
    <n v="100"/>
    <n v="3900"/>
    <x v="169"/>
    <x v="0"/>
    <n v="4"/>
    <n v="10"/>
    <n v="2003"/>
    <x v="3"/>
    <n v="92"/>
    <n v="8"/>
    <x v="393"/>
    <x v="0"/>
    <x v="4"/>
    <x v="0"/>
    <x v="0"/>
    <x v="1"/>
  </r>
  <r>
    <x v="15"/>
    <n v="75.459999999999994"/>
    <n v="1584.6599999999999"/>
    <x v="155"/>
    <x v="0"/>
    <n v="4"/>
    <n v="11"/>
    <n v="2003"/>
    <x v="3"/>
    <n v="92"/>
    <n v="-16.540000000000006"/>
    <x v="394"/>
    <x v="6"/>
    <x v="69"/>
    <x v="12"/>
    <x v="1"/>
    <x v="0"/>
  </r>
  <r>
    <x v="5"/>
    <n v="100"/>
    <n v="3600"/>
    <x v="103"/>
    <x v="0"/>
    <n v="4"/>
    <n v="11"/>
    <n v="2003"/>
    <x v="3"/>
    <n v="92"/>
    <n v="8"/>
    <x v="393"/>
    <x v="0"/>
    <x v="33"/>
    <x v="0"/>
    <x v="0"/>
    <x v="1"/>
  </r>
  <r>
    <x v="16"/>
    <n v="97.55"/>
    <n v="2341.1999999999998"/>
    <x v="170"/>
    <x v="0"/>
    <n v="4"/>
    <n v="11"/>
    <n v="2003"/>
    <x v="3"/>
    <n v="92"/>
    <n v="5.5499999999999972"/>
    <x v="395"/>
    <x v="0"/>
    <x v="70"/>
    <x v="3"/>
    <x v="2"/>
    <x v="0"/>
  </r>
  <r>
    <x v="6"/>
    <n v="85.59"/>
    <n v="2482.11"/>
    <x v="105"/>
    <x v="0"/>
    <n v="4"/>
    <n v="12"/>
    <n v="2003"/>
    <x v="3"/>
    <n v="92"/>
    <n v="-6.4099999999999966"/>
    <x v="392"/>
    <x v="3"/>
    <x v="0"/>
    <x v="0"/>
    <x v="0"/>
    <x v="0"/>
  </r>
  <r>
    <x v="19"/>
    <n v="94.79"/>
    <n v="3602.0200000000004"/>
    <x v="236"/>
    <x v="0"/>
    <n v="1"/>
    <n v="1"/>
    <n v="2004"/>
    <x v="3"/>
    <n v="92"/>
    <n v="2.7900000000000063"/>
    <x v="396"/>
    <x v="0"/>
    <x v="41"/>
    <x v="6"/>
    <x v="1"/>
    <x v="1"/>
  </r>
  <r>
    <x v="1"/>
    <n v="100"/>
    <n v="3400"/>
    <x v="172"/>
    <x v="0"/>
    <n v="1"/>
    <n v="3"/>
    <n v="2004"/>
    <x v="3"/>
    <n v="92"/>
    <n v="8"/>
    <x v="393"/>
    <x v="0"/>
    <x v="25"/>
    <x v="1"/>
    <x v="1"/>
    <x v="1"/>
  </r>
  <r>
    <x v="13"/>
    <n v="90.19"/>
    <n v="3787.98"/>
    <x v="156"/>
    <x v="0"/>
    <n v="2"/>
    <n v="4"/>
    <n v="2004"/>
    <x v="3"/>
    <n v="92"/>
    <n v="-1.8100000000000023"/>
    <x v="397"/>
    <x v="4"/>
    <x v="66"/>
    <x v="1"/>
    <x v="1"/>
    <x v="1"/>
  </r>
  <r>
    <x v="21"/>
    <n v="100"/>
    <n v="3500"/>
    <x v="41"/>
    <x v="0"/>
    <n v="3"/>
    <n v="8"/>
    <n v="2004"/>
    <x v="3"/>
    <n v="92"/>
    <n v="8"/>
    <x v="393"/>
    <x v="0"/>
    <x v="30"/>
    <x v="12"/>
    <x v="1"/>
    <x v="1"/>
  </r>
  <r>
    <x v="21"/>
    <n v="80.989999999999995"/>
    <n v="2834.6499999999996"/>
    <x v="182"/>
    <x v="0"/>
    <n v="3"/>
    <n v="9"/>
    <n v="2004"/>
    <x v="3"/>
    <n v="92"/>
    <n v="-11.010000000000005"/>
    <x v="398"/>
    <x v="1"/>
    <x v="22"/>
    <x v="9"/>
    <x v="2"/>
    <x v="0"/>
  </r>
  <r>
    <x v="19"/>
    <n v="89.27"/>
    <n v="3392.2599999999998"/>
    <x v="66"/>
    <x v="0"/>
    <n v="4"/>
    <n v="10"/>
    <n v="2003"/>
    <x v="3"/>
    <n v="92"/>
    <n v="-2.730000000000004"/>
    <x v="391"/>
    <x v="4"/>
    <x v="19"/>
    <x v="6"/>
    <x v="1"/>
    <x v="1"/>
  </r>
  <r>
    <x v="2"/>
    <n v="81.91"/>
    <n v="3358.31"/>
    <x v="113"/>
    <x v="0"/>
    <n v="4"/>
    <n v="10"/>
    <n v="2004"/>
    <x v="3"/>
    <n v="92"/>
    <n v="-10.090000000000003"/>
    <x v="399"/>
    <x v="1"/>
    <x v="20"/>
    <x v="7"/>
    <x v="1"/>
    <x v="1"/>
  </r>
  <r>
    <x v="24"/>
    <n v="100"/>
    <n v="5000"/>
    <x v="159"/>
    <x v="0"/>
    <n v="4"/>
    <n v="11"/>
    <n v="2004"/>
    <x v="3"/>
    <n v="92"/>
    <n v="8"/>
    <x v="393"/>
    <x v="0"/>
    <x v="61"/>
    <x v="6"/>
    <x v="1"/>
    <x v="2"/>
  </r>
  <r>
    <x v="15"/>
    <n v="100"/>
    <n v="2100"/>
    <x v="201"/>
    <x v="0"/>
    <n v="4"/>
    <n v="11"/>
    <n v="2004"/>
    <x v="3"/>
    <n v="92"/>
    <n v="8"/>
    <x v="393"/>
    <x v="0"/>
    <x v="54"/>
    <x v="1"/>
    <x v="1"/>
    <x v="0"/>
  </r>
  <r>
    <x v="30"/>
    <n v="62.72"/>
    <n v="2696.96"/>
    <x v="183"/>
    <x v="5"/>
    <n v="1"/>
    <n v="1"/>
    <n v="2005"/>
    <x v="3"/>
    <n v="92"/>
    <n v="-29.28"/>
    <x v="400"/>
    <x v="5"/>
    <x v="3"/>
    <x v="0"/>
    <x v="0"/>
    <x v="0"/>
  </r>
  <r>
    <x v="22"/>
    <n v="100"/>
    <n v="3200"/>
    <x v="176"/>
    <x v="0"/>
    <n v="1"/>
    <n v="2"/>
    <n v="2005"/>
    <x v="3"/>
    <n v="92"/>
    <n v="8"/>
    <x v="393"/>
    <x v="0"/>
    <x v="20"/>
    <x v="7"/>
    <x v="1"/>
    <x v="1"/>
  </r>
  <r>
    <x v="44"/>
    <n v="90.19"/>
    <n v="541.14"/>
    <x v="185"/>
    <x v="4"/>
    <n v="2"/>
    <n v="4"/>
    <n v="2005"/>
    <x v="3"/>
    <n v="92"/>
    <n v="-1.8100000000000023"/>
    <x v="397"/>
    <x v="4"/>
    <x v="51"/>
    <x v="0"/>
    <x v="0"/>
    <x v="0"/>
  </r>
  <r>
    <x v="17"/>
    <n v="92.95"/>
    <n v="6134.7"/>
    <x v="202"/>
    <x v="2"/>
    <n v="2"/>
    <n v="5"/>
    <n v="2005"/>
    <x v="3"/>
    <n v="92"/>
    <n v="0.95000000000000284"/>
    <x v="401"/>
    <x v="0"/>
    <x v="17"/>
    <x v="3"/>
    <x v="2"/>
    <x v="1"/>
  </r>
  <r>
    <x v="2"/>
    <n v="82.5"/>
    <n v="3382.5"/>
    <x v="62"/>
    <x v="0"/>
    <n v="1"/>
    <n v="2"/>
    <n v="2003"/>
    <x v="3"/>
    <n v="87"/>
    <n v="-4.5"/>
    <x v="402"/>
    <x v="4"/>
    <x v="40"/>
    <x v="13"/>
    <x v="1"/>
    <x v="1"/>
  </r>
  <r>
    <x v="10"/>
    <n v="97.42"/>
    <n v="2240.66"/>
    <x v="117"/>
    <x v="0"/>
    <n v="2"/>
    <n v="4"/>
    <n v="2003"/>
    <x v="3"/>
    <n v="87"/>
    <n v="10.420000000000002"/>
    <x v="403"/>
    <x v="0"/>
    <x v="22"/>
    <x v="9"/>
    <x v="2"/>
    <x v="0"/>
  </r>
  <r>
    <x v="30"/>
    <n v="92.16"/>
    <n v="3962.8799999999997"/>
    <x v="218"/>
    <x v="0"/>
    <n v="2"/>
    <n v="6"/>
    <n v="2003"/>
    <x v="3"/>
    <n v="87"/>
    <n v="5.1599999999999966"/>
    <x v="404"/>
    <x v="0"/>
    <x v="20"/>
    <x v="7"/>
    <x v="1"/>
    <x v="1"/>
  </r>
  <r>
    <x v="16"/>
    <n v="70.22"/>
    <n v="1685.28"/>
    <x v="119"/>
    <x v="0"/>
    <n v="3"/>
    <n v="8"/>
    <n v="2003"/>
    <x v="3"/>
    <n v="87"/>
    <n v="-16.78"/>
    <x v="405"/>
    <x v="6"/>
    <x v="33"/>
    <x v="0"/>
    <x v="0"/>
    <x v="0"/>
  </r>
  <r>
    <x v="8"/>
    <n v="83.38"/>
    <n v="1834.36"/>
    <x v="120"/>
    <x v="0"/>
    <n v="3"/>
    <n v="9"/>
    <n v="2003"/>
    <x v="3"/>
    <n v="87"/>
    <n v="-3.6200000000000045"/>
    <x v="406"/>
    <x v="4"/>
    <x v="20"/>
    <x v="7"/>
    <x v="1"/>
    <x v="0"/>
  </r>
  <r>
    <x v="18"/>
    <n v="73.73"/>
    <n v="1916.98"/>
    <x v="90"/>
    <x v="0"/>
    <n v="4"/>
    <n v="10"/>
    <n v="2003"/>
    <x v="3"/>
    <n v="87"/>
    <n v="-13.269999999999996"/>
    <x v="407"/>
    <x v="1"/>
    <x v="18"/>
    <x v="0"/>
    <x v="0"/>
    <x v="0"/>
  </r>
  <r>
    <x v="21"/>
    <n v="74.599999999999994"/>
    <n v="2611"/>
    <x v="219"/>
    <x v="0"/>
    <n v="4"/>
    <n v="11"/>
    <n v="2003"/>
    <x v="3"/>
    <n v="87"/>
    <n v="-12.400000000000006"/>
    <x v="408"/>
    <x v="1"/>
    <x v="20"/>
    <x v="7"/>
    <x v="1"/>
    <x v="0"/>
  </r>
  <r>
    <x v="20"/>
    <n v="77.239999999999995"/>
    <n v="3630.2799999999997"/>
    <x v="69"/>
    <x v="0"/>
    <n v="4"/>
    <n v="11"/>
    <n v="2003"/>
    <x v="3"/>
    <n v="87"/>
    <n v="-9.7600000000000051"/>
    <x v="409"/>
    <x v="1"/>
    <x v="18"/>
    <x v="0"/>
    <x v="0"/>
    <x v="1"/>
  </r>
  <r>
    <x v="24"/>
    <n v="100"/>
    <n v="5000"/>
    <x v="70"/>
    <x v="0"/>
    <n v="4"/>
    <n v="11"/>
    <n v="2003"/>
    <x v="3"/>
    <n v="87"/>
    <n v="13"/>
    <x v="410"/>
    <x v="0"/>
    <x v="43"/>
    <x v="7"/>
    <x v="1"/>
    <x v="1"/>
  </r>
  <r>
    <x v="3"/>
    <n v="87.77"/>
    <n v="3949.6499999999996"/>
    <x v="122"/>
    <x v="0"/>
    <n v="1"/>
    <n v="1"/>
    <n v="2004"/>
    <x v="3"/>
    <n v="87"/>
    <n v="0.76999999999999602"/>
    <x v="411"/>
    <x v="0"/>
    <x v="25"/>
    <x v="1"/>
    <x v="1"/>
    <x v="1"/>
  </r>
  <r>
    <x v="25"/>
    <n v="89.53"/>
    <n v="3491.67"/>
    <x v="220"/>
    <x v="0"/>
    <n v="1"/>
    <n v="2"/>
    <n v="2004"/>
    <x v="3"/>
    <n v="87"/>
    <n v="2.5300000000000011"/>
    <x v="412"/>
    <x v="0"/>
    <x v="46"/>
    <x v="14"/>
    <x v="1"/>
    <x v="1"/>
  </r>
  <r>
    <x v="10"/>
    <n v="89.53"/>
    <n v="2059.19"/>
    <x v="221"/>
    <x v="0"/>
    <n v="1"/>
    <n v="3"/>
    <n v="2004"/>
    <x v="3"/>
    <n v="87"/>
    <n v="2.5300000000000011"/>
    <x v="412"/>
    <x v="0"/>
    <x v="49"/>
    <x v="6"/>
    <x v="1"/>
    <x v="0"/>
  </r>
  <r>
    <x v="13"/>
    <n v="75.48"/>
    <n v="3170.1600000000003"/>
    <x v="73"/>
    <x v="3"/>
    <n v="2"/>
    <n v="5"/>
    <n v="2004"/>
    <x v="3"/>
    <n v="87"/>
    <n v="-11.519999999999996"/>
    <x v="413"/>
    <x v="1"/>
    <x v="0"/>
    <x v="0"/>
    <x v="0"/>
    <x v="1"/>
  </r>
  <r>
    <x v="14"/>
    <n v="89.53"/>
    <n v="1790.6"/>
    <x v="74"/>
    <x v="0"/>
    <n v="2"/>
    <n v="6"/>
    <n v="2004"/>
    <x v="3"/>
    <n v="87"/>
    <n v="2.5300000000000011"/>
    <x v="412"/>
    <x v="0"/>
    <x v="37"/>
    <x v="10"/>
    <x v="0"/>
    <x v="0"/>
  </r>
  <r>
    <x v="29"/>
    <n v="71.09"/>
    <n v="2345.9700000000003"/>
    <x v="75"/>
    <x v="0"/>
    <n v="3"/>
    <n v="7"/>
    <n v="2004"/>
    <x v="3"/>
    <n v="87"/>
    <n v="-15.909999999999997"/>
    <x v="414"/>
    <x v="6"/>
    <x v="46"/>
    <x v="14"/>
    <x v="1"/>
    <x v="0"/>
  </r>
  <r>
    <x v="1"/>
    <n v="100"/>
    <n v="3400"/>
    <x v="76"/>
    <x v="0"/>
    <n v="3"/>
    <n v="8"/>
    <n v="2004"/>
    <x v="3"/>
    <n v="87"/>
    <n v="13"/>
    <x v="410"/>
    <x v="0"/>
    <x v="47"/>
    <x v="10"/>
    <x v="0"/>
    <x v="1"/>
  </r>
  <r>
    <x v="4"/>
    <n v="100"/>
    <n v="4900"/>
    <x v="127"/>
    <x v="0"/>
    <n v="3"/>
    <n v="9"/>
    <n v="2004"/>
    <x v="3"/>
    <n v="87"/>
    <n v="13"/>
    <x v="410"/>
    <x v="0"/>
    <x v="30"/>
    <x v="12"/>
    <x v="1"/>
    <x v="1"/>
  </r>
  <r>
    <x v="25"/>
    <n v="90.4"/>
    <n v="3525.6000000000004"/>
    <x v="78"/>
    <x v="0"/>
    <n v="4"/>
    <n v="10"/>
    <n v="2004"/>
    <x v="3"/>
    <n v="87"/>
    <n v="3.4000000000000057"/>
    <x v="415"/>
    <x v="0"/>
    <x v="61"/>
    <x v="6"/>
    <x v="1"/>
    <x v="1"/>
  </r>
  <r>
    <x v="5"/>
    <n v="100"/>
    <n v="3600"/>
    <x v="237"/>
    <x v="0"/>
    <n v="4"/>
    <n v="10"/>
    <n v="2004"/>
    <x v="3"/>
    <n v="87"/>
    <n v="13"/>
    <x v="410"/>
    <x v="0"/>
    <x v="11"/>
    <x v="1"/>
    <x v="1"/>
    <x v="1"/>
  </r>
  <r>
    <x v="24"/>
    <n v="86.01"/>
    <n v="4300.5"/>
    <x v="223"/>
    <x v="0"/>
    <n v="4"/>
    <n v="11"/>
    <n v="2004"/>
    <x v="3"/>
    <n v="87"/>
    <n v="-0.98999999999999488"/>
    <x v="416"/>
    <x v="4"/>
    <x v="21"/>
    <x v="8"/>
    <x v="1"/>
    <x v="1"/>
  </r>
  <r>
    <x v="6"/>
    <n v="100"/>
    <n v="2900"/>
    <x v="81"/>
    <x v="0"/>
    <n v="4"/>
    <n v="11"/>
    <n v="2004"/>
    <x v="3"/>
    <n v="87"/>
    <n v="13"/>
    <x v="410"/>
    <x v="0"/>
    <x v="0"/>
    <x v="0"/>
    <x v="0"/>
    <x v="1"/>
  </r>
  <r>
    <x v="0"/>
    <n v="100"/>
    <n v="3000"/>
    <x v="82"/>
    <x v="0"/>
    <n v="4"/>
    <n v="12"/>
    <n v="2004"/>
    <x v="3"/>
    <n v="87"/>
    <n v="13"/>
    <x v="410"/>
    <x v="0"/>
    <x v="20"/>
    <x v="7"/>
    <x v="1"/>
    <x v="1"/>
  </r>
  <r>
    <x v="2"/>
    <n v="86.89"/>
    <n v="3562.4900000000002"/>
    <x v="136"/>
    <x v="0"/>
    <n v="1"/>
    <n v="1"/>
    <n v="2005"/>
    <x v="3"/>
    <n v="87"/>
    <n v="-0.10999999999999943"/>
    <x v="417"/>
    <x v="2"/>
    <x v="29"/>
    <x v="11"/>
    <x v="3"/>
    <x v="1"/>
  </r>
  <r>
    <x v="11"/>
    <n v="58.58"/>
    <n v="1640.24"/>
    <x v="205"/>
    <x v="0"/>
    <n v="1"/>
    <n v="2"/>
    <n v="2005"/>
    <x v="3"/>
    <n v="87"/>
    <n v="-28.42"/>
    <x v="418"/>
    <x v="5"/>
    <x v="20"/>
    <x v="7"/>
    <x v="1"/>
    <x v="0"/>
  </r>
  <r>
    <x v="3"/>
    <n v="100"/>
    <n v="4500"/>
    <x v="141"/>
    <x v="0"/>
    <n v="1"/>
    <n v="3"/>
    <n v="2005"/>
    <x v="3"/>
    <n v="87"/>
    <n v="13"/>
    <x v="410"/>
    <x v="0"/>
    <x v="33"/>
    <x v="0"/>
    <x v="0"/>
    <x v="1"/>
  </r>
  <r>
    <x v="49"/>
    <n v="75.48"/>
    <n v="1207.68"/>
    <x v="88"/>
    <x v="4"/>
    <n v="2"/>
    <n v="5"/>
    <n v="2005"/>
    <x v="3"/>
    <n v="87"/>
    <n v="-11.519999999999996"/>
    <x v="413"/>
    <x v="1"/>
    <x v="48"/>
    <x v="0"/>
    <x v="0"/>
    <x v="0"/>
  </r>
  <r>
    <x v="5"/>
    <n v="100"/>
    <n v="3600"/>
    <x v="26"/>
    <x v="0"/>
    <n v="1"/>
    <n v="1"/>
    <n v="2003"/>
    <x v="2"/>
    <n v="121"/>
    <n v="-21"/>
    <x v="419"/>
    <x v="6"/>
    <x v="14"/>
    <x v="2"/>
    <x v="1"/>
    <x v="1"/>
  </r>
  <r>
    <x v="2"/>
    <n v="100"/>
    <n v="4100"/>
    <x v="89"/>
    <x v="0"/>
    <n v="2"/>
    <n v="4"/>
    <n v="2003"/>
    <x v="2"/>
    <n v="121"/>
    <n v="-21"/>
    <x v="419"/>
    <x v="6"/>
    <x v="2"/>
    <x v="1"/>
    <x v="1"/>
    <x v="1"/>
  </r>
  <r>
    <x v="24"/>
    <n v="100"/>
    <n v="5000"/>
    <x v="28"/>
    <x v="0"/>
    <n v="2"/>
    <n v="5"/>
    <n v="2003"/>
    <x v="2"/>
    <n v="121"/>
    <n v="-21"/>
    <x v="419"/>
    <x v="6"/>
    <x v="20"/>
    <x v="7"/>
    <x v="1"/>
    <x v="2"/>
  </r>
  <r>
    <x v="23"/>
    <n v="100"/>
    <n v="4000"/>
    <x v="29"/>
    <x v="0"/>
    <n v="3"/>
    <n v="7"/>
    <n v="2003"/>
    <x v="2"/>
    <n v="121"/>
    <n v="-21"/>
    <x v="419"/>
    <x v="6"/>
    <x v="5"/>
    <x v="0"/>
    <x v="0"/>
    <x v="1"/>
  </r>
  <r>
    <x v="4"/>
    <n v="100"/>
    <n v="4900"/>
    <x v="30"/>
    <x v="0"/>
    <n v="3"/>
    <n v="9"/>
    <n v="2003"/>
    <x v="2"/>
    <n v="121"/>
    <n v="-21"/>
    <x v="419"/>
    <x v="6"/>
    <x v="22"/>
    <x v="9"/>
    <x v="2"/>
    <x v="1"/>
  </r>
  <r>
    <x v="3"/>
    <n v="100"/>
    <n v="4500"/>
    <x v="90"/>
    <x v="5"/>
    <n v="4"/>
    <n v="10"/>
    <n v="2003"/>
    <x v="2"/>
    <n v="121"/>
    <n v="-21"/>
    <x v="419"/>
    <x v="6"/>
    <x v="52"/>
    <x v="5"/>
    <x v="1"/>
    <x v="1"/>
  </r>
  <r>
    <x v="20"/>
    <n v="100"/>
    <n v="4700"/>
    <x v="32"/>
    <x v="0"/>
    <n v="4"/>
    <n v="11"/>
    <n v="2003"/>
    <x v="2"/>
    <n v="121"/>
    <n v="-21"/>
    <x v="419"/>
    <x v="6"/>
    <x v="41"/>
    <x v="6"/>
    <x v="1"/>
    <x v="1"/>
  </r>
  <r>
    <x v="15"/>
    <n v="100"/>
    <n v="2100"/>
    <x v="33"/>
    <x v="0"/>
    <n v="4"/>
    <n v="11"/>
    <n v="2003"/>
    <x v="2"/>
    <n v="121"/>
    <n v="-21"/>
    <x v="419"/>
    <x v="6"/>
    <x v="24"/>
    <x v="0"/>
    <x v="0"/>
    <x v="0"/>
  </r>
  <r>
    <x v="22"/>
    <n v="100"/>
    <n v="3200"/>
    <x v="34"/>
    <x v="0"/>
    <n v="4"/>
    <n v="11"/>
    <n v="2003"/>
    <x v="2"/>
    <n v="121"/>
    <n v="-21"/>
    <x v="419"/>
    <x v="6"/>
    <x v="25"/>
    <x v="1"/>
    <x v="1"/>
    <x v="1"/>
  </r>
  <r>
    <x v="20"/>
    <n v="100"/>
    <n v="4700"/>
    <x v="91"/>
    <x v="0"/>
    <n v="4"/>
    <n v="12"/>
    <n v="2003"/>
    <x v="2"/>
    <n v="121"/>
    <n v="-21"/>
    <x v="419"/>
    <x v="6"/>
    <x v="48"/>
    <x v="0"/>
    <x v="0"/>
    <x v="1"/>
  </r>
  <r>
    <x v="19"/>
    <n v="100"/>
    <n v="3800"/>
    <x v="92"/>
    <x v="0"/>
    <n v="1"/>
    <n v="2"/>
    <n v="2004"/>
    <x v="2"/>
    <n v="121"/>
    <n v="-21"/>
    <x v="419"/>
    <x v="6"/>
    <x v="22"/>
    <x v="9"/>
    <x v="2"/>
    <x v="1"/>
  </r>
  <r>
    <x v="2"/>
    <n v="100"/>
    <n v="4100"/>
    <x v="93"/>
    <x v="0"/>
    <n v="1"/>
    <n v="3"/>
    <n v="2004"/>
    <x v="2"/>
    <n v="121"/>
    <n v="-21"/>
    <x v="419"/>
    <x v="6"/>
    <x v="33"/>
    <x v="0"/>
    <x v="0"/>
    <x v="1"/>
  </r>
  <r>
    <x v="15"/>
    <n v="100"/>
    <n v="2100"/>
    <x v="38"/>
    <x v="0"/>
    <n v="2"/>
    <n v="5"/>
    <n v="2004"/>
    <x v="2"/>
    <n v="121"/>
    <n v="-21"/>
    <x v="419"/>
    <x v="6"/>
    <x v="28"/>
    <x v="0"/>
    <x v="0"/>
    <x v="0"/>
  </r>
  <r>
    <x v="2"/>
    <n v="100"/>
    <n v="4100"/>
    <x v="39"/>
    <x v="0"/>
    <n v="2"/>
    <n v="6"/>
    <n v="2004"/>
    <x v="2"/>
    <n v="121"/>
    <n v="-21"/>
    <x v="419"/>
    <x v="6"/>
    <x v="22"/>
    <x v="9"/>
    <x v="2"/>
    <x v="1"/>
  </r>
  <r>
    <x v="19"/>
    <n v="100"/>
    <n v="3800"/>
    <x v="40"/>
    <x v="0"/>
    <n v="3"/>
    <n v="7"/>
    <n v="2004"/>
    <x v="2"/>
    <n v="121"/>
    <n v="-21"/>
    <x v="419"/>
    <x v="6"/>
    <x v="17"/>
    <x v="3"/>
    <x v="2"/>
    <x v="1"/>
  </r>
  <r>
    <x v="32"/>
    <n v="99.29"/>
    <n v="2482.25"/>
    <x v="94"/>
    <x v="0"/>
    <n v="3"/>
    <n v="8"/>
    <n v="2004"/>
    <x v="2"/>
    <n v="121"/>
    <n v="-21.709999999999994"/>
    <x v="420"/>
    <x v="6"/>
    <x v="15"/>
    <x v="0"/>
    <x v="0"/>
    <x v="0"/>
  </r>
  <r>
    <x v="7"/>
    <n v="100"/>
    <n v="4800"/>
    <x v="42"/>
    <x v="0"/>
    <n v="3"/>
    <n v="9"/>
    <n v="2004"/>
    <x v="2"/>
    <n v="121"/>
    <n v="-21"/>
    <x v="419"/>
    <x v="6"/>
    <x v="31"/>
    <x v="8"/>
    <x v="1"/>
    <x v="1"/>
  </r>
  <r>
    <x v="8"/>
    <n v="99.29"/>
    <n v="2184.38"/>
    <x v="95"/>
    <x v="0"/>
    <n v="4"/>
    <n v="10"/>
    <n v="2004"/>
    <x v="2"/>
    <n v="121"/>
    <n v="-21.709999999999994"/>
    <x v="420"/>
    <x v="6"/>
    <x v="12"/>
    <x v="0"/>
    <x v="0"/>
    <x v="0"/>
  </r>
  <r>
    <x v="11"/>
    <n v="100"/>
    <n v="2800"/>
    <x v="96"/>
    <x v="0"/>
    <n v="4"/>
    <n v="10"/>
    <n v="2004"/>
    <x v="2"/>
    <n v="121"/>
    <n v="-21"/>
    <x v="419"/>
    <x v="6"/>
    <x v="26"/>
    <x v="10"/>
    <x v="0"/>
    <x v="0"/>
  </r>
  <r>
    <x v="20"/>
    <n v="100"/>
    <n v="4700"/>
    <x v="80"/>
    <x v="0"/>
    <n v="4"/>
    <n v="11"/>
    <n v="2004"/>
    <x v="2"/>
    <n v="121"/>
    <n v="-21"/>
    <x v="419"/>
    <x v="6"/>
    <x v="58"/>
    <x v="16"/>
    <x v="1"/>
    <x v="1"/>
  </r>
  <r>
    <x v="4"/>
    <n v="100"/>
    <n v="4900"/>
    <x v="97"/>
    <x v="4"/>
    <n v="4"/>
    <n v="11"/>
    <n v="2004"/>
    <x v="2"/>
    <n v="121"/>
    <n v="-21"/>
    <x v="419"/>
    <x v="6"/>
    <x v="21"/>
    <x v="8"/>
    <x v="1"/>
    <x v="1"/>
  </r>
  <r>
    <x v="3"/>
    <n v="100"/>
    <n v="4500"/>
    <x v="47"/>
    <x v="0"/>
    <n v="4"/>
    <n v="11"/>
    <n v="2004"/>
    <x v="2"/>
    <n v="121"/>
    <n v="-21"/>
    <x v="419"/>
    <x v="6"/>
    <x v="8"/>
    <x v="3"/>
    <x v="2"/>
    <x v="1"/>
  </r>
  <r>
    <x v="11"/>
    <n v="100"/>
    <n v="2800"/>
    <x v="48"/>
    <x v="0"/>
    <n v="4"/>
    <n v="12"/>
    <n v="2004"/>
    <x v="2"/>
    <n v="121"/>
    <n v="-21"/>
    <x v="419"/>
    <x v="6"/>
    <x v="33"/>
    <x v="0"/>
    <x v="0"/>
    <x v="1"/>
  </r>
  <r>
    <x v="6"/>
    <n v="57.53"/>
    <n v="1668.3700000000001"/>
    <x v="49"/>
    <x v="0"/>
    <n v="1"/>
    <n v="1"/>
    <n v="2005"/>
    <x v="2"/>
    <n v="121"/>
    <n v="-63.47"/>
    <x v="421"/>
    <x v="5"/>
    <x v="36"/>
    <x v="3"/>
    <x v="2"/>
    <x v="0"/>
  </r>
  <r>
    <x v="25"/>
    <n v="100"/>
    <n v="3900"/>
    <x v="50"/>
    <x v="0"/>
    <n v="1"/>
    <n v="2"/>
    <n v="2005"/>
    <x v="2"/>
    <n v="121"/>
    <n v="-21"/>
    <x v="419"/>
    <x v="6"/>
    <x v="33"/>
    <x v="0"/>
    <x v="0"/>
    <x v="1"/>
  </r>
  <r>
    <x v="12"/>
    <n v="100"/>
    <n v="4600"/>
    <x v="52"/>
    <x v="0"/>
    <n v="2"/>
    <n v="5"/>
    <n v="2005"/>
    <x v="2"/>
    <n v="121"/>
    <n v="-21"/>
    <x v="419"/>
    <x v="6"/>
    <x v="37"/>
    <x v="10"/>
    <x v="0"/>
    <x v="1"/>
  </r>
  <r>
    <x v="19"/>
    <n v="100"/>
    <n v="3800"/>
    <x v="53"/>
    <x v="2"/>
    <n v="2"/>
    <n v="5"/>
    <n v="2005"/>
    <x v="2"/>
    <n v="121"/>
    <n v="-21"/>
    <x v="419"/>
    <x v="6"/>
    <x v="11"/>
    <x v="1"/>
    <x v="1"/>
    <x v="1"/>
  </r>
  <r>
    <x v="2"/>
    <n v="47.29"/>
    <n v="1938.8899999999999"/>
    <x v="26"/>
    <x v="0"/>
    <n v="1"/>
    <n v="1"/>
    <n v="2003"/>
    <x v="3"/>
    <n v="50"/>
    <n v="-2.7100000000000009"/>
    <x v="422"/>
    <x v="4"/>
    <x v="14"/>
    <x v="2"/>
    <x v="1"/>
    <x v="0"/>
  </r>
  <r>
    <x v="24"/>
    <n v="49.81"/>
    <n v="2490.5"/>
    <x v="131"/>
    <x v="0"/>
    <n v="1"/>
    <n v="3"/>
    <n v="2003"/>
    <x v="3"/>
    <n v="50"/>
    <n v="-0.18999999999999773"/>
    <x v="423"/>
    <x v="2"/>
    <x v="33"/>
    <x v="0"/>
    <x v="0"/>
    <x v="0"/>
  </r>
  <r>
    <x v="30"/>
    <n v="53.83"/>
    <n v="2314.69"/>
    <x v="28"/>
    <x v="0"/>
    <n v="2"/>
    <n v="5"/>
    <n v="2003"/>
    <x v="3"/>
    <n v="50"/>
    <n v="3.8299999999999983"/>
    <x v="424"/>
    <x v="0"/>
    <x v="20"/>
    <x v="7"/>
    <x v="1"/>
    <x v="0"/>
  </r>
  <r>
    <x v="6"/>
    <n v="43.27"/>
    <n v="1254.8300000000002"/>
    <x v="29"/>
    <x v="0"/>
    <n v="3"/>
    <n v="7"/>
    <n v="2003"/>
    <x v="3"/>
    <n v="50"/>
    <n v="-6.7299999999999969"/>
    <x v="425"/>
    <x v="1"/>
    <x v="5"/>
    <x v="0"/>
    <x v="0"/>
    <x v="0"/>
  </r>
  <r>
    <x v="0"/>
    <n v="42.76"/>
    <n v="1282.8"/>
    <x v="30"/>
    <x v="0"/>
    <n v="3"/>
    <n v="9"/>
    <n v="2003"/>
    <x v="3"/>
    <n v="50"/>
    <n v="-7.240000000000002"/>
    <x v="426"/>
    <x v="1"/>
    <x v="22"/>
    <x v="9"/>
    <x v="2"/>
    <x v="0"/>
  </r>
  <r>
    <x v="32"/>
    <n v="53.83"/>
    <n v="1345.75"/>
    <x v="90"/>
    <x v="5"/>
    <n v="4"/>
    <n v="10"/>
    <n v="2003"/>
    <x v="3"/>
    <n v="50"/>
    <n v="3.8299999999999983"/>
    <x v="424"/>
    <x v="0"/>
    <x v="52"/>
    <x v="5"/>
    <x v="1"/>
    <x v="0"/>
  </r>
  <r>
    <x v="4"/>
    <n v="44.78"/>
    <n v="2194.2200000000003"/>
    <x v="32"/>
    <x v="0"/>
    <n v="4"/>
    <n v="11"/>
    <n v="2003"/>
    <x v="3"/>
    <n v="50"/>
    <n v="-5.2199999999999989"/>
    <x v="427"/>
    <x v="3"/>
    <x v="23"/>
    <x v="3"/>
    <x v="2"/>
    <x v="0"/>
  </r>
  <r>
    <x v="23"/>
    <n v="49.3"/>
    <n v="1972"/>
    <x v="33"/>
    <x v="0"/>
    <n v="4"/>
    <n v="11"/>
    <n v="2003"/>
    <x v="3"/>
    <n v="50"/>
    <n v="-0.70000000000000284"/>
    <x v="428"/>
    <x v="4"/>
    <x v="24"/>
    <x v="0"/>
    <x v="0"/>
    <x v="0"/>
  </r>
  <r>
    <x v="2"/>
    <n v="44.78"/>
    <n v="1835.98"/>
    <x v="34"/>
    <x v="0"/>
    <n v="4"/>
    <n v="11"/>
    <n v="2003"/>
    <x v="3"/>
    <n v="50"/>
    <n v="-5.2199999999999989"/>
    <x v="427"/>
    <x v="3"/>
    <x v="25"/>
    <x v="1"/>
    <x v="1"/>
    <x v="0"/>
  </r>
  <r>
    <x v="15"/>
    <n v="53.33"/>
    <n v="1119.93"/>
    <x v="35"/>
    <x v="0"/>
    <n v="4"/>
    <n v="12"/>
    <n v="2003"/>
    <x v="3"/>
    <n v="50"/>
    <n v="3.3299999999999983"/>
    <x v="429"/>
    <x v="0"/>
    <x v="26"/>
    <x v="10"/>
    <x v="0"/>
    <x v="0"/>
  </r>
  <r>
    <x v="12"/>
    <n v="45.28"/>
    <n v="2082.88"/>
    <x v="36"/>
    <x v="0"/>
    <n v="1"/>
    <n v="1"/>
    <n v="2004"/>
    <x v="3"/>
    <n v="50"/>
    <n v="-4.7199999999999989"/>
    <x v="430"/>
    <x v="3"/>
    <x v="27"/>
    <x v="0"/>
    <x v="0"/>
    <x v="0"/>
  </r>
  <r>
    <x v="25"/>
    <n v="40.25"/>
    <n v="1569.75"/>
    <x v="93"/>
    <x v="0"/>
    <n v="1"/>
    <n v="3"/>
    <n v="2004"/>
    <x v="3"/>
    <n v="50"/>
    <n v="-9.75"/>
    <x v="431"/>
    <x v="6"/>
    <x v="33"/>
    <x v="0"/>
    <x v="0"/>
    <x v="0"/>
  </r>
  <r>
    <x v="3"/>
    <n v="59.87"/>
    <n v="2694.15"/>
    <x v="38"/>
    <x v="0"/>
    <n v="2"/>
    <n v="5"/>
    <n v="2004"/>
    <x v="3"/>
    <n v="50"/>
    <n v="9.8699999999999974"/>
    <x v="432"/>
    <x v="0"/>
    <x v="28"/>
    <x v="0"/>
    <x v="0"/>
    <x v="0"/>
  </r>
  <r>
    <x v="15"/>
    <n v="59.87"/>
    <n v="1257.27"/>
    <x v="39"/>
    <x v="0"/>
    <n v="2"/>
    <n v="6"/>
    <n v="2004"/>
    <x v="3"/>
    <n v="50"/>
    <n v="9.8699999999999974"/>
    <x v="432"/>
    <x v="0"/>
    <x v="29"/>
    <x v="11"/>
    <x v="3"/>
    <x v="0"/>
  </r>
  <r>
    <x v="27"/>
    <n v="58.36"/>
    <n v="2567.84"/>
    <x v="40"/>
    <x v="0"/>
    <n v="3"/>
    <n v="7"/>
    <n v="2004"/>
    <x v="3"/>
    <n v="50"/>
    <n v="8.36"/>
    <x v="433"/>
    <x v="0"/>
    <x v="17"/>
    <x v="3"/>
    <x v="2"/>
    <x v="0"/>
  </r>
  <r>
    <x v="27"/>
    <n v="59.87"/>
    <n v="2634.2799999999997"/>
    <x v="94"/>
    <x v="0"/>
    <n v="3"/>
    <n v="8"/>
    <n v="2004"/>
    <x v="3"/>
    <n v="50"/>
    <n v="9.8699999999999974"/>
    <x v="432"/>
    <x v="0"/>
    <x v="15"/>
    <x v="0"/>
    <x v="0"/>
    <x v="0"/>
  </r>
  <r>
    <x v="6"/>
    <n v="51.82"/>
    <n v="1502.78"/>
    <x v="42"/>
    <x v="0"/>
    <n v="3"/>
    <n v="9"/>
    <n v="2004"/>
    <x v="3"/>
    <n v="50"/>
    <n v="1.8200000000000003"/>
    <x v="434"/>
    <x v="0"/>
    <x v="31"/>
    <x v="8"/>
    <x v="1"/>
    <x v="0"/>
  </r>
  <r>
    <x v="1"/>
    <n v="49.3"/>
    <n v="1676.1999999999998"/>
    <x v="43"/>
    <x v="0"/>
    <n v="4"/>
    <n v="10"/>
    <n v="2004"/>
    <x v="3"/>
    <n v="50"/>
    <n v="-0.70000000000000284"/>
    <x v="428"/>
    <x v="4"/>
    <x v="32"/>
    <x v="1"/>
    <x v="1"/>
    <x v="0"/>
  </r>
  <r>
    <x v="25"/>
    <n v="56.85"/>
    <n v="2217.15"/>
    <x v="44"/>
    <x v="0"/>
    <n v="4"/>
    <n v="10"/>
    <n v="2004"/>
    <x v="3"/>
    <n v="50"/>
    <n v="6.8500000000000014"/>
    <x v="435"/>
    <x v="0"/>
    <x v="33"/>
    <x v="0"/>
    <x v="0"/>
    <x v="0"/>
  </r>
  <r>
    <x v="19"/>
    <n v="100"/>
    <n v="3800"/>
    <x v="80"/>
    <x v="0"/>
    <n v="4"/>
    <n v="11"/>
    <n v="2004"/>
    <x v="3"/>
    <n v="50"/>
    <n v="50"/>
    <x v="436"/>
    <x v="0"/>
    <x v="0"/>
    <x v="0"/>
    <x v="0"/>
    <x v="1"/>
  </r>
  <r>
    <x v="16"/>
    <n v="79.86"/>
    <n v="1916.6399999999999"/>
    <x v="46"/>
    <x v="0"/>
    <n v="4"/>
    <n v="11"/>
    <n v="2004"/>
    <x v="3"/>
    <n v="50"/>
    <n v="29.86"/>
    <x v="437"/>
    <x v="0"/>
    <x v="4"/>
    <x v="0"/>
    <x v="0"/>
    <x v="0"/>
  </r>
  <r>
    <x v="6"/>
    <n v="100"/>
    <n v="2900"/>
    <x v="79"/>
    <x v="0"/>
    <n v="4"/>
    <n v="11"/>
    <n v="2004"/>
    <x v="3"/>
    <n v="50"/>
    <n v="50"/>
    <x v="436"/>
    <x v="0"/>
    <x v="20"/>
    <x v="7"/>
    <x v="1"/>
    <x v="2"/>
  </r>
  <r>
    <x v="0"/>
    <n v="100"/>
    <n v="3000"/>
    <x v="48"/>
    <x v="0"/>
    <n v="4"/>
    <n v="12"/>
    <n v="2004"/>
    <x v="3"/>
    <n v="50"/>
    <n v="50"/>
    <x v="436"/>
    <x v="0"/>
    <x v="20"/>
    <x v="7"/>
    <x v="1"/>
    <x v="1"/>
  </r>
  <r>
    <x v="14"/>
    <n v="100"/>
    <n v="2000"/>
    <x v="49"/>
    <x v="0"/>
    <n v="1"/>
    <n v="1"/>
    <n v="2005"/>
    <x v="3"/>
    <n v="50"/>
    <n v="50"/>
    <x v="436"/>
    <x v="0"/>
    <x v="36"/>
    <x v="3"/>
    <x v="2"/>
    <x v="0"/>
  </r>
  <r>
    <x v="25"/>
    <n v="100"/>
    <n v="3900"/>
    <x v="50"/>
    <x v="0"/>
    <n v="1"/>
    <n v="2"/>
    <n v="2005"/>
    <x v="3"/>
    <n v="50"/>
    <n v="50"/>
    <x v="436"/>
    <x v="0"/>
    <x v="33"/>
    <x v="0"/>
    <x v="0"/>
    <x v="2"/>
  </r>
  <r>
    <x v="21"/>
    <n v="59.87"/>
    <n v="2095.4499999999998"/>
    <x v="52"/>
    <x v="0"/>
    <n v="2"/>
    <n v="5"/>
    <n v="2005"/>
    <x v="3"/>
    <n v="50"/>
    <n v="9.8699999999999974"/>
    <x v="432"/>
    <x v="0"/>
    <x v="37"/>
    <x v="10"/>
    <x v="0"/>
    <x v="0"/>
  </r>
  <r>
    <x v="18"/>
    <n v="59.87"/>
    <n v="1556.62"/>
    <x v="53"/>
    <x v="2"/>
    <n v="2"/>
    <n v="5"/>
    <n v="2005"/>
    <x v="3"/>
    <n v="50"/>
    <n v="9.8699999999999974"/>
    <x v="432"/>
    <x v="0"/>
    <x v="20"/>
    <x v="7"/>
    <x v="1"/>
    <x v="0"/>
  </r>
  <r>
    <x v="27"/>
    <n v="100"/>
    <n v="4400"/>
    <x v="98"/>
    <x v="0"/>
    <n v="1"/>
    <n v="3"/>
    <n v="2003"/>
    <x v="1"/>
    <n v="148"/>
    <n v="-48"/>
    <x v="438"/>
    <x v="5"/>
    <x v="53"/>
    <x v="15"/>
    <x v="2"/>
    <x v="1"/>
  </r>
  <r>
    <x v="11"/>
    <n v="100"/>
    <n v="2800"/>
    <x v="99"/>
    <x v="0"/>
    <n v="2"/>
    <n v="5"/>
    <n v="2003"/>
    <x v="1"/>
    <n v="148"/>
    <n v="-48"/>
    <x v="438"/>
    <x v="5"/>
    <x v="54"/>
    <x v="1"/>
    <x v="1"/>
    <x v="1"/>
  </r>
  <r>
    <x v="28"/>
    <n v="100"/>
    <n v="3100"/>
    <x v="100"/>
    <x v="0"/>
    <n v="3"/>
    <n v="7"/>
    <n v="2003"/>
    <x v="1"/>
    <n v="148"/>
    <n v="-48"/>
    <x v="438"/>
    <x v="5"/>
    <x v="33"/>
    <x v="0"/>
    <x v="0"/>
    <x v="1"/>
  </r>
  <r>
    <x v="6"/>
    <n v="100"/>
    <n v="2900"/>
    <x v="229"/>
    <x v="0"/>
    <n v="3"/>
    <n v="9"/>
    <n v="2003"/>
    <x v="1"/>
    <n v="148"/>
    <n v="-48"/>
    <x v="438"/>
    <x v="5"/>
    <x v="63"/>
    <x v="0"/>
    <x v="0"/>
    <x v="1"/>
  </r>
  <r>
    <x v="22"/>
    <n v="100"/>
    <n v="3200"/>
    <x v="4"/>
    <x v="0"/>
    <n v="4"/>
    <n v="10"/>
    <n v="2003"/>
    <x v="1"/>
    <n v="148"/>
    <n v="-48"/>
    <x v="438"/>
    <x v="5"/>
    <x v="4"/>
    <x v="0"/>
    <x v="0"/>
    <x v="1"/>
  </r>
  <r>
    <x v="29"/>
    <n v="100"/>
    <n v="3300"/>
    <x v="102"/>
    <x v="0"/>
    <n v="4"/>
    <n v="11"/>
    <n v="2003"/>
    <x v="1"/>
    <n v="148"/>
    <n v="-48"/>
    <x v="438"/>
    <x v="5"/>
    <x v="36"/>
    <x v="3"/>
    <x v="2"/>
    <x v="1"/>
  </r>
  <r>
    <x v="27"/>
    <n v="100"/>
    <n v="4400"/>
    <x v="6"/>
    <x v="0"/>
    <n v="4"/>
    <n v="11"/>
    <n v="2003"/>
    <x v="1"/>
    <n v="148"/>
    <n v="-48"/>
    <x v="438"/>
    <x v="5"/>
    <x v="6"/>
    <x v="1"/>
    <x v="1"/>
    <x v="1"/>
  </r>
  <r>
    <x v="22"/>
    <n v="100"/>
    <n v="3200"/>
    <x v="104"/>
    <x v="0"/>
    <n v="4"/>
    <n v="11"/>
    <n v="2003"/>
    <x v="1"/>
    <n v="148"/>
    <n v="-48"/>
    <x v="438"/>
    <x v="5"/>
    <x v="55"/>
    <x v="16"/>
    <x v="1"/>
    <x v="1"/>
  </r>
  <r>
    <x v="2"/>
    <n v="100"/>
    <n v="4100"/>
    <x v="9"/>
    <x v="0"/>
    <n v="1"/>
    <n v="1"/>
    <n v="2004"/>
    <x v="1"/>
    <n v="148"/>
    <n v="-48"/>
    <x v="438"/>
    <x v="5"/>
    <x v="2"/>
    <x v="1"/>
    <x v="1"/>
    <x v="1"/>
  </r>
  <r>
    <x v="21"/>
    <n v="100"/>
    <n v="3500"/>
    <x v="106"/>
    <x v="0"/>
    <n v="1"/>
    <n v="2"/>
    <n v="2004"/>
    <x v="1"/>
    <n v="148"/>
    <n v="-48"/>
    <x v="438"/>
    <x v="5"/>
    <x v="56"/>
    <x v="17"/>
    <x v="1"/>
    <x v="1"/>
  </r>
  <r>
    <x v="27"/>
    <n v="100"/>
    <n v="4400"/>
    <x v="107"/>
    <x v="0"/>
    <n v="2"/>
    <n v="4"/>
    <n v="2004"/>
    <x v="1"/>
    <n v="148"/>
    <n v="-48"/>
    <x v="438"/>
    <x v="5"/>
    <x v="40"/>
    <x v="13"/>
    <x v="1"/>
    <x v="1"/>
  </r>
  <r>
    <x v="18"/>
    <n v="100"/>
    <n v="2600"/>
    <x v="224"/>
    <x v="0"/>
    <n v="2"/>
    <n v="5"/>
    <n v="2004"/>
    <x v="1"/>
    <n v="148"/>
    <n v="-48"/>
    <x v="438"/>
    <x v="5"/>
    <x v="2"/>
    <x v="1"/>
    <x v="1"/>
    <x v="1"/>
  </r>
  <r>
    <x v="14"/>
    <n v="100"/>
    <n v="2000"/>
    <x v="230"/>
    <x v="0"/>
    <n v="2"/>
    <n v="6"/>
    <n v="2004"/>
    <x v="1"/>
    <n v="148"/>
    <n v="-48"/>
    <x v="438"/>
    <x v="5"/>
    <x v="48"/>
    <x v="0"/>
    <x v="0"/>
    <x v="0"/>
  </r>
  <r>
    <x v="7"/>
    <n v="100"/>
    <n v="4800"/>
    <x v="110"/>
    <x v="0"/>
    <n v="3"/>
    <n v="8"/>
    <n v="2004"/>
    <x v="1"/>
    <n v="148"/>
    <n v="-48"/>
    <x v="438"/>
    <x v="5"/>
    <x v="35"/>
    <x v="0"/>
    <x v="0"/>
    <x v="1"/>
  </r>
  <r>
    <x v="1"/>
    <n v="100"/>
    <n v="3400"/>
    <x v="111"/>
    <x v="0"/>
    <n v="3"/>
    <n v="8"/>
    <n v="2004"/>
    <x v="1"/>
    <n v="148"/>
    <n v="-48"/>
    <x v="438"/>
    <x v="5"/>
    <x v="56"/>
    <x v="17"/>
    <x v="1"/>
    <x v="1"/>
  </r>
  <r>
    <x v="4"/>
    <n v="100"/>
    <n v="4900"/>
    <x v="16"/>
    <x v="0"/>
    <n v="3"/>
    <n v="9"/>
    <n v="2004"/>
    <x v="1"/>
    <n v="148"/>
    <n v="-48"/>
    <x v="438"/>
    <x v="5"/>
    <x v="13"/>
    <x v="4"/>
    <x v="1"/>
    <x v="2"/>
  </r>
  <r>
    <x v="23"/>
    <n v="100"/>
    <n v="4000"/>
    <x v="113"/>
    <x v="0"/>
    <n v="4"/>
    <n v="10"/>
    <n v="2004"/>
    <x v="1"/>
    <n v="148"/>
    <n v="-48"/>
    <x v="438"/>
    <x v="5"/>
    <x v="55"/>
    <x v="16"/>
    <x v="1"/>
    <x v="1"/>
  </r>
  <r>
    <x v="3"/>
    <n v="100"/>
    <n v="4500"/>
    <x v="114"/>
    <x v="0"/>
    <n v="4"/>
    <n v="11"/>
    <n v="2004"/>
    <x v="1"/>
    <n v="148"/>
    <n v="-48"/>
    <x v="438"/>
    <x v="5"/>
    <x v="0"/>
    <x v="0"/>
    <x v="0"/>
    <x v="2"/>
  </r>
  <r>
    <x v="24"/>
    <n v="100"/>
    <n v="5000"/>
    <x v="227"/>
    <x v="0"/>
    <n v="4"/>
    <n v="11"/>
    <n v="2004"/>
    <x v="1"/>
    <n v="148"/>
    <n v="-48"/>
    <x v="438"/>
    <x v="5"/>
    <x v="53"/>
    <x v="15"/>
    <x v="2"/>
    <x v="1"/>
  </r>
  <r>
    <x v="19"/>
    <n v="100"/>
    <n v="3800"/>
    <x v="20"/>
    <x v="0"/>
    <n v="4"/>
    <n v="11"/>
    <n v="2004"/>
    <x v="1"/>
    <n v="148"/>
    <n v="-48"/>
    <x v="438"/>
    <x v="5"/>
    <x v="8"/>
    <x v="3"/>
    <x v="2"/>
    <x v="1"/>
  </r>
  <r>
    <x v="32"/>
    <n v="100"/>
    <n v="2500"/>
    <x v="228"/>
    <x v="0"/>
    <n v="4"/>
    <n v="12"/>
    <n v="2004"/>
    <x v="1"/>
    <n v="148"/>
    <n v="-48"/>
    <x v="438"/>
    <x v="5"/>
    <x v="20"/>
    <x v="7"/>
    <x v="1"/>
    <x v="1"/>
  </r>
  <r>
    <x v="11"/>
    <n v="58.18"/>
    <n v="1629.04"/>
    <x v="115"/>
    <x v="0"/>
    <n v="1"/>
    <n v="1"/>
    <n v="2005"/>
    <x v="1"/>
    <n v="148"/>
    <n v="-89.82"/>
    <x v="439"/>
    <x v="5"/>
    <x v="59"/>
    <x v="4"/>
    <x v="1"/>
    <x v="0"/>
  </r>
  <r>
    <x v="4"/>
    <n v="67.14"/>
    <n v="3289.86"/>
    <x v="184"/>
    <x v="0"/>
    <n v="1"/>
    <n v="2"/>
    <n v="2005"/>
    <x v="1"/>
    <n v="148"/>
    <n v="-80.86"/>
    <x v="440"/>
    <x v="5"/>
    <x v="20"/>
    <x v="7"/>
    <x v="1"/>
    <x v="1"/>
  </r>
  <r>
    <x v="4"/>
    <n v="100"/>
    <n v="4900"/>
    <x v="162"/>
    <x v="0"/>
    <n v="1"/>
    <n v="3"/>
    <n v="2005"/>
    <x v="1"/>
    <n v="148"/>
    <n v="-48"/>
    <x v="438"/>
    <x v="5"/>
    <x v="33"/>
    <x v="0"/>
    <x v="0"/>
    <x v="1"/>
  </r>
  <r>
    <x v="13"/>
    <n v="61.29"/>
    <n v="2574.1799999999998"/>
    <x v="178"/>
    <x v="0"/>
    <n v="1"/>
    <n v="3"/>
    <n v="2003"/>
    <x v="1"/>
    <n v="71"/>
    <n v="-9.7100000000000009"/>
    <x v="441"/>
    <x v="1"/>
    <x v="61"/>
    <x v="6"/>
    <x v="1"/>
    <x v="0"/>
  </r>
  <r>
    <x v="10"/>
    <n v="57.73"/>
    <n v="1327.79"/>
    <x v="166"/>
    <x v="0"/>
    <n v="2"/>
    <n v="5"/>
    <n v="2003"/>
    <x v="1"/>
    <n v="71"/>
    <n v="-13.270000000000003"/>
    <x v="442"/>
    <x v="6"/>
    <x v="67"/>
    <x v="0"/>
    <x v="0"/>
    <x v="0"/>
  </r>
  <r>
    <x v="6"/>
    <n v="81.25"/>
    <n v="2356.25"/>
    <x v="153"/>
    <x v="0"/>
    <n v="3"/>
    <n v="9"/>
    <n v="2003"/>
    <x v="1"/>
    <n v="71"/>
    <n v="10.25"/>
    <x v="443"/>
    <x v="0"/>
    <x v="36"/>
    <x v="3"/>
    <x v="2"/>
    <x v="0"/>
  </r>
  <r>
    <x v="32"/>
    <n v="80.540000000000006"/>
    <n v="2013.5000000000002"/>
    <x v="154"/>
    <x v="0"/>
    <n v="4"/>
    <n v="10"/>
    <n v="2003"/>
    <x v="1"/>
    <n v="71"/>
    <n v="9.5400000000000063"/>
    <x v="444"/>
    <x v="0"/>
    <x v="62"/>
    <x v="13"/>
    <x v="1"/>
    <x v="0"/>
  </r>
  <r>
    <x v="25"/>
    <n v="71.98"/>
    <n v="2807.2200000000003"/>
    <x v="155"/>
    <x v="0"/>
    <n v="4"/>
    <n v="11"/>
    <n v="2003"/>
    <x v="1"/>
    <n v="71"/>
    <n v="0.98000000000000398"/>
    <x v="445"/>
    <x v="0"/>
    <x v="69"/>
    <x v="12"/>
    <x v="1"/>
    <x v="0"/>
  </r>
  <r>
    <x v="27"/>
    <n v="69.84"/>
    <n v="3072.96"/>
    <x v="103"/>
    <x v="0"/>
    <n v="4"/>
    <n v="11"/>
    <n v="2003"/>
    <x v="1"/>
    <n v="71"/>
    <n v="-1.1599999999999966"/>
    <x v="446"/>
    <x v="4"/>
    <x v="33"/>
    <x v="0"/>
    <x v="0"/>
    <x v="1"/>
  </r>
  <r>
    <x v="32"/>
    <n v="76.260000000000005"/>
    <n v="1906.5000000000002"/>
    <x v="170"/>
    <x v="0"/>
    <n v="4"/>
    <n v="11"/>
    <n v="2003"/>
    <x v="1"/>
    <n v="71"/>
    <n v="5.2600000000000051"/>
    <x v="447"/>
    <x v="0"/>
    <x v="70"/>
    <x v="3"/>
    <x v="2"/>
    <x v="0"/>
  </r>
  <r>
    <x v="3"/>
    <n v="76.260000000000005"/>
    <n v="3431.7000000000003"/>
    <x v="105"/>
    <x v="0"/>
    <n v="4"/>
    <n v="12"/>
    <n v="2003"/>
    <x v="1"/>
    <n v="71"/>
    <n v="5.2600000000000051"/>
    <x v="447"/>
    <x v="0"/>
    <x v="0"/>
    <x v="0"/>
    <x v="0"/>
    <x v="1"/>
  </r>
  <r>
    <x v="32"/>
    <n v="83.39"/>
    <n v="2084.75"/>
    <x v="236"/>
    <x v="0"/>
    <n v="1"/>
    <n v="1"/>
    <n v="2004"/>
    <x v="1"/>
    <n v="71"/>
    <n v="12.39"/>
    <x v="448"/>
    <x v="0"/>
    <x v="41"/>
    <x v="6"/>
    <x v="1"/>
    <x v="0"/>
  </r>
  <r>
    <x v="9"/>
    <n v="57.73"/>
    <n v="2136.0099999999998"/>
    <x v="172"/>
    <x v="0"/>
    <n v="1"/>
    <n v="3"/>
    <n v="2004"/>
    <x v="1"/>
    <n v="71"/>
    <n v="-13.270000000000003"/>
    <x v="442"/>
    <x v="6"/>
    <x v="25"/>
    <x v="1"/>
    <x v="1"/>
    <x v="0"/>
  </r>
  <r>
    <x v="0"/>
    <n v="66.989999999999995"/>
    <n v="2009.6999999999998"/>
    <x v="156"/>
    <x v="0"/>
    <n v="2"/>
    <n v="4"/>
    <n v="2004"/>
    <x v="1"/>
    <n v="71"/>
    <n v="-4.0100000000000051"/>
    <x v="449"/>
    <x v="3"/>
    <x v="66"/>
    <x v="1"/>
    <x v="1"/>
    <x v="0"/>
  </r>
  <r>
    <x v="5"/>
    <n v="75.55"/>
    <n v="2719.7999999999997"/>
    <x v="238"/>
    <x v="0"/>
    <n v="3"/>
    <n v="7"/>
    <n v="2004"/>
    <x v="1"/>
    <n v="71"/>
    <n v="4.5499999999999972"/>
    <x v="450"/>
    <x v="0"/>
    <x v="0"/>
    <x v="0"/>
    <x v="0"/>
    <x v="0"/>
  </r>
  <r>
    <x v="18"/>
    <n v="60.58"/>
    <n v="1575.08"/>
    <x v="239"/>
    <x v="0"/>
    <n v="3"/>
    <n v="8"/>
    <n v="2004"/>
    <x v="1"/>
    <n v="71"/>
    <n v="-10.420000000000002"/>
    <x v="451"/>
    <x v="1"/>
    <x v="20"/>
    <x v="7"/>
    <x v="1"/>
    <x v="0"/>
  </r>
  <r>
    <x v="10"/>
    <n v="73.41"/>
    <n v="1688.4299999999998"/>
    <x v="182"/>
    <x v="0"/>
    <n v="3"/>
    <n v="9"/>
    <n v="2004"/>
    <x v="1"/>
    <n v="71"/>
    <n v="2.4099999999999966"/>
    <x v="452"/>
    <x v="0"/>
    <x v="22"/>
    <x v="9"/>
    <x v="2"/>
    <x v="0"/>
  </r>
  <r>
    <x v="10"/>
    <n v="72.7"/>
    <n v="1672.1000000000001"/>
    <x v="66"/>
    <x v="0"/>
    <n v="4"/>
    <n v="10"/>
    <n v="2003"/>
    <x v="1"/>
    <n v="71"/>
    <n v="1.7000000000000028"/>
    <x v="453"/>
    <x v="0"/>
    <x v="19"/>
    <x v="6"/>
    <x v="1"/>
    <x v="0"/>
  </r>
  <r>
    <x v="32"/>
    <n v="66.989999999999995"/>
    <n v="1674.7499999999998"/>
    <x v="113"/>
    <x v="0"/>
    <n v="4"/>
    <n v="10"/>
    <n v="2004"/>
    <x v="1"/>
    <n v="71"/>
    <n v="-4.0100000000000051"/>
    <x v="449"/>
    <x v="3"/>
    <x v="20"/>
    <x v="7"/>
    <x v="1"/>
    <x v="0"/>
  </r>
  <r>
    <x v="15"/>
    <n v="100"/>
    <n v="2100"/>
    <x v="159"/>
    <x v="0"/>
    <n v="4"/>
    <n v="11"/>
    <n v="2004"/>
    <x v="1"/>
    <n v="71"/>
    <n v="29"/>
    <x v="454"/>
    <x v="0"/>
    <x v="61"/>
    <x v="6"/>
    <x v="1"/>
    <x v="1"/>
  </r>
  <r>
    <x v="18"/>
    <n v="63.43"/>
    <n v="1649.18"/>
    <x v="201"/>
    <x v="0"/>
    <n v="4"/>
    <n v="11"/>
    <n v="2004"/>
    <x v="1"/>
    <n v="71"/>
    <n v="-7.57"/>
    <x v="455"/>
    <x v="1"/>
    <x v="54"/>
    <x v="1"/>
    <x v="1"/>
    <x v="0"/>
  </r>
  <r>
    <x v="27"/>
    <n v="85.25"/>
    <n v="3751"/>
    <x v="183"/>
    <x v="5"/>
    <n v="1"/>
    <n v="1"/>
    <n v="2005"/>
    <x v="1"/>
    <n v="71"/>
    <n v="14.25"/>
    <x v="456"/>
    <x v="0"/>
    <x v="3"/>
    <x v="0"/>
    <x v="0"/>
    <x v="1"/>
  </r>
  <r>
    <x v="16"/>
    <n v="100"/>
    <n v="2400"/>
    <x v="176"/>
    <x v="0"/>
    <n v="1"/>
    <n v="2"/>
    <n v="2005"/>
    <x v="1"/>
    <n v="71"/>
    <n v="29"/>
    <x v="454"/>
    <x v="0"/>
    <x v="20"/>
    <x v="7"/>
    <x v="1"/>
    <x v="1"/>
  </r>
  <r>
    <x v="17"/>
    <n v="66.989999999999995"/>
    <n v="4421.3399999999992"/>
    <x v="185"/>
    <x v="4"/>
    <n v="2"/>
    <n v="4"/>
    <n v="2005"/>
    <x v="1"/>
    <n v="71"/>
    <n v="-4.0100000000000051"/>
    <x v="449"/>
    <x v="3"/>
    <x v="51"/>
    <x v="0"/>
    <x v="0"/>
    <x v="1"/>
  </r>
  <r>
    <x v="5"/>
    <n v="57.73"/>
    <n v="2078.2799999999997"/>
    <x v="202"/>
    <x v="2"/>
    <n v="2"/>
    <n v="5"/>
    <n v="2005"/>
    <x v="1"/>
    <n v="71"/>
    <n v="-13.270000000000003"/>
    <x v="442"/>
    <x v="6"/>
    <x v="17"/>
    <x v="3"/>
    <x v="2"/>
    <x v="0"/>
  </r>
  <r>
    <x v="5"/>
    <n v="85.25"/>
    <n v="3069"/>
    <x v="178"/>
    <x v="0"/>
    <n v="1"/>
    <n v="3"/>
    <n v="2003"/>
    <x v="1"/>
    <n v="73"/>
    <n v="12.25"/>
    <x v="457"/>
    <x v="0"/>
    <x v="61"/>
    <x v="6"/>
    <x v="1"/>
    <x v="1"/>
  </r>
  <r>
    <x v="8"/>
    <n v="77.900000000000006"/>
    <n v="1713.8000000000002"/>
    <x v="166"/>
    <x v="0"/>
    <n v="2"/>
    <n v="5"/>
    <n v="2003"/>
    <x v="1"/>
    <n v="73"/>
    <n v="4.9000000000000057"/>
    <x v="458"/>
    <x v="0"/>
    <x v="67"/>
    <x v="0"/>
    <x v="0"/>
    <x v="0"/>
  </r>
  <r>
    <x v="32"/>
    <n v="60.26"/>
    <n v="1506.5"/>
    <x v="153"/>
    <x v="0"/>
    <n v="3"/>
    <n v="9"/>
    <n v="2003"/>
    <x v="1"/>
    <n v="73"/>
    <n v="-12.740000000000002"/>
    <x v="459"/>
    <x v="6"/>
    <x v="36"/>
    <x v="3"/>
    <x v="2"/>
    <x v="0"/>
  </r>
  <r>
    <x v="9"/>
    <n v="72.760000000000005"/>
    <n v="2692.1200000000003"/>
    <x v="154"/>
    <x v="0"/>
    <n v="4"/>
    <n v="10"/>
    <n v="2003"/>
    <x v="1"/>
    <n v="73"/>
    <n v="-0.23999999999999488"/>
    <x v="460"/>
    <x v="2"/>
    <x v="62"/>
    <x v="13"/>
    <x v="1"/>
    <x v="0"/>
  </r>
  <r>
    <x v="22"/>
    <n v="75.69"/>
    <n v="2422.08"/>
    <x v="155"/>
    <x v="0"/>
    <n v="4"/>
    <n v="11"/>
    <n v="2003"/>
    <x v="1"/>
    <n v="73"/>
    <n v="2.6899999999999977"/>
    <x v="461"/>
    <x v="0"/>
    <x v="10"/>
    <x v="0"/>
    <x v="0"/>
    <x v="0"/>
  </r>
  <r>
    <x v="20"/>
    <n v="74.22"/>
    <n v="3488.34"/>
    <x v="103"/>
    <x v="0"/>
    <n v="4"/>
    <n v="11"/>
    <n v="2003"/>
    <x v="1"/>
    <n v="73"/>
    <n v="1.2199999999999989"/>
    <x v="462"/>
    <x v="0"/>
    <x v="33"/>
    <x v="0"/>
    <x v="0"/>
    <x v="1"/>
  </r>
  <r>
    <x v="9"/>
    <n v="69.819999999999993"/>
    <n v="2583.3399999999997"/>
    <x v="104"/>
    <x v="0"/>
    <n v="4"/>
    <n v="11"/>
    <n v="2003"/>
    <x v="1"/>
    <n v="73"/>
    <n v="-3.1800000000000068"/>
    <x v="463"/>
    <x v="4"/>
    <x v="34"/>
    <x v="0"/>
    <x v="0"/>
    <x v="0"/>
  </r>
  <r>
    <x v="14"/>
    <n v="62.47"/>
    <n v="1249.4000000000001"/>
    <x v="105"/>
    <x v="0"/>
    <n v="4"/>
    <n v="12"/>
    <n v="2003"/>
    <x v="1"/>
    <n v="73"/>
    <n v="-10.530000000000001"/>
    <x v="464"/>
    <x v="1"/>
    <x v="0"/>
    <x v="0"/>
    <x v="0"/>
    <x v="0"/>
  </r>
  <r>
    <x v="2"/>
    <n v="82.31"/>
    <n v="3374.71"/>
    <x v="138"/>
    <x v="0"/>
    <n v="1"/>
    <n v="1"/>
    <n v="2004"/>
    <x v="1"/>
    <n v="73"/>
    <n v="9.3100000000000023"/>
    <x v="465"/>
    <x v="0"/>
    <x v="20"/>
    <x v="7"/>
    <x v="1"/>
    <x v="1"/>
  </r>
  <r>
    <x v="15"/>
    <n v="60.26"/>
    <n v="1265.46"/>
    <x v="181"/>
    <x v="0"/>
    <n v="1"/>
    <n v="2"/>
    <n v="2004"/>
    <x v="1"/>
    <n v="73"/>
    <n v="-12.740000000000002"/>
    <x v="459"/>
    <x v="6"/>
    <x v="45"/>
    <x v="0"/>
    <x v="0"/>
    <x v="0"/>
  </r>
  <r>
    <x v="8"/>
    <n v="76.430000000000007"/>
    <n v="1681.46"/>
    <x v="156"/>
    <x v="0"/>
    <n v="2"/>
    <n v="4"/>
    <n v="2004"/>
    <x v="1"/>
    <n v="73"/>
    <n v="3.4300000000000068"/>
    <x v="466"/>
    <x v="0"/>
    <x v="66"/>
    <x v="1"/>
    <x v="1"/>
    <x v="0"/>
  </r>
  <r>
    <x v="23"/>
    <n v="80.099999999999994"/>
    <n v="3204"/>
    <x v="238"/>
    <x v="0"/>
    <n v="3"/>
    <n v="7"/>
    <n v="2004"/>
    <x v="1"/>
    <n v="73"/>
    <n v="7.0999999999999943"/>
    <x v="467"/>
    <x v="0"/>
    <x v="0"/>
    <x v="0"/>
    <x v="0"/>
    <x v="1"/>
  </r>
  <r>
    <x v="22"/>
    <n v="74.959999999999994"/>
    <n v="2398.7199999999998"/>
    <x v="239"/>
    <x v="0"/>
    <n v="3"/>
    <n v="8"/>
    <n v="2004"/>
    <x v="1"/>
    <n v="73"/>
    <n v="1.9599999999999937"/>
    <x v="468"/>
    <x v="0"/>
    <x v="20"/>
    <x v="7"/>
    <x v="1"/>
    <x v="0"/>
  </r>
  <r>
    <x v="5"/>
    <n v="66.14"/>
    <n v="2381.04"/>
    <x v="182"/>
    <x v="0"/>
    <n v="3"/>
    <n v="9"/>
    <n v="2004"/>
    <x v="1"/>
    <n v="73"/>
    <n v="-6.8599999999999994"/>
    <x v="469"/>
    <x v="3"/>
    <x v="22"/>
    <x v="9"/>
    <x v="2"/>
    <x v="0"/>
  </r>
  <r>
    <x v="26"/>
    <n v="72.02"/>
    <n v="1944.54"/>
    <x v="158"/>
    <x v="0"/>
    <n v="4"/>
    <n v="10"/>
    <n v="2003"/>
    <x v="1"/>
    <n v="73"/>
    <n v="-0.98000000000000398"/>
    <x v="470"/>
    <x v="4"/>
    <x v="68"/>
    <x v="2"/>
    <x v="1"/>
    <x v="0"/>
  </r>
  <r>
    <x v="18"/>
    <n v="87.45"/>
    <n v="2273.7000000000003"/>
    <x v="113"/>
    <x v="0"/>
    <n v="4"/>
    <n v="10"/>
    <n v="2004"/>
    <x v="1"/>
    <n v="73"/>
    <n v="14.450000000000003"/>
    <x v="471"/>
    <x v="0"/>
    <x v="20"/>
    <x v="7"/>
    <x v="1"/>
    <x v="0"/>
  </r>
  <r>
    <x v="0"/>
    <n v="70.55"/>
    <n v="2116.5"/>
    <x v="45"/>
    <x v="0"/>
    <n v="4"/>
    <n v="11"/>
    <n v="2004"/>
    <x v="1"/>
    <n v="73"/>
    <n v="-2.4500000000000028"/>
    <x v="472"/>
    <x v="4"/>
    <x v="18"/>
    <x v="0"/>
    <x v="0"/>
    <x v="0"/>
  </r>
  <r>
    <x v="10"/>
    <n v="56.84"/>
    <n v="1307.3200000000002"/>
    <x v="159"/>
    <x v="0"/>
    <n v="4"/>
    <n v="11"/>
    <n v="2004"/>
    <x v="1"/>
    <n v="73"/>
    <n v="-16.159999999999997"/>
    <x v="473"/>
    <x v="5"/>
    <x v="61"/>
    <x v="6"/>
    <x v="1"/>
    <x v="0"/>
  </r>
  <r>
    <x v="6"/>
    <n v="59.53"/>
    <n v="1726.3700000000001"/>
    <x v="201"/>
    <x v="0"/>
    <n v="4"/>
    <n v="11"/>
    <n v="2004"/>
    <x v="1"/>
    <n v="73"/>
    <n v="-13.469999999999999"/>
    <x v="474"/>
    <x v="6"/>
    <x v="54"/>
    <x v="1"/>
    <x v="1"/>
    <x v="0"/>
  </r>
  <r>
    <x v="15"/>
    <n v="60.37"/>
    <n v="1267.77"/>
    <x v="183"/>
    <x v="5"/>
    <n v="1"/>
    <n v="1"/>
    <n v="2005"/>
    <x v="1"/>
    <n v="73"/>
    <n v="-12.630000000000003"/>
    <x v="475"/>
    <x v="6"/>
    <x v="3"/>
    <x v="0"/>
    <x v="0"/>
    <x v="0"/>
  </r>
  <r>
    <x v="1"/>
    <n v="100"/>
    <n v="3400"/>
    <x v="176"/>
    <x v="0"/>
    <n v="1"/>
    <n v="2"/>
    <n v="2005"/>
    <x v="1"/>
    <n v="73"/>
    <n v="27"/>
    <x v="476"/>
    <x v="0"/>
    <x v="20"/>
    <x v="7"/>
    <x v="1"/>
    <x v="1"/>
  </r>
  <r>
    <x v="18"/>
    <n v="76.430000000000007"/>
    <n v="1987.1800000000003"/>
    <x v="185"/>
    <x v="4"/>
    <n v="2"/>
    <n v="4"/>
    <n v="2005"/>
    <x v="1"/>
    <n v="73"/>
    <n v="3.4300000000000068"/>
    <x v="466"/>
    <x v="0"/>
    <x v="51"/>
    <x v="0"/>
    <x v="0"/>
    <x v="0"/>
  </r>
  <r>
    <x v="46"/>
    <n v="64.67"/>
    <n v="3880.2000000000003"/>
    <x v="202"/>
    <x v="2"/>
    <n v="2"/>
    <n v="5"/>
    <n v="2005"/>
    <x v="1"/>
    <n v="73"/>
    <n v="-8.3299999999999983"/>
    <x v="477"/>
    <x v="1"/>
    <x v="17"/>
    <x v="3"/>
    <x v="2"/>
    <x v="1"/>
  </r>
  <r>
    <x v="21"/>
    <n v="55.49"/>
    <n v="1942.15"/>
    <x v="134"/>
    <x v="0"/>
    <n v="1"/>
    <n v="1"/>
    <n v="2003"/>
    <x v="1"/>
    <n v="57"/>
    <n v="-1.509999999999998"/>
    <x v="478"/>
    <x v="4"/>
    <x v="20"/>
    <x v="7"/>
    <x v="1"/>
    <x v="0"/>
  </r>
  <r>
    <x v="20"/>
    <n v="69.36"/>
    <n v="3259.92"/>
    <x v="143"/>
    <x v="0"/>
    <n v="2"/>
    <n v="4"/>
    <n v="2003"/>
    <x v="1"/>
    <n v="57"/>
    <n v="12.36"/>
    <x v="479"/>
    <x v="0"/>
    <x v="0"/>
    <x v="0"/>
    <x v="0"/>
    <x v="1"/>
  </r>
  <r>
    <x v="14"/>
    <n v="60.69"/>
    <n v="1213.8"/>
    <x v="118"/>
    <x v="0"/>
    <n v="2"/>
    <n v="6"/>
    <n v="2003"/>
    <x v="1"/>
    <n v="57"/>
    <n v="3.6899999999999977"/>
    <x v="480"/>
    <x v="0"/>
    <x v="0"/>
    <x v="0"/>
    <x v="0"/>
    <x v="0"/>
  </r>
  <r>
    <x v="14"/>
    <n v="54.33"/>
    <n v="1086.5999999999999"/>
    <x v="144"/>
    <x v="0"/>
    <n v="3"/>
    <n v="8"/>
    <n v="2003"/>
    <x v="1"/>
    <n v="57"/>
    <n v="-2.6700000000000017"/>
    <x v="481"/>
    <x v="4"/>
    <x v="59"/>
    <x v="4"/>
    <x v="1"/>
    <x v="0"/>
  </r>
  <r>
    <x v="32"/>
    <n v="65.31"/>
    <n v="1632.75"/>
    <x v="235"/>
    <x v="0"/>
    <n v="3"/>
    <n v="9"/>
    <n v="2003"/>
    <x v="1"/>
    <n v="57"/>
    <n v="8.3100000000000023"/>
    <x v="482"/>
    <x v="0"/>
    <x v="23"/>
    <x v="3"/>
    <x v="2"/>
    <x v="0"/>
  </r>
  <r>
    <x v="32"/>
    <n v="69.36"/>
    <n v="1734"/>
    <x v="121"/>
    <x v="0"/>
    <n v="4"/>
    <n v="10"/>
    <n v="2003"/>
    <x v="1"/>
    <n v="57"/>
    <n v="12.36"/>
    <x v="479"/>
    <x v="0"/>
    <x v="22"/>
    <x v="9"/>
    <x v="2"/>
    <x v="0"/>
  </r>
  <r>
    <x v="26"/>
    <n v="68.78"/>
    <n v="1857.06"/>
    <x v="32"/>
    <x v="0"/>
    <n v="4"/>
    <n v="11"/>
    <n v="2003"/>
    <x v="1"/>
    <n v="57"/>
    <n v="11.780000000000001"/>
    <x v="483"/>
    <x v="0"/>
    <x v="57"/>
    <x v="12"/>
    <x v="1"/>
    <x v="0"/>
  </r>
  <r>
    <x v="28"/>
    <n v="60.11"/>
    <n v="1863.41"/>
    <x v="69"/>
    <x v="0"/>
    <n v="4"/>
    <n v="11"/>
    <n v="2003"/>
    <x v="1"/>
    <n v="57"/>
    <n v="3.1099999999999994"/>
    <x v="484"/>
    <x v="0"/>
    <x v="64"/>
    <x v="7"/>
    <x v="1"/>
    <x v="0"/>
  </r>
  <r>
    <x v="27"/>
    <n v="66.47"/>
    <n v="2924.68"/>
    <x v="34"/>
    <x v="0"/>
    <n v="4"/>
    <n v="11"/>
    <n v="2003"/>
    <x v="1"/>
    <n v="57"/>
    <n v="9.4699999999999989"/>
    <x v="485"/>
    <x v="0"/>
    <x v="39"/>
    <x v="0"/>
    <x v="0"/>
    <x v="0"/>
  </r>
  <r>
    <x v="4"/>
    <n v="46.82"/>
    <n v="2294.1799999999998"/>
    <x v="91"/>
    <x v="0"/>
    <n v="4"/>
    <n v="12"/>
    <n v="2003"/>
    <x v="1"/>
    <n v="57"/>
    <n v="-10.18"/>
    <x v="486"/>
    <x v="6"/>
    <x v="48"/>
    <x v="0"/>
    <x v="0"/>
    <x v="0"/>
  </r>
  <r>
    <x v="18"/>
    <n v="56.07"/>
    <n v="1457.82"/>
    <x v="123"/>
    <x v="0"/>
    <n v="1"/>
    <n v="2"/>
    <n v="2004"/>
    <x v="1"/>
    <n v="57"/>
    <n v="-0.92999999999999972"/>
    <x v="487"/>
    <x v="4"/>
    <x v="60"/>
    <x v="18"/>
    <x v="1"/>
    <x v="0"/>
  </r>
  <r>
    <x v="5"/>
    <n v="54.33"/>
    <n v="1955.8799999999999"/>
    <x v="135"/>
    <x v="0"/>
    <n v="1"/>
    <n v="3"/>
    <n v="2004"/>
    <x v="1"/>
    <n v="57"/>
    <n v="-2.6700000000000017"/>
    <x v="481"/>
    <x v="4"/>
    <x v="58"/>
    <x v="16"/>
    <x v="1"/>
    <x v="0"/>
  </r>
  <r>
    <x v="27"/>
    <n v="52.6"/>
    <n v="2314.4"/>
    <x v="125"/>
    <x v="0"/>
    <n v="2"/>
    <n v="5"/>
    <n v="2004"/>
    <x v="1"/>
    <n v="57"/>
    <n v="-4.3999999999999986"/>
    <x v="488"/>
    <x v="3"/>
    <x v="20"/>
    <x v="7"/>
    <x v="1"/>
    <x v="0"/>
  </r>
  <r>
    <x v="11"/>
    <n v="46.82"/>
    <n v="1310.96"/>
    <x v="39"/>
    <x v="0"/>
    <n v="2"/>
    <n v="6"/>
    <n v="2004"/>
    <x v="1"/>
    <n v="57"/>
    <n v="-10.18"/>
    <x v="486"/>
    <x v="6"/>
    <x v="22"/>
    <x v="9"/>
    <x v="2"/>
    <x v="0"/>
  </r>
  <r>
    <x v="3"/>
    <n v="64.739999999999995"/>
    <n v="2913.2999999999997"/>
    <x v="126"/>
    <x v="0"/>
    <n v="3"/>
    <n v="7"/>
    <n v="2004"/>
    <x v="1"/>
    <n v="57"/>
    <n v="7.7399999999999949"/>
    <x v="489"/>
    <x v="0"/>
    <x v="33"/>
    <x v="0"/>
    <x v="0"/>
    <x v="0"/>
  </r>
  <r>
    <x v="6"/>
    <n v="46.82"/>
    <n v="1357.78"/>
    <x v="76"/>
    <x v="0"/>
    <n v="3"/>
    <n v="8"/>
    <n v="2004"/>
    <x v="1"/>
    <n v="57"/>
    <n v="-10.18"/>
    <x v="486"/>
    <x v="6"/>
    <x v="33"/>
    <x v="0"/>
    <x v="0"/>
    <x v="0"/>
  </r>
  <r>
    <x v="23"/>
    <n v="53.75"/>
    <n v="2150"/>
    <x v="42"/>
    <x v="0"/>
    <n v="3"/>
    <n v="9"/>
    <n v="2004"/>
    <x v="1"/>
    <n v="57"/>
    <n v="-3.25"/>
    <x v="490"/>
    <x v="3"/>
    <x v="0"/>
    <x v="0"/>
    <x v="0"/>
    <x v="0"/>
  </r>
  <r>
    <x v="3"/>
    <n v="61.85"/>
    <n v="2783.25"/>
    <x v="95"/>
    <x v="0"/>
    <n v="4"/>
    <n v="10"/>
    <n v="2004"/>
    <x v="1"/>
    <n v="57"/>
    <n v="4.8500000000000014"/>
    <x v="491"/>
    <x v="0"/>
    <x v="12"/>
    <x v="0"/>
    <x v="0"/>
    <x v="0"/>
  </r>
  <r>
    <x v="27"/>
    <n v="53.18"/>
    <n v="2339.92"/>
    <x v="96"/>
    <x v="0"/>
    <n v="4"/>
    <n v="10"/>
    <n v="2004"/>
    <x v="1"/>
    <n v="57"/>
    <n v="-3.8200000000000003"/>
    <x v="492"/>
    <x v="3"/>
    <x v="62"/>
    <x v="13"/>
    <x v="1"/>
    <x v="0"/>
  </r>
  <r>
    <x v="32"/>
    <n v="69.16"/>
    <n v="1729"/>
    <x v="80"/>
    <x v="0"/>
    <n v="4"/>
    <n v="11"/>
    <n v="2004"/>
    <x v="1"/>
    <n v="57"/>
    <n v="12.159999999999997"/>
    <x v="493"/>
    <x v="0"/>
    <x v="0"/>
    <x v="0"/>
    <x v="0"/>
    <x v="0"/>
  </r>
  <r>
    <x v="3"/>
    <n v="100"/>
    <n v="4500"/>
    <x v="128"/>
    <x v="0"/>
    <n v="4"/>
    <n v="11"/>
    <n v="2004"/>
    <x v="1"/>
    <n v="57"/>
    <n v="43"/>
    <x v="494"/>
    <x v="0"/>
    <x v="2"/>
    <x v="1"/>
    <x v="1"/>
    <x v="1"/>
  </r>
  <r>
    <x v="7"/>
    <n v="47.4"/>
    <n v="2275.1999999999998"/>
    <x v="140"/>
    <x v="0"/>
    <n v="4"/>
    <n v="12"/>
    <n v="2004"/>
    <x v="1"/>
    <n v="57"/>
    <n v="-9.6000000000000014"/>
    <x v="495"/>
    <x v="6"/>
    <x v="0"/>
    <x v="0"/>
    <x v="0"/>
    <x v="0"/>
  </r>
  <r>
    <x v="27"/>
    <n v="60.76"/>
    <n v="2673.44"/>
    <x v="48"/>
    <x v="0"/>
    <n v="4"/>
    <n v="12"/>
    <n v="2004"/>
    <x v="1"/>
    <n v="57"/>
    <n v="3.759999999999998"/>
    <x v="496"/>
    <x v="0"/>
    <x v="20"/>
    <x v="7"/>
    <x v="1"/>
    <x v="0"/>
  </r>
  <r>
    <x v="32"/>
    <n v="97.27"/>
    <n v="2431.75"/>
    <x v="129"/>
    <x v="0"/>
    <n v="1"/>
    <n v="1"/>
    <n v="2005"/>
    <x v="1"/>
    <n v="57"/>
    <n v="40.269999999999996"/>
    <x v="497"/>
    <x v="0"/>
    <x v="33"/>
    <x v="0"/>
    <x v="0"/>
    <x v="0"/>
  </r>
  <r>
    <x v="8"/>
    <n v="91.76"/>
    <n v="2018.72"/>
    <x v="205"/>
    <x v="0"/>
    <n v="1"/>
    <n v="2"/>
    <n v="2005"/>
    <x v="1"/>
    <n v="57"/>
    <n v="34.760000000000005"/>
    <x v="498"/>
    <x v="0"/>
    <x v="20"/>
    <x v="7"/>
    <x v="1"/>
    <x v="0"/>
  </r>
  <r>
    <x v="28"/>
    <n v="50.29"/>
    <n v="1558.99"/>
    <x v="222"/>
    <x v="0"/>
    <n v="1"/>
    <n v="3"/>
    <n v="2005"/>
    <x v="1"/>
    <n v="57"/>
    <n v="-6.7100000000000009"/>
    <x v="499"/>
    <x v="1"/>
    <x v="20"/>
    <x v="7"/>
    <x v="1"/>
    <x v="0"/>
  </r>
  <r>
    <x v="15"/>
    <n v="52.6"/>
    <n v="1104.6000000000001"/>
    <x v="147"/>
    <x v="0"/>
    <n v="2"/>
    <n v="5"/>
    <n v="2005"/>
    <x v="1"/>
    <n v="57"/>
    <n v="-4.3999999999999986"/>
    <x v="488"/>
    <x v="3"/>
    <x v="20"/>
    <x v="7"/>
    <x v="1"/>
    <x v="0"/>
  </r>
  <r>
    <x v="36"/>
    <n v="46.82"/>
    <n v="2575.1"/>
    <x v="53"/>
    <x v="2"/>
    <n v="2"/>
    <n v="5"/>
    <n v="2005"/>
    <x v="1"/>
    <n v="57"/>
    <n v="-10.18"/>
    <x v="486"/>
    <x v="6"/>
    <x v="11"/>
    <x v="1"/>
    <x v="1"/>
    <x v="0"/>
  </r>
  <r>
    <x v="32"/>
    <n v="100"/>
    <n v="2500"/>
    <x v="0"/>
    <x v="0"/>
    <n v="1"/>
    <n v="2"/>
    <n v="2003"/>
    <x v="0"/>
    <n v="112"/>
    <n v="-12"/>
    <x v="500"/>
    <x v="1"/>
    <x v="0"/>
    <x v="0"/>
    <x v="0"/>
    <x v="0"/>
  </r>
  <r>
    <x v="21"/>
    <n v="98.05"/>
    <n v="3431.75"/>
    <x v="54"/>
    <x v="0"/>
    <n v="2"/>
    <n v="4"/>
    <n v="2003"/>
    <x v="0"/>
    <n v="112"/>
    <n v="-13.950000000000003"/>
    <x v="501"/>
    <x v="1"/>
    <x v="8"/>
    <x v="3"/>
    <x v="2"/>
    <x v="1"/>
  </r>
  <r>
    <x v="21"/>
    <n v="93.54"/>
    <n v="3273.9"/>
    <x v="2"/>
    <x v="0"/>
    <n v="3"/>
    <n v="7"/>
    <n v="2003"/>
    <x v="0"/>
    <n v="112"/>
    <n v="-18.459999999999994"/>
    <x v="502"/>
    <x v="6"/>
    <x v="2"/>
    <x v="1"/>
    <x v="1"/>
    <x v="1"/>
  </r>
  <r>
    <x v="30"/>
    <n v="95.8"/>
    <n v="4119.3999999999996"/>
    <x v="3"/>
    <x v="0"/>
    <n v="3"/>
    <n v="8"/>
    <n v="2003"/>
    <x v="0"/>
    <n v="112"/>
    <n v="-16.200000000000003"/>
    <x v="503"/>
    <x v="1"/>
    <x v="3"/>
    <x v="0"/>
    <x v="0"/>
    <x v="1"/>
  </r>
  <r>
    <x v="27"/>
    <n v="100"/>
    <n v="4400"/>
    <x v="4"/>
    <x v="0"/>
    <n v="4"/>
    <n v="10"/>
    <n v="2003"/>
    <x v="0"/>
    <n v="112"/>
    <n v="-12"/>
    <x v="500"/>
    <x v="1"/>
    <x v="4"/>
    <x v="0"/>
    <x v="0"/>
    <x v="1"/>
  </r>
  <r>
    <x v="24"/>
    <n v="100"/>
    <n v="5000"/>
    <x v="5"/>
    <x v="0"/>
    <n v="4"/>
    <n v="10"/>
    <n v="2003"/>
    <x v="0"/>
    <n v="112"/>
    <n v="-12"/>
    <x v="500"/>
    <x v="1"/>
    <x v="5"/>
    <x v="0"/>
    <x v="0"/>
    <x v="1"/>
  </r>
  <r>
    <x v="7"/>
    <n v="100"/>
    <n v="4800"/>
    <x v="6"/>
    <x v="0"/>
    <n v="4"/>
    <n v="11"/>
    <n v="2003"/>
    <x v="0"/>
    <n v="112"/>
    <n v="-12"/>
    <x v="500"/>
    <x v="1"/>
    <x v="6"/>
    <x v="1"/>
    <x v="1"/>
    <x v="1"/>
  </r>
  <r>
    <x v="32"/>
    <n v="100"/>
    <n v="2500"/>
    <x v="7"/>
    <x v="0"/>
    <n v="4"/>
    <n v="11"/>
    <n v="2003"/>
    <x v="0"/>
    <n v="112"/>
    <n v="-12"/>
    <x v="500"/>
    <x v="1"/>
    <x v="7"/>
    <x v="2"/>
    <x v="1"/>
    <x v="0"/>
  </r>
  <r>
    <x v="25"/>
    <n v="100"/>
    <n v="3900"/>
    <x v="8"/>
    <x v="0"/>
    <n v="4"/>
    <n v="12"/>
    <n v="2003"/>
    <x v="0"/>
    <n v="112"/>
    <n v="-12"/>
    <x v="500"/>
    <x v="1"/>
    <x v="4"/>
    <x v="0"/>
    <x v="0"/>
    <x v="1"/>
  </r>
  <r>
    <x v="32"/>
    <n v="90.16"/>
    <n v="2254"/>
    <x v="9"/>
    <x v="0"/>
    <n v="1"/>
    <n v="1"/>
    <n v="2004"/>
    <x v="0"/>
    <n v="112"/>
    <n v="-21.840000000000003"/>
    <x v="504"/>
    <x v="6"/>
    <x v="2"/>
    <x v="1"/>
    <x v="1"/>
    <x v="0"/>
  </r>
  <r>
    <x v="22"/>
    <n v="91.29"/>
    <n v="2921.28"/>
    <x v="10"/>
    <x v="0"/>
    <n v="1"/>
    <n v="2"/>
    <n v="2004"/>
    <x v="0"/>
    <n v="112"/>
    <n v="-20.709999999999994"/>
    <x v="505"/>
    <x v="6"/>
    <x v="8"/>
    <x v="3"/>
    <x v="2"/>
    <x v="0"/>
  </r>
  <r>
    <x v="14"/>
    <n v="100"/>
    <n v="2000"/>
    <x v="11"/>
    <x v="0"/>
    <n v="2"/>
    <n v="4"/>
    <n v="2004"/>
    <x v="0"/>
    <n v="112"/>
    <n v="-12"/>
    <x v="500"/>
    <x v="1"/>
    <x v="0"/>
    <x v="0"/>
    <x v="0"/>
    <x v="0"/>
  </r>
  <r>
    <x v="18"/>
    <n v="100"/>
    <n v="2600"/>
    <x v="12"/>
    <x v="0"/>
    <n v="2"/>
    <n v="5"/>
    <n v="2004"/>
    <x v="0"/>
    <n v="112"/>
    <n v="-12"/>
    <x v="500"/>
    <x v="1"/>
    <x v="9"/>
    <x v="0"/>
    <x v="0"/>
    <x v="0"/>
  </r>
  <r>
    <x v="13"/>
    <n v="100"/>
    <n v="4200"/>
    <x v="13"/>
    <x v="0"/>
    <n v="2"/>
    <n v="6"/>
    <n v="2004"/>
    <x v="0"/>
    <n v="112"/>
    <n v="-12"/>
    <x v="500"/>
    <x v="1"/>
    <x v="10"/>
    <x v="0"/>
    <x v="0"/>
    <x v="1"/>
  </r>
  <r>
    <x v="15"/>
    <n v="100"/>
    <n v="2100"/>
    <x v="14"/>
    <x v="0"/>
    <n v="3"/>
    <n v="7"/>
    <n v="2004"/>
    <x v="0"/>
    <n v="112"/>
    <n v="-12"/>
    <x v="500"/>
    <x v="1"/>
    <x v="11"/>
    <x v="1"/>
    <x v="1"/>
    <x v="0"/>
  </r>
  <r>
    <x v="1"/>
    <n v="100"/>
    <n v="3400"/>
    <x v="15"/>
    <x v="0"/>
    <n v="3"/>
    <n v="8"/>
    <n v="2004"/>
    <x v="0"/>
    <n v="112"/>
    <n v="-12"/>
    <x v="500"/>
    <x v="1"/>
    <x v="12"/>
    <x v="0"/>
    <x v="0"/>
    <x v="1"/>
  </r>
  <r>
    <x v="20"/>
    <n v="100"/>
    <n v="4700"/>
    <x v="16"/>
    <x v="0"/>
    <n v="3"/>
    <n v="9"/>
    <n v="2004"/>
    <x v="0"/>
    <n v="112"/>
    <n v="-12"/>
    <x v="500"/>
    <x v="1"/>
    <x v="13"/>
    <x v="4"/>
    <x v="1"/>
    <x v="1"/>
  </r>
  <r>
    <x v="15"/>
    <n v="100"/>
    <n v="2100"/>
    <x v="17"/>
    <x v="0"/>
    <n v="4"/>
    <n v="10"/>
    <n v="2004"/>
    <x v="0"/>
    <n v="112"/>
    <n v="-12"/>
    <x v="500"/>
    <x v="1"/>
    <x v="14"/>
    <x v="2"/>
    <x v="1"/>
    <x v="0"/>
  </r>
  <r>
    <x v="7"/>
    <n v="100"/>
    <n v="4800"/>
    <x v="18"/>
    <x v="0"/>
    <n v="4"/>
    <n v="11"/>
    <n v="2004"/>
    <x v="0"/>
    <n v="112"/>
    <n v="-12"/>
    <x v="500"/>
    <x v="1"/>
    <x v="15"/>
    <x v="0"/>
    <x v="0"/>
    <x v="1"/>
  </r>
  <r>
    <x v="0"/>
    <n v="87.78"/>
    <n v="2633.4"/>
    <x v="19"/>
    <x v="0"/>
    <n v="4"/>
    <n v="11"/>
    <n v="2004"/>
    <x v="0"/>
    <n v="112"/>
    <n v="-24.22"/>
    <x v="506"/>
    <x v="5"/>
    <x v="0"/>
    <x v="0"/>
    <x v="0"/>
    <x v="0"/>
  </r>
  <r>
    <x v="26"/>
    <n v="84.39"/>
    <n v="2278.5300000000002"/>
    <x v="58"/>
    <x v="0"/>
    <n v="4"/>
    <n v="11"/>
    <n v="2004"/>
    <x v="0"/>
    <n v="112"/>
    <n v="-27.61"/>
    <x v="507"/>
    <x v="5"/>
    <x v="29"/>
    <x v="11"/>
    <x v="3"/>
    <x v="0"/>
  </r>
  <r>
    <x v="24"/>
    <n v="96.92"/>
    <n v="4846"/>
    <x v="61"/>
    <x v="0"/>
    <n v="1"/>
    <n v="1"/>
    <n v="2005"/>
    <x v="0"/>
    <n v="112"/>
    <n v="-15.079999999999998"/>
    <x v="508"/>
    <x v="1"/>
    <x v="5"/>
    <x v="0"/>
    <x v="0"/>
    <x v="1"/>
  </r>
  <r>
    <x v="19"/>
    <n v="100"/>
    <n v="3800"/>
    <x v="59"/>
    <x v="0"/>
    <n v="1"/>
    <n v="2"/>
    <n v="2005"/>
    <x v="0"/>
    <n v="112"/>
    <n v="-12"/>
    <x v="500"/>
    <x v="1"/>
    <x v="23"/>
    <x v="3"/>
    <x v="2"/>
    <x v="1"/>
  </r>
  <r>
    <x v="3"/>
    <n v="100"/>
    <n v="4500"/>
    <x v="23"/>
    <x v="0"/>
    <n v="1"/>
    <n v="3"/>
    <n v="2005"/>
    <x v="0"/>
    <n v="112"/>
    <n v="-12"/>
    <x v="500"/>
    <x v="1"/>
    <x v="31"/>
    <x v="8"/>
    <x v="1"/>
    <x v="1"/>
  </r>
  <r>
    <x v="12"/>
    <n v="100"/>
    <n v="4600"/>
    <x v="24"/>
    <x v="0"/>
    <n v="2"/>
    <n v="4"/>
    <n v="2005"/>
    <x v="0"/>
    <n v="112"/>
    <n v="-12"/>
    <x v="500"/>
    <x v="1"/>
    <x v="19"/>
    <x v="6"/>
    <x v="1"/>
    <x v="1"/>
  </r>
  <r>
    <x v="21"/>
    <n v="100"/>
    <n v="3500"/>
    <x v="25"/>
    <x v="1"/>
    <n v="2"/>
    <n v="5"/>
    <n v="2005"/>
    <x v="0"/>
    <n v="112"/>
    <n v="-12"/>
    <x v="500"/>
    <x v="1"/>
    <x v="20"/>
    <x v="7"/>
    <x v="1"/>
    <x v="1"/>
  </r>
  <r>
    <x v="6"/>
    <n v="59.37"/>
    <n v="1721.73"/>
    <x v="178"/>
    <x v="0"/>
    <n v="1"/>
    <n v="3"/>
    <n v="2003"/>
    <x v="1"/>
    <n v="50"/>
    <n v="9.3699999999999974"/>
    <x v="509"/>
    <x v="0"/>
    <x v="61"/>
    <x v="6"/>
    <x v="1"/>
    <x v="0"/>
  </r>
  <r>
    <x v="24"/>
    <n v="59.87"/>
    <n v="2993.5"/>
    <x v="179"/>
    <x v="0"/>
    <n v="2"/>
    <n v="5"/>
    <n v="2003"/>
    <x v="1"/>
    <n v="50"/>
    <n v="9.8699999999999974"/>
    <x v="432"/>
    <x v="0"/>
    <x v="11"/>
    <x v="1"/>
    <x v="1"/>
    <x v="0"/>
  </r>
  <r>
    <x v="18"/>
    <n v="49.81"/>
    <n v="1295.06"/>
    <x v="180"/>
    <x v="0"/>
    <n v="3"/>
    <n v="7"/>
    <n v="2003"/>
    <x v="1"/>
    <n v="50"/>
    <n v="-0.18999999999999773"/>
    <x v="423"/>
    <x v="2"/>
    <x v="1"/>
    <x v="1"/>
    <x v="1"/>
    <x v="0"/>
  </r>
  <r>
    <x v="20"/>
    <n v="56.85"/>
    <n v="2671.9500000000003"/>
    <x v="153"/>
    <x v="0"/>
    <n v="3"/>
    <n v="9"/>
    <n v="2003"/>
    <x v="1"/>
    <n v="50"/>
    <n v="6.8500000000000014"/>
    <x v="435"/>
    <x v="0"/>
    <x v="36"/>
    <x v="3"/>
    <x v="2"/>
    <x v="0"/>
  </r>
  <r>
    <x v="10"/>
    <n v="53.33"/>
    <n v="1226.5899999999999"/>
    <x v="154"/>
    <x v="0"/>
    <n v="4"/>
    <n v="10"/>
    <n v="2003"/>
    <x v="1"/>
    <n v="50"/>
    <n v="3.3299999999999983"/>
    <x v="429"/>
    <x v="0"/>
    <x v="62"/>
    <x v="13"/>
    <x v="1"/>
    <x v="0"/>
  </r>
  <r>
    <x v="1"/>
    <n v="42.76"/>
    <n v="1453.84"/>
    <x v="155"/>
    <x v="0"/>
    <n v="4"/>
    <n v="11"/>
    <n v="2003"/>
    <x v="1"/>
    <n v="50"/>
    <n v="-7.240000000000002"/>
    <x v="426"/>
    <x v="1"/>
    <x v="10"/>
    <x v="0"/>
    <x v="0"/>
    <x v="0"/>
  </r>
  <r>
    <x v="1"/>
    <n v="53.83"/>
    <n v="1830.22"/>
    <x v="103"/>
    <x v="0"/>
    <n v="4"/>
    <n v="11"/>
    <n v="2003"/>
    <x v="1"/>
    <n v="50"/>
    <n v="3.8299999999999983"/>
    <x v="424"/>
    <x v="0"/>
    <x v="7"/>
    <x v="2"/>
    <x v="1"/>
    <x v="0"/>
  </r>
  <r>
    <x v="20"/>
    <n v="53.83"/>
    <n v="2530.0099999999998"/>
    <x v="104"/>
    <x v="0"/>
    <n v="4"/>
    <n v="11"/>
    <n v="2003"/>
    <x v="1"/>
    <n v="50"/>
    <n v="3.8299999999999983"/>
    <x v="424"/>
    <x v="0"/>
    <x v="34"/>
    <x v="0"/>
    <x v="0"/>
    <x v="0"/>
  </r>
  <r>
    <x v="3"/>
    <n v="49.81"/>
    <n v="2241.4500000000003"/>
    <x v="105"/>
    <x v="0"/>
    <n v="4"/>
    <n v="12"/>
    <n v="2003"/>
    <x v="1"/>
    <n v="50"/>
    <n v="-0.18999999999999773"/>
    <x v="423"/>
    <x v="2"/>
    <x v="0"/>
    <x v="0"/>
    <x v="0"/>
    <x v="0"/>
  </r>
  <r>
    <x v="3"/>
    <n v="53.33"/>
    <n v="2399.85"/>
    <x v="138"/>
    <x v="0"/>
    <n v="1"/>
    <n v="1"/>
    <n v="2004"/>
    <x v="1"/>
    <n v="50"/>
    <n v="3.3299999999999983"/>
    <x v="429"/>
    <x v="0"/>
    <x v="20"/>
    <x v="7"/>
    <x v="1"/>
    <x v="0"/>
  </r>
  <r>
    <x v="5"/>
    <n v="43.27"/>
    <n v="1557.72"/>
    <x v="181"/>
    <x v="0"/>
    <n v="1"/>
    <n v="2"/>
    <n v="2004"/>
    <x v="1"/>
    <n v="50"/>
    <n v="-6.7299999999999969"/>
    <x v="425"/>
    <x v="1"/>
    <x v="45"/>
    <x v="0"/>
    <x v="0"/>
    <x v="0"/>
  </r>
  <r>
    <x v="15"/>
    <n v="40.25"/>
    <n v="845.25"/>
    <x v="156"/>
    <x v="0"/>
    <n v="2"/>
    <n v="4"/>
    <n v="2004"/>
    <x v="1"/>
    <n v="50"/>
    <n v="-9.75"/>
    <x v="431"/>
    <x v="6"/>
    <x v="66"/>
    <x v="1"/>
    <x v="1"/>
    <x v="0"/>
  </r>
  <r>
    <x v="11"/>
    <n v="48.3"/>
    <n v="1352.3999999999999"/>
    <x v="109"/>
    <x v="0"/>
    <n v="3"/>
    <n v="7"/>
    <n v="2004"/>
    <x v="1"/>
    <n v="50"/>
    <n v="-1.7000000000000028"/>
    <x v="510"/>
    <x v="4"/>
    <x v="57"/>
    <x v="12"/>
    <x v="1"/>
    <x v="0"/>
  </r>
  <r>
    <x v="21"/>
    <n v="45.28"/>
    <n v="1584.8"/>
    <x v="157"/>
    <x v="0"/>
    <n v="3"/>
    <n v="8"/>
    <n v="2004"/>
    <x v="1"/>
    <n v="50"/>
    <n v="-4.7199999999999989"/>
    <x v="430"/>
    <x v="3"/>
    <x v="67"/>
    <x v="0"/>
    <x v="0"/>
    <x v="0"/>
  </r>
  <r>
    <x v="24"/>
    <n v="52.32"/>
    <n v="2616"/>
    <x v="182"/>
    <x v="0"/>
    <n v="3"/>
    <n v="9"/>
    <n v="2004"/>
    <x v="1"/>
    <n v="50"/>
    <n v="2.3200000000000003"/>
    <x v="511"/>
    <x v="0"/>
    <x v="22"/>
    <x v="9"/>
    <x v="2"/>
    <x v="0"/>
  </r>
  <r>
    <x v="8"/>
    <n v="51.32"/>
    <n v="1129.04"/>
    <x v="158"/>
    <x v="0"/>
    <n v="4"/>
    <n v="10"/>
    <n v="2003"/>
    <x v="1"/>
    <n v="50"/>
    <n v="1.3200000000000003"/>
    <x v="512"/>
    <x v="0"/>
    <x v="68"/>
    <x v="2"/>
    <x v="1"/>
    <x v="0"/>
  </r>
  <r>
    <x v="3"/>
    <n v="49.3"/>
    <n v="2218.5"/>
    <x v="113"/>
    <x v="0"/>
    <n v="4"/>
    <n v="10"/>
    <n v="2004"/>
    <x v="1"/>
    <n v="50"/>
    <n v="-0.70000000000000284"/>
    <x v="428"/>
    <x v="4"/>
    <x v="20"/>
    <x v="7"/>
    <x v="1"/>
    <x v="0"/>
  </r>
  <r>
    <x v="7"/>
    <n v="42.26"/>
    <n v="2028.48"/>
    <x v="45"/>
    <x v="0"/>
    <n v="4"/>
    <n v="11"/>
    <n v="2004"/>
    <x v="1"/>
    <n v="50"/>
    <n v="-7.740000000000002"/>
    <x v="513"/>
    <x v="1"/>
    <x v="18"/>
    <x v="0"/>
    <x v="0"/>
    <x v="0"/>
  </r>
  <r>
    <x v="14"/>
    <n v="87.96"/>
    <n v="1759.1999999999998"/>
    <x v="159"/>
    <x v="0"/>
    <n v="4"/>
    <n v="11"/>
    <n v="2004"/>
    <x v="1"/>
    <n v="50"/>
    <n v="37.959999999999994"/>
    <x v="514"/>
    <x v="0"/>
    <x v="61"/>
    <x v="6"/>
    <x v="1"/>
    <x v="0"/>
  </r>
  <r>
    <x v="26"/>
    <n v="36.21"/>
    <n v="977.67000000000007"/>
    <x v="20"/>
    <x v="0"/>
    <n v="4"/>
    <n v="11"/>
    <n v="2004"/>
    <x v="1"/>
    <n v="50"/>
    <n v="-13.79"/>
    <x v="515"/>
    <x v="5"/>
    <x v="1"/>
    <x v="1"/>
    <x v="1"/>
    <x v="0"/>
  </r>
  <r>
    <x v="19"/>
    <n v="38.5"/>
    <n v="1463"/>
    <x v="183"/>
    <x v="5"/>
    <n v="1"/>
    <n v="1"/>
    <n v="2005"/>
    <x v="1"/>
    <n v="50"/>
    <n v="-11.5"/>
    <x v="516"/>
    <x v="5"/>
    <x v="3"/>
    <x v="0"/>
    <x v="0"/>
    <x v="0"/>
  </r>
  <r>
    <x v="22"/>
    <n v="100"/>
    <n v="3200"/>
    <x v="184"/>
    <x v="0"/>
    <n v="1"/>
    <n v="2"/>
    <n v="2005"/>
    <x v="1"/>
    <n v="50"/>
    <n v="50"/>
    <x v="436"/>
    <x v="0"/>
    <x v="20"/>
    <x v="7"/>
    <x v="1"/>
    <x v="1"/>
  </r>
  <r>
    <x v="33"/>
    <n v="40.25"/>
    <n v="2576"/>
    <x v="185"/>
    <x v="4"/>
    <n v="2"/>
    <n v="4"/>
    <n v="2005"/>
    <x v="1"/>
    <n v="50"/>
    <n v="-9.75"/>
    <x v="431"/>
    <x v="6"/>
    <x v="51"/>
    <x v="0"/>
    <x v="0"/>
    <x v="0"/>
  </r>
  <r>
    <x v="9"/>
    <n v="60.37"/>
    <n v="2233.69"/>
    <x v="202"/>
    <x v="2"/>
    <n v="2"/>
    <n v="5"/>
    <n v="2005"/>
    <x v="1"/>
    <n v="50"/>
    <n v="10.369999999999997"/>
    <x v="517"/>
    <x v="0"/>
    <x v="17"/>
    <x v="3"/>
    <x v="2"/>
    <x v="0"/>
  </r>
  <r>
    <x v="11"/>
    <n v="88.63"/>
    <n v="2481.64"/>
    <x v="186"/>
    <x v="0"/>
    <n v="1"/>
    <n v="2"/>
    <n v="2003"/>
    <x v="4"/>
    <n v="109"/>
    <n v="-20.370000000000005"/>
    <x v="518"/>
    <x v="6"/>
    <x v="69"/>
    <x v="12"/>
    <x v="1"/>
    <x v="0"/>
  </r>
  <r>
    <x v="25"/>
    <n v="100"/>
    <n v="3900"/>
    <x v="54"/>
    <x v="0"/>
    <n v="2"/>
    <n v="4"/>
    <n v="2003"/>
    <x v="4"/>
    <n v="109"/>
    <n v="-9"/>
    <x v="519"/>
    <x v="3"/>
    <x v="8"/>
    <x v="3"/>
    <x v="2"/>
    <x v="1"/>
  </r>
  <r>
    <x v="2"/>
    <n v="94.1"/>
    <n v="3858.1"/>
    <x v="209"/>
    <x v="0"/>
    <n v="2"/>
    <n v="6"/>
    <n v="2003"/>
    <x v="4"/>
    <n v="109"/>
    <n v="-14.900000000000006"/>
    <x v="520"/>
    <x v="1"/>
    <x v="20"/>
    <x v="7"/>
    <x v="1"/>
    <x v="1"/>
  </r>
  <r>
    <x v="23"/>
    <n v="87.54"/>
    <n v="3501.6000000000004"/>
    <x v="3"/>
    <x v="0"/>
    <n v="3"/>
    <n v="8"/>
    <n v="2003"/>
    <x v="4"/>
    <n v="109"/>
    <n v="-21.459999999999994"/>
    <x v="521"/>
    <x v="6"/>
    <x v="3"/>
    <x v="0"/>
    <x v="0"/>
    <x v="1"/>
  </r>
  <r>
    <x v="4"/>
    <n v="100"/>
    <n v="4900"/>
    <x v="5"/>
    <x v="0"/>
    <n v="4"/>
    <n v="10"/>
    <n v="2003"/>
    <x v="4"/>
    <n v="109"/>
    <n v="-9"/>
    <x v="519"/>
    <x v="3"/>
    <x v="5"/>
    <x v="0"/>
    <x v="0"/>
    <x v="1"/>
  </r>
  <r>
    <x v="26"/>
    <n v="98.48"/>
    <n v="2658.96"/>
    <x v="55"/>
    <x v="0"/>
    <n v="1"/>
    <n v="1"/>
    <n v="2004"/>
    <x v="4"/>
    <n v="109"/>
    <n v="-10.519999999999996"/>
    <x v="522"/>
    <x v="3"/>
    <x v="38"/>
    <x v="11"/>
    <x v="3"/>
    <x v="0"/>
  </r>
  <r>
    <x v="1"/>
    <n v="100"/>
    <n v="3400"/>
    <x v="10"/>
    <x v="0"/>
    <n v="1"/>
    <n v="2"/>
    <n v="2004"/>
    <x v="4"/>
    <n v="109"/>
    <n v="-9"/>
    <x v="519"/>
    <x v="3"/>
    <x v="8"/>
    <x v="3"/>
    <x v="2"/>
    <x v="1"/>
  </r>
  <r>
    <x v="10"/>
    <n v="96.29"/>
    <n v="2214.67"/>
    <x v="210"/>
    <x v="0"/>
    <n v="2"/>
    <n v="4"/>
    <n v="2004"/>
    <x v="4"/>
    <n v="109"/>
    <n v="-12.709999999999994"/>
    <x v="523"/>
    <x v="1"/>
    <x v="47"/>
    <x v="10"/>
    <x v="0"/>
    <x v="0"/>
  </r>
  <r>
    <x v="28"/>
    <n v="88.63"/>
    <n v="2747.5299999999997"/>
    <x v="189"/>
    <x v="0"/>
    <n v="2"/>
    <n v="5"/>
    <n v="2004"/>
    <x v="4"/>
    <n v="109"/>
    <n v="-20.370000000000005"/>
    <x v="518"/>
    <x v="6"/>
    <x v="51"/>
    <x v="0"/>
    <x v="0"/>
    <x v="0"/>
  </r>
  <r>
    <x v="1"/>
    <n v="97.38"/>
    <n v="3310.92"/>
    <x v="190"/>
    <x v="3"/>
    <n v="2"/>
    <n v="6"/>
    <n v="2004"/>
    <x v="4"/>
    <n v="109"/>
    <n v="-11.620000000000005"/>
    <x v="524"/>
    <x v="1"/>
    <x v="20"/>
    <x v="7"/>
    <x v="1"/>
    <x v="1"/>
  </r>
  <r>
    <x v="32"/>
    <n v="95.2"/>
    <n v="2380"/>
    <x v="14"/>
    <x v="0"/>
    <n v="3"/>
    <n v="7"/>
    <n v="2004"/>
    <x v="4"/>
    <n v="109"/>
    <n v="-13.799999999999997"/>
    <x v="525"/>
    <x v="1"/>
    <x v="11"/>
    <x v="1"/>
    <x v="1"/>
    <x v="0"/>
  </r>
  <r>
    <x v="8"/>
    <n v="100"/>
    <n v="2200"/>
    <x v="191"/>
    <x v="0"/>
    <n v="3"/>
    <n v="8"/>
    <n v="2004"/>
    <x v="4"/>
    <n v="109"/>
    <n v="-9"/>
    <x v="519"/>
    <x v="3"/>
    <x v="68"/>
    <x v="2"/>
    <x v="1"/>
    <x v="0"/>
  </r>
  <r>
    <x v="22"/>
    <n v="100"/>
    <n v="3200"/>
    <x v="211"/>
    <x v="0"/>
    <n v="3"/>
    <n v="9"/>
    <n v="2004"/>
    <x v="4"/>
    <n v="109"/>
    <n v="-9"/>
    <x v="519"/>
    <x v="3"/>
    <x v="60"/>
    <x v="18"/>
    <x v="1"/>
    <x v="1"/>
  </r>
  <r>
    <x v="28"/>
    <n v="100"/>
    <n v="3100"/>
    <x v="17"/>
    <x v="0"/>
    <n v="4"/>
    <n v="10"/>
    <n v="2004"/>
    <x v="4"/>
    <n v="109"/>
    <n v="-9"/>
    <x v="519"/>
    <x v="3"/>
    <x v="39"/>
    <x v="0"/>
    <x v="0"/>
    <x v="1"/>
  </r>
  <r>
    <x v="32"/>
    <n v="100"/>
    <n v="2500"/>
    <x v="79"/>
    <x v="0"/>
    <n v="4"/>
    <n v="11"/>
    <n v="2004"/>
    <x v="4"/>
    <n v="109"/>
    <n v="-9"/>
    <x v="519"/>
    <x v="3"/>
    <x v="49"/>
    <x v="6"/>
    <x v="1"/>
    <x v="0"/>
  </r>
  <r>
    <x v="20"/>
    <n v="87.54"/>
    <n v="4114.38"/>
    <x v="233"/>
    <x v="0"/>
    <n v="4"/>
    <n v="11"/>
    <n v="2004"/>
    <x v="4"/>
    <n v="109"/>
    <n v="-21.459999999999994"/>
    <x v="521"/>
    <x v="6"/>
    <x v="69"/>
    <x v="12"/>
    <x v="1"/>
    <x v="1"/>
  </r>
  <r>
    <x v="15"/>
    <n v="50.65"/>
    <n v="1063.6499999999999"/>
    <x v="58"/>
    <x v="0"/>
    <n v="4"/>
    <n v="11"/>
    <n v="2004"/>
    <x v="4"/>
    <n v="109"/>
    <n v="-58.35"/>
    <x v="526"/>
    <x v="5"/>
    <x v="29"/>
    <x v="11"/>
    <x v="3"/>
    <x v="0"/>
  </r>
  <r>
    <x v="11"/>
    <n v="71.73"/>
    <n v="2008.44"/>
    <x v="212"/>
    <x v="0"/>
    <n v="4"/>
    <n v="12"/>
    <n v="2004"/>
    <x v="4"/>
    <n v="109"/>
    <n v="-37.269999999999996"/>
    <x v="527"/>
    <x v="5"/>
    <x v="63"/>
    <x v="0"/>
    <x v="0"/>
    <x v="0"/>
  </r>
  <r>
    <x v="12"/>
    <n v="94.1"/>
    <n v="4328.5999999999995"/>
    <x v="59"/>
    <x v="0"/>
    <n v="1"/>
    <n v="2"/>
    <n v="2005"/>
    <x v="4"/>
    <n v="109"/>
    <n v="-14.900000000000006"/>
    <x v="520"/>
    <x v="1"/>
    <x v="23"/>
    <x v="3"/>
    <x v="2"/>
    <x v="1"/>
  </r>
  <r>
    <x v="29"/>
    <n v="41.71"/>
    <n v="1376.43"/>
    <x v="196"/>
    <x v="5"/>
    <n v="1"/>
    <n v="3"/>
    <n v="2005"/>
    <x v="4"/>
    <n v="109"/>
    <n v="-67.289999999999992"/>
    <x v="528"/>
    <x v="5"/>
    <x v="20"/>
    <x v="7"/>
    <x v="1"/>
    <x v="0"/>
  </r>
  <r>
    <x v="30"/>
    <n v="100"/>
    <n v="4300"/>
    <x v="197"/>
    <x v="0"/>
    <n v="1"/>
    <n v="3"/>
    <n v="2005"/>
    <x v="4"/>
    <n v="109"/>
    <n v="-9"/>
    <x v="519"/>
    <x v="3"/>
    <x v="1"/>
    <x v="1"/>
    <x v="1"/>
    <x v="1"/>
  </r>
  <r>
    <x v="19"/>
    <n v="96.29"/>
    <n v="3659.0200000000004"/>
    <x v="213"/>
    <x v="4"/>
    <n v="2"/>
    <n v="4"/>
    <n v="2005"/>
    <x v="4"/>
    <n v="109"/>
    <n v="-12.709999999999994"/>
    <x v="523"/>
    <x v="1"/>
    <x v="9"/>
    <x v="0"/>
    <x v="0"/>
    <x v="1"/>
  </r>
  <r>
    <x v="20"/>
    <n v="88.63"/>
    <n v="4165.6099999999997"/>
    <x v="198"/>
    <x v="0"/>
    <n v="2"/>
    <n v="5"/>
    <n v="2005"/>
    <x v="4"/>
    <n v="109"/>
    <n v="-20.370000000000005"/>
    <x v="518"/>
    <x v="6"/>
    <x v="57"/>
    <x v="12"/>
    <x v="1"/>
    <x v="1"/>
  </r>
  <r>
    <x v="3"/>
    <n v="31.2"/>
    <n v="1404"/>
    <x v="206"/>
    <x v="0"/>
    <n v="1"/>
    <n v="1"/>
    <n v="2003"/>
    <x v="3"/>
    <n v="33"/>
    <n v="-1.8000000000000007"/>
    <x v="529"/>
    <x v="4"/>
    <x v="58"/>
    <x v="16"/>
    <x v="1"/>
    <x v="0"/>
  </r>
  <r>
    <x v="14"/>
    <n v="35.51"/>
    <n v="710.19999999999993"/>
    <x v="178"/>
    <x v="0"/>
    <n v="1"/>
    <n v="3"/>
    <n v="2003"/>
    <x v="3"/>
    <n v="33"/>
    <n v="2.509999999999998"/>
    <x v="530"/>
    <x v="0"/>
    <x v="61"/>
    <x v="6"/>
    <x v="1"/>
    <x v="0"/>
  </r>
  <r>
    <x v="3"/>
    <n v="37.840000000000003"/>
    <n v="1702.8000000000002"/>
    <x v="166"/>
    <x v="0"/>
    <n v="2"/>
    <n v="5"/>
    <n v="2003"/>
    <x v="3"/>
    <n v="33"/>
    <n v="4.8400000000000034"/>
    <x v="531"/>
    <x v="0"/>
    <x v="67"/>
    <x v="0"/>
    <x v="0"/>
    <x v="0"/>
  </r>
  <r>
    <x v="5"/>
    <n v="33.19"/>
    <n v="1194.8399999999999"/>
    <x v="168"/>
    <x v="0"/>
    <n v="3"/>
    <n v="9"/>
    <n v="2003"/>
    <x v="3"/>
    <n v="33"/>
    <n v="0.18999999999999773"/>
    <x v="532"/>
    <x v="0"/>
    <x v="65"/>
    <x v="0"/>
    <x v="0"/>
    <x v="0"/>
  </r>
  <r>
    <x v="9"/>
    <n v="27.22"/>
    <n v="1007.14"/>
    <x v="169"/>
    <x v="0"/>
    <n v="4"/>
    <n v="10"/>
    <n v="2003"/>
    <x v="3"/>
    <n v="33"/>
    <n v="-5.7800000000000011"/>
    <x v="533"/>
    <x v="6"/>
    <x v="4"/>
    <x v="0"/>
    <x v="0"/>
    <x v="0"/>
  </r>
  <r>
    <x v="28"/>
    <n v="31.53"/>
    <n v="977.43000000000006"/>
    <x v="155"/>
    <x v="0"/>
    <n v="4"/>
    <n v="11"/>
    <n v="2003"/>
    <x v="3"/>
    <n v="33"/>
    <n v="-1.4699999999999989"/>
    <x v="534"/>
    <x v="4"/>
    <x v="69"/>
    <x v="12"/>
    <x v="1"/>
    <x v="0"/>
  </r>
  <r>
    <x v="25"/>
    <n v="36.840000000000003"/>
    <n v="1436.7600000000002"/>
    <x v="103"/>
    <x v="0"/>
    <n v="4"/>
    <n v="11"/>
    <n v="2003"/>
    <x v="3"/>
    <n v="33"/>
    <n v="3.8400000000000034"/>
    <x v="535"/>
    <x v="0"/>
    <x v="33"/>
    <x v="0"/>
    <x v="0"/>
    <x v="0"/>
  </r>
  <r>
    <x v="18"/>
    <n v="29.21"/>
    <n v="759.46"/>
    <x v="170"/>
    <x v="0"/>
    <n v="4"/>
    <n v="11"/>
    <n v="2003"/>
    <x v="3"/>
    <n v="33"/>
    <n v="-3.7899999999999991"/>
    <x v="536"/>
    <x v="1"/>
    <x v="70"/>
    <x v="3"/>
    <x v="2"/>
    <x v="0"/>
  </r>
  <r>
    <x v="22"/>
    <n v="37.17"/>
    <n v="1189.44"/>
    <x v="171"/>
    <x v="0"/>
    <n v="4"/>
    <n v="12"/>
    <n v="2003"/>
    <x v="3"/>
    <n v="33"/>
    <n v="4.1700000000000017"/>
    <x v="537"/>
    <x v="0"/>
    <x v="20"/>
    <x v="7"/>
    <x v="1"/>
    <x v="0"/>
  </r>
  <r>
    <x v="14"/>
    <n v="34.19"/>
    <n v="683.8"/>
    <x v="200"/>
    <x v="0"/>
    <n v="1"/>
    <n v="1"/>
    <n v="2004"/>
    <x v="3"/>
    <n v="33"/>
    <n v="1.1899999999999977"/>
    <x v="538"/>
    <x v="0"/>
    <x v="20"/>
    <x v="7"/>
    <x v="1"/>
    <x v="0"/>
  </r>
  <r>
    <x v="13"/>
    <n v="29.21"/>
    <n v="1226.82"/>
    <x v="172"/>
    <x v="0"/>
    <n v="1"/>
    <n v="3"/>
    <n v="2004"/>
    <x v="3"/>
    <n v="33"/>
    <n v="-3.7899999999999991"/>
    <x v="536"/>
    <x v="1"/>
    <x v="25"/>
    <x v="1"/>
    <x v="1"/>
    <x v="0"/>
  </r>
  <r>
    <x v="29"/>
    <n v="29.54"/>
    <n v="974.81999999999994"/>
    <x v="207"/>
    <x v="0"/>
    <n v="2"/>
    <n v="4"/>
    <n v="2004"/>
    <x v="3"/>
    <n v="33"/>
    <n v="-3.4600000000000009"/>
    <x v="539"/>
    <x v="3"/>
    <x v="48"/>
    <x v="0"/>
    <x v="0"/>
    <x v="0"/>
  </r>
  <r>
    <x v="14"/>
    <n v="28.88"/>
    <n v="577.6"/>
    <x v="41"/>
    <x v="0"/>
    <n v="3"/>
    <n v="8"/>
    <n v="2004"/>
    <x v="3"/>
    <n v="33"/>
    <n v="-4.120000000000001"/>
    <x v="540"/>
    <x v="1"/>
    <x v="30"/>
    <x v="12"/>
    <x v="1"/>
    <x v="0"/>
  </r>
  <r>
    <x v="6"/>
    <n v="38.17"/>
    <n v="1106.93"/>
    <x v="182"/>
    <x v="0"/>
    <n v="3"/>
    <n v="9"/>
    <n v="2004"/>
    <x v="3"/>
    <n v="33"/>
    <n v="5.1700000000000017"/>
    <x v="541"/>
    <x v="0"/>
    <x v="22"/>
    <x v="9"/>
    <x v="2"/>
    <x v="0"/>
  </r>
  <r>
    <x v="10"/>
    <n v="30.2"/>
    <n v="694.6"/>
    <x v="43"/>
    <x v="0"/>
    <n v="4"/>
    <n v="10"/>
    <n v="2004"/>
    <x v="3"/>
    <n v="33"/>
    <n v="-2.8000000000000007"/>
    <x v="542"/>
    <x v="3"/>
    <x v="32"/>
    <x v="1"/>
    <x v="1"/>
    <x v="0"/>
  </r>
  <r>
    <x v="25"/>
    <n v="29.54"/>
    <n v="1152.06"/>
    <x v="44"/>
    <x v="0"/>
    <n v="4"/>
    <n v="10"/>
    <n v="2004"/>
    <x v="3"/>
    <n v="33"/>
    <n v="-3.4600000000000009"/>
    <x v="539"/>
    <x v="3"/>
    <x v="33"/>
    <x v="0"/>
    <x v="0"/>
    <x v="0"/>
  </r>
  <r>
    <x v="14"/>
    <n v="100"/>
    <n v="2000"/>
    <x v="45"/>
    <x v="0"/>
    <n v="4"/>
    <n v="11"/>
    <n v="2004"/>
    <x v="3"/>
    <n v="33"/>
    <n v="67"/>
    <x v="543"/>
    <x v="0"/>
    <x v="34"/>
    <x v="0"/>
    <x v="0"/>
    <x v="0"/>
  </r>
  <r>
    <x v="3"/>
    <n v="81.91"/>
    <n v="3685.95"/>
    <x v="159"/>
    <x v="0"/>
    <n v="4"/>
    <n v="11"/>
    <n v="2004"/>
    <x v="3"/>
    <n v="33"/>
    <n v="48.91"/>
    <x v="544"/>
    <x v="0"/>
    <x v="61"/>
    <x v="6"/>
    <x v="1"/>
    <x v="1"/>
  </r>
  <r>
    <x v="14"/>
    <n v="35.18"/>
    <n v="703.6"/>
    <x v="201"/>
    <x v="0"/>
    <n v="4"/>
    <n v="11"/>
    <n v="2004"/>
    <x v="3"/>
    <n v="33"/>
    <n v="2.1799999999999997"/>
    <x v="545"/>
    <x v="0"/>
    <x v="54"/>
    <x v="1"/>
    <x v="1"/>
    <x v="0"/>
  </r>
  <r>
    <x v="7"/>
    <n v="100"/>
    <n v="4800"/>
    <x v="160"/>
    <x v="0"/>
    <n v="4"/>
    <n v="12"/>
    <n v="2004"/>
    <x v="3"/>
    <n v="33"/>
    <n v="67"/>
    <x v="543"/>
    <x v="0"/>
    <x v="2"/>
    <x v="1"/>
    <x v="1"/>
    <x v="2"/>
  </r>
  <r>
    <x v="10"/>
    <n v="36.29"/>
    <n v="834.67"/>
    <x v="183"/>
    <x v="5"/>
    <n v="1"/>
    <n v="1"/>
    <n v="2005"/>
    <x v="3"/>
    <n v="33"/>
    <n v="3.2899999999999991"/>
    <x v="546"/>
    <x v="0"/>
    <x v="3"/>
    <x v="0"/>
    <x v="0"/>
    <x v="0"/>
  </r>
  <r>
    <x v="22"/>
    <n v="70.56"/>
    <n v="2257.92"/>
    <x v="176"/>
    <x v="0"/>
    <n v="1"/>
    <n v="2"/>
    <n v="2005"/>
    <x v="3"/>
    <n v="33"/>
    <n v="37.56"/>
    <x v="547"/>
    <x v="0"/>
    <x v="20"/>
    <x v="7"/>
    <x v="1"/>
    <x v="0"/>
  </r>
  <r>
    <x v="29"/>
    <n v="100"/>
    <n v="3300"/>
    <x v="51"/>
    <x v="0"/>
    <n v="1"/>
    <n v="3"/>
    <n v="2005"/>
    <x v="3"/>
    <n v="33"/>
    <n v="67"/>
    <x v="543"/>
    <x v="0"/>
    <x v="36"/>
    <x v="3"/>
    <x v="2"/>
    <x v="2"/>
  </r>
  <r>
    <x v="40"/>
    <n v="29.54"/>
    <n v="1801.94"/>
    <x v="208"/>
    <x v="0"/>
    <n v="2"/>
    <n v="4"/>
    <n v="2005"/>
    <x v="3"/>
    <n v="33"/>
    <n v="-3.4600000000000009"/>
    <x v="539"/>
    <x v="3"/>
    <x v="22"/>
    <x v="9"/>
    <x v="2"/>
    <x v="0"/>
  </r>
  <r>
    <x v="3"/>
    <n v="26.88"/>
    <n v="1209.5999999999999"/>
    <x v="202"/>
    <x v="2"/>
    <n v="2"/>
    <n v="5"/>
    <n v="2005"/>
    <x v="3"/>
    <n v="33"/>
    <n v="-6.120000000000001"/>
    <x v="548"/>
    <x v="6"/>
    <x v="17"/>
    <x v="3"/>
    <x v="2"/>
    <x v="0"/>
  </r>
  <r>
    <x v="19"/>
    <n v="83.03"/>
    <n v="3155.14"/>
    <x v="0"/>
    <x v="0"/>
    <n v="1"/>
    <n v="2"/>
    <n v="2003"/>
    <x v="0"/>
    <n v="76"/>
    <n v="7.0300000000000011"/>
    <x v="549"/>
    <x v="0"/>
    <x v="0"/>
    <x v="0"/>
    <x v="0"/>
    <x v="1"/>
  </r>
  <r>
    <x v="1"/>
    <n v="83.79"/>
    <n v="2848.86"/>
    <x v="54"/>
    <x v="0"/>
    <n v="2"/>
    <n v="4"/>
    <n v="2003"/>
    <x v="0"/>
    <n v="76"/>
    <n v="7.7900000000000063"/>
    <x v="550"/>
    <x v="0"/>
    <x v="8"/>
    <x v="3"/>
    <x v="2"/>
    <x v="0"/>
  </r>
  <r>
    <x v="30"/>
    <n v="83.03"/>
    <n v="3570.29"/>
    <x v="2"/>
    <x v="0"/>
    <n v="3"/>
    <n v="7"/>
    <n v="2003"/>
    <x v="0"/>
    <n v="76"/>
    <n v="7.0300000000000011"/>
    <x v="549"/>
    <x v="0"/>
    <x v="2"/>
    <x v="1"/>
    <x v="1"/>
    <x v="1"/>
  </r>
  <r>
    <x v="20"/>
    <n v="83.03"/>
    <n v="3902.41"/>
    <x v="3"/>
    <x v="0"/>
    <n v="3"/>
    <n v="8"/>
    <n v="2003"/>
    <x v="0"/>
    <n v="76"/>
    <n v="7.0300000000000011"/>
    <x v="549"/>
    <x v="0"/>
    <x v="3"/>
    <x v="0"/>
    <x v="0"/>
    <x v="1"/>
  </r>
  <r>
    <x v="8"/>
    <n v="67.03"/>
    <n v="1474.66"/>
    <x v="4"/>
    <x v="0"/>
    <n v="4"/>
    <n v="10"/>
    <n v="2003"/>
    <x v="0"/>
    <n v="76"/>
    <n v="-8.9699999999999989"/>
    <x v="551"/>
    <x v="1"/>
    <x v="14"/>
    <x v="2"/>
    <x v="1"/>
    <x v="0"/>
  </r>
  <r>
    <x v="6"/>
    <n v="75.41"/>
    <n v="2186.89"/>
    <x v="5"/>
    <x v="0"/>
    <n v="4"/>
    <n v="10"/>
    <n v="2003"/>
    <x v="0"/>
    <n v="76"/>
    <n v="-0.59000000000000341"/>
    <x v="552"/>
    <x v="4"/>
    <x v="5"/>
    <x v="0"/>
    <x v="0"/>
    <x v="0"/>
  </r>
  <r>
    <x v="11"/>
    <n v="68.55"/>
    <n v="1919.3999999999999"/>
    <x v="6"/>
    <x v="0"/>
    <n v="4"/>
    <n v="11"/>
    <n v="2003"/>
    <x v="0"/>
    <n v="76"/>
    <n v="-7.4500000000000028"/>
    <x v="553"/>
    <x v="3"/>
    <x v="6"/>
    <x v="1"/>
    <x v="1"/>
    <x v="0"/>
  </r>
  <r>
    <x v="23"/>
    <n v="91.4"/>
    <n v="3656"/>
    <x v="7"/>
    <x v="0"/>
    <n v="4"/>
    <n v="11"/>
    <n v="2003"/>
    <x v="0"/>
    <n v="76"/>
    <n v="15.400000000000006"/>
    <x v="554"/>
    <x v="0"/>
    <x v="7"/>
    <x v="2"/>
    <x v="1"/>
    <x v="1"/>
  </r>
  <r>
    <x v="32"/>
    <n v="73.88"/>
    <n v="1847"/>
    <x v="8"/>
    <x v="0"/>
    <n v="4"/>
    <n v="12"/>
    <n v="2003"/>
    <x v="0"/>
    <n v="76"/>
    <n v="-2.1200000000000045"/>
    <x v="555"/>
    <x v="4"/>
    <x v="4"/>
    <x v="0"/>
    <x v="0"/>
    <x v="0"/>
  </r>
  <r>
    <x v="0"/>
    <n v="61.7"/>
    <n v="1851"/>
    <x v="55"/>
    <x v="0"/>
    <n v="1"/>
    <n v="1"/>
    <n v="2004"/>
    <x v="0"/>
    <n v="76"/>
    <n v="-14.299999999999997"/>
    <x v="556"/>
    <x v="6"/>
    <x v="38"/>
    <x v="11"/>
    <x v="3"/>
    <x v="0"/>
  </r>
  <r>
    <x v="19"/>
    <n v="69.31"/>
    <n v="2633.78"/>
    <x v="10"/>
    <x v="0"/>
    <n v="1"/>
    <n v="2"/>
    <n v="2004"/>
    <x v="0"/>
    <n v="76"/>
    <n v="-6.6899999999999977"/>
    <x v="557"/>
    <x v="3"/>
    <x v="8"/>
    <x v="3"/>
    <x v="2"/>
    <x v="0"/>
  </r>
  <r>
    <x v="5"/>
    <n v="87.6"/>
    <n v="3153.6"/>
    <x v="56"/>
    <x v="0"/>
    <n v="2"/>
    <n v="4"/>
    <n v="2004"/>
    <x v="0"/>
    <n v="76"/>
    <n v="11.599999999999994"/>
    <x v="558"/>
    <x v="0"/>
    <x v="24"/>
    <x v="0"/>
    <x v="0"/>
    <x v="1"/>
  </r>
  <r>
    <x v="22"/>
    <n v="87.6"/>
    <n v="2803.2"/>
    <x v="189"/>
    <x v="0"/>
    <n v="2"/>
    <n v="5"/>
    <n v="2004"/>
    <x v="0"/>
    <n v="76"/>
    <n v="11.599999999999994"/>
    <x v="558"/>
    <x v="0"/>
    <x v="51"/>
    <x v="0"/>
    <x v="0"/>
    <x v="0"/>
  </r>
  <r>
    <x v="9"/>
    <n v="62.46"/>
    <n v="2311.02"/>
    <x v="13"/>
    <x v="0"/>
    <n v="2"/>
    <n v="6"/>
    <n v="2004"/>
    <x v="0"/>
    <n v="76"/>
    <n v="-13.54"/>
    <x v="559"/>
    <x v="6"/>
    <x v="10"/>
    <x v="0"/>
    <x v="0"/>
    <x v="0"/>
  </r>
  <r>
    <x v="0"/>
    <n v="79.98"/>
    <n v="2399.4"/>
    <x v="14"/>
    <x v="0"/>
    <n v="3"/>
    <n v="7"/>
    <n v="2004"/>
    <x v="0"/>
    <n v="76"/>
    <n v="3.980000000000004"/>
    <x v="560"/>
    <x v="0"/>
    <x v="11"/>
    <x v="1"/>
    <x v="1"/>
    <x v="0"/>
  </r>
  <r>
    <x v="25"/>
    <n v="70.08"/>
    <n v="2733.12"/>
    <x v="15"/>
    <x v="0"/>
    <n v="3"/>
    <n v="8"/>
    <n v="2004"/>
    <x v="0"/>
    <n v="76"/>
    <n v="-5.9200000000000017"/>
    <x v="561"/>
    <x v="3"/>
    <x v="12"/>
    <x v="0"/>
    <x v="0"/>
    <x v="0"/>
  </r>
  <r>
    <x v="22"/>
    <n v="65.510000000000005"/>
    <n v="2096.3200000000002"/>
    <x v="211"/>
    <x v="0"/>
    <n v="3"/>
    <n v="9"/>
    <n v="2004"/>
    <x v="0"/>
    <n v="76"/>
    <n v="-10.489999999999995"/>
    <x v="562"/>
    <x v="1"/>
    <x v="60"/>
    <x v="18"/>
    <x v="1"/>
    <x v="0"/>
  </r>
  <r>
    <x v="20"/>
    <n v="63.22"/>
    <n v="2971.34"/>
    <x v="17"/>
    <x v="0"/>
    <n v="4"/>
    <n v="10"/>
    <n v="2004"/>
    <x v="0"/>
    <n v="76"/>
    <n v="-12.780000000000001"/>
    <x v="563"/>
    <x v="6"/>
    <x v="39"/>
    <x v="0"/>
    <x v="0"/>
    <x v="0"/>
  </r>
  <r>
    <x v="18"/>
    <n v="86.83"/>
    <n v="2257.58"/>
    <x v="18"/>
    <x v="0"/>
    <n v="4"/>
    <n v="11"/>
    <n v="2004"/>
    <x v="0"/>
    <n v="76"/>
    <n v="10.829999999999998"/>
    <x v="564"/>
    <x v="0"/>
    <x v="15"/>
    <x v="0"/>
    <x v="0"/>
    <x v="0"/>
  </r>
  <r>
    <x v="9"/>
    <n v="94.43"/>
    <n v="3493.9100000000003"/>
    <x v="19"/>
    <x v="0"/>
    <n v="4"/>
    <n v="11"/>
    <n v="2004"/>
    <x v="0"/>
    <n v="76"/>
    <n v="18.430000000000007"/>
    <x v="565"/>
    <x v="0"/>
    <x v="0"/>
    <x v="0"/>
    <x v="0"/>
    <x v="1"/>
  </r>
  <r>
    <x v="36"/>
    <n v="79.98"/>
    <n v="4398.9000000000005"/>
    <x v="20"/>
    <x v="0"/>
    <n v="4"/>
    <n v="11"/>
    <n v="2004"/>
    <x v="0"/>
    <n v="76"/>
    <n v="3.980000000000004"/>
    <x v="560"/>
    <x v="0"/>
    <x v="43"/>
    <x v="7"/>
    <x v="1"/>
    <x v="1"/>
  </r>
  <r>
    <x v="15"/>
    <n v="100"/>
    <n v="2100"/>
    <x v="115"/>
    <x v="0"/>
    <n v="1"/>
    <n v="1"/>
    <n v="2005"/>
    <x v="0"/>
    <n v="76"/>
    <n v="24"/>
    <x v="566"/>
    <x v="0"/>
    <x v="59"/>
    <x v="4"/>
    <x v="1"/>
    <x v="1"/>
  </r>
  <r>
    <x v="10"/>
    <n v="100"/>
    <n v="2300"/>
    <x v="22"/>
    <x v="0"/>
    <n v="1"/>
    <n v="2"/>
    <n v="2005"/>
    <x v="0"/>
    <n v="76"/>
    <n v="24"/>
    <x v="566"/>
    <x v="0"/>
    <x v="11"/>
    <x v="1"/>
    <x v="1"/>
    <x v="0"/>
  </r>
  <r>
    <x v="4"/>
    <n v="81.400000000000006"/>
    <n v="3988.6000000000004"/>
    <x v="23"/>
    <x v="0"/>
    <n v="1"/>
    <n v="3"/>
    <n v="2005"/>
    <x v="0"/>
    <n v="76"/>
    <n v="5.4000000000000057"/>
    <x v="567"/>
    <x v="0"/>
    <x v="31"/>
    <x v="8"/>
    <x v="1"/>
    <x v="1"/>
  </r>
  <r>
    <x v="42"/>
    <n v="87.6"/>
    <n v="5168.3999999999996"/>
    <x v="60"/>
    <x v="0"/>
    <n v="2"/>
    <n v="4"/>
    <n v="2005"/>
    <x v="0"/>
    <n v="76"/>
    <n v="11.599999999999994"/>
    <x v="558"/>
    <x v="0"/>
    <x v="2"/>
    <x v="1"/>
    <x v="1"/>
    <x v="1"/>
  </r>
  <r>
    <x v="22"/>
    <n v="87.6"/>
    <n v="2803.2"/>
    <x v="198"/>
    <x v="0"/>
    <n v="2"/>
    <n v="5"/>
    <n v="2005"/>
    <x v="0"/>
    <n v="76"/>
    <n v="11.599999999999994"/>
    <x v="558"/>
    <x v="0"/>
    <x v="57"/>
    <x v="12"/>
    <x v="1"/>
    <x v="0"/>
  </r>
  <r>
    <x v="30"/>
    <n v="100"/>
    <n v="4300"/>
    <x v="62"/>
    <x v="0"/>
    <n v="1"/>
    <n v="2"/>
    <n v="2003"/>
    <x v="5"/>
    <n v="122"/>
    <n v="-22"/>
    <x v="187"/>
    <x v="6"/>
    <x v="40"/>
    <x v="13"/>
    <x v="1"/>
    <x v="1"/>
  </r>
  <r>
    <x v="2"/>
    <n v="100"/>
    <n v="4100"/>
    <x v="117"/>
    <x v="0"/>
    <n v="2"/>
    <n v="4"/>
    <n v="2003"/>
    <x v="5"/>
    <n v="122"/>
    <n v="-22"/>
    <x v="187"/>
    <x v="6"/>
    <x v="22"/>
    <x v="9"/>
    <x v="2"/>
    <x v="1"/>
  </r>
  <r>
    <x v="3"/>
    <n v="100"/>
    <n v="4500"/>
    <x v="64"/>
    <x v="0"/>
    <n v="2"/>
    <n v="6"/>
    <n v="2003"/>
    <x v="5"/>
    <n v="122"/>
    <n v="-22"/>
    <x v="187"/>
    <x v="6"/>
    <x v="41"/>
    <x v="6"/>
    <x v="1"/>
    <x v="1"/>
  </r>
  <r>
    <x v="29"/>
    <n v="100"/>
    <n v="3300"/>
    <x v="119"/>
    <x v="0"/>
    <n v="3"/>
    <n v="8"/>
    <n v="2003"/>
    <x v="5"/>
    <n v="122"/>
    <n v="-22"/>
    <x v="187"/>
    <x v="6"/>
    <x v="33"/>
    <x v="0"/>
    <x v="0"/>
    <x v="1"/>
  </r>
  <r>
    <x v="23"/>
    <n v="100"/>
    <n v="4000"/>
    <x v="120"/>
    <x v="0"/>
    <n v="3"/>
    <n v="9"/>
    <n v="2003"/>
    <x v="5"/>
    <n v="122"/>
    <n v="-22"/>
    <x v="187"/>
    <x v="6"/>
    <x v="20"/>
    <x v="7"/>
    <x v="1"/>
    <x v="1"/>
  </r>
  <r>
    <x v="29"/>
    <n v="100"/>
    <n v="3300"/>
    <x v="67"/>
    <x v="3"/>
    <n v="4"/>
    <n v="10"/>
    <n v="2003"/>
    <x v="5"/>
    <n v="122"/>
    <n v="-22"/>
    <x v="187"/>
    <x v="6"/>
    <x v="31"/>
    <x v="8"/>
    <x v="1"/>
    <x v="1"/>
  </r>
  <r>
    <x v="24"/>
    <n v="100"/>
    <n v="5000"/>
    <x v="219"/>
    <x v="0"/>
    <n v="4"/>
    <n v="11"/>
    <n v="2003"/>
    <x v="5"/>
    <n v="122"/>
    <n v="-22"/>
    <x v="187"/>
    <x v="6"/>
    <x v="20"/>
    <x v="7"/>
    <x v="1"/>
    <x v="1"/>
  </r>
  <r>
    <x v="0"/>
    <n v="100"/>
    <n v="3000"/>
    <x v="69"/>
    <x v="0"/>
    <n v="4"/>
    <n v="11"/>
    <n v="2003"/>
    <x v="5"/>
    <n v="122"/>
    <n v="-22"/>
    <x v="187"/>
    <x v="6"/>
    <x v="18"/>
    <x v="0"/>
    <x v="0"/>
    <x v="1"/>
  </r>
  <r>
    <x v="2"/>
    <n v="100"/>
    <n v="4100"/>
    <x v="70"/>
    <x v="0"/>
    <n v="4"/>
    <n v="11"/>
    <n v="2003"/>
    <x v="5"/>
    <n v="122"/>
    <n v="-22"/>
    <x v="187"/>
    <x v="6"/>
    <x v="43"/>
    <x v="7"/>
    <x v="1"/>
    <x v="1"/>
  </r>
  <r>
    <x v="21"/>
    <n v="100"/>
    <n v="3500"/>
    <x v="122"/>
    <x v="0"/>
    <n v="1"/>
    <n v="1"/>
    <n v="2004"/>
    <x v="5"/>
    <n v="122"/>
    <n v="-22"/>
    <x v="187"/>
    <x v="6"/>
    <x v="25"/>
    <x v="1"/>
    <x v="1"/>
    <x v="1"/>
  </r>
  <r>
    <x v="4"/>
    <n v="100"/>
    <n v="4900"/>
    <x v="220"/>
    <x v="0"/>
    <n v="1"/>
    <n v="2"/>
    <n v="2004"/>
    <x v="5"/>
    <n v="122"/>
    <n v="-22"/>
    <x v="187"/>
    <x v="6"/>
    <x v="46"/>
    <x v="14"/>
    <x v="1"/>
    <x v="1"/>
  </r>
  <r>
    <x v="12"/>
    <n v="100"/>
    <n v="4600"/>
    <x v="221"/>
    <x v="0"/>
    <n v="1"/>
    <n v="3"/>
    <n v="2004"/>
    <x v="5"/>
    <n v="122"/>
    <n v="-22"/>
    <x v="187"/>
    <x v="6"/>
    <x v="49"/>
    <x v="6"/>
    <x v="1"/>
    <x v="1"/>
  </r>
  <r>
    <x v="7"/>
    <n v="100"/>
    <n v="4800"/>
    <x v="73"/>
    <x v="3"/>
    <n v="2"/>
    <n v="5"/>
    <n v="2004"/>
    <x v="5"/>
    <n v="122"/>
    <n v="-22"/>
    <x v="187"/>
    <x v="6"/>
    <x v="0"/>
    <x v="0"/>
    <x v="0"/>
    <x v="1"/>
  </r>
  <r>
    <x v="5"/>
    <n v="100"/>
    <n v="3600"/>
    <x v="74"/>
    <x v="0"/>
    <n v="2"/>
    <n v="6"/>
    <n v="2004"/>
    <x v="5"/>
    <n v="122"/>
    <n v="-22"/>
    <x v="187"/>
    <x v="6"/>
    <x v="37"/>
    <x v="10"/>
    <x v="0"/>
    <x v="1"/>
  </r>
  <r>
    <x v="8"/>
    <n v="100"/>
    <n v="2200"/>
    <x v="75"/>
    <x v="0"/>
    <n v="3"/>
    <n v="7"/>
    <n v="2004"/>
    <x v="5"/>
    <n v="122"/>
    <n v="-22"/>
    <x v="187"/>
    <x v="6"/>
    <x v="46"/>
    <x v="14"/>
    <x v="1"/>
    <x v="0"/>
  </r>
  <r>
    <x v="13"/>
    <n v="100"/>
    <n v="4200"/>
    <x v="76"/>
    <x v="0"/>
    <n v="3"/>
    <n v="8"/>
    <n v="2004"/>
    <x v="5"/>
    <n v="122"/>
    <n v="-22"/>
    <x v="187"/>
    <x v="6"/>
    <x v="47"/>
    <x v="10"/>
    <x v="0"/>
    <x v="1"/>
  </r>
  <r>
    <x v="15"/>
    <n v="100"/>
    <n v="2100"/>
    <x v="127"/>
    <x v="0"/>
    <n v="3"/>
    <n v="9"/>
    <n v="2004"/>
    <x v="5"/>
    <n v="122"/>
    <n v="-22"/>
    <x v="187"/>
    <x v="6"/>
    <x v="30"/>
    <x v="12"/>
    <x v="1"/>
    <x v="0"/>
  </r>
  <r>
    <x v="6"/>
    <n v="100"/>
    <n v="2900"/>
    <x v="78"/>
    <x v="0"/>
    <n v="4"/>
    <n v="10"/>
    <n v="2004"/>
    <x v="5"/>
    <n v="122"/>
    <n v="-22"/>
    <x v="187"/>
    <x v="6"/>
    <x v="61"/>
    <x v="6"/>
    <x v="1"/>
    <x v="1"/>
  </r>
  <r>
    <x v="21"/>
    <n v="100"/>
    <n v="3500"/>
    <x v="237"/>
    <x v="0"/>
    <n v="4"/>
    <n v="10"/>
    <n v="2004"/>
    <x v="5"/>
    <n v="122"/>
    <n v="-22"/>
    <x v="187"/>
    <x v="6"/>
    <x v="11"/>
    <x v="1"/>
    <x v="1"/>
    <x v="1"/>
  </r>
  <r>
    <x v="2"/>
    <n v="100"/>
    <n v="4100"/>
    <x v="223"/>
    <x v="0"/>
    <n v="4"/>
    <n v="11"/>
    <n v="2004"/>
    <x v="5"/>
    <n v="122"/>
    <n v="-22"/>
    <x v="187"/>
    <x v="6"/>
    <x v="21"/>
    <x v="8"/>
    <x v="1"/>
    <x v="1"/>
  </r>
  <r>
    <x v="6"/>
    <n v="71.97"/>
    <n v="2087.13"/>
    <x v="81"/>
    <x v="0"/>
    <n v="4"/>
    <n v="11"/>
    <n v="2004"/>
    <x v="5"/>
    <n v="122"/>
    <n v="-50.03"/>
    <x v="568"/>
    <x v="5"/>
    <x v="0"/>
    <x v="0"/>
    <x v="0"/>
    <x v="0"/>
  </r>
  <r>
    <x v="1"/>
    <n v="50.33"/>
    <n v="1711.22"/>
    <x v="82"/>
    <x v="0"/>
    <n v="4"/>
    <n v="12"/>
    <n v="2004"/>
    <x v="5"/>
    <n v="122"/>
    <n v="-71.67"/>
    <x v="569"/>
    <x v="5"/>
    <x v="20"/>
    <x v="7"/>
    <x v="1"/>
    <x v="0"/>
  </r>
  <r>
    <x v="9"/>
    <n v="100"/>
    <n v="3700"/>
    <x v="136"/>
    <x v="0"/>
    <n v="1"/>
    <n v="1"/>
    <n v="2005"/>
    <x v="5"/>
    <n v="122"/>
    <n v="-22"/>
    <x v="187"/>
    <x v="6"/>
    <x v="29"/>
    <x v="11"/>
    <x v="3"/>
    <x v="1"/>
  </r>
  <r>
    <x v="11"/>
    <n v="80.540000000000006"/>
    <n v="2255.1200000000003"/>
    <x v="85"/>
    <x v="0"/>
    <n v="1"/>
    <n v="2"/>
    <n v="2005"/>
    <x v="5"/>
    <n v="122"/>
    <n v="-41.459999999999994"/>
    <x v="570"/>
    <x v="5"/>
    <x v="4"/>
    <x v="0"/>
    <x v="0"/>
    <x v="0"/>
  </r>
  <r>
    <x v="4"/>
    <n v="100"/>
    <n v="4900"/>
    <x v="141"/>
    <x v="0"/>
    <n v="1"/>
    <n v="3"/>
    <n v="2005"/>
    <x v="5"/>
    <n v="122"/>
    <n v="-22"/>
    <x v="187"/>
    <x v="6"/>
    <x v="33"/>
    <x v="0"/>
    <x v="0"/>
    <x v="1"/>
  </r>
  <r>
    <x v="10"/>
    <n v="100"/>
    <n v="2300"/>
    <x v="88"/>
    <x v="4"/>
    <n v="2"/>
    <n v="5"/>
    <n v="2005"/>
    <x v="5"/>
    <n v="122"/>
    <n v="-22"/>
    <x v="187"/>
    <x v="6"/>
    <x v="48"/>
    <x v="0"/>
    <x v="0"/>
    <x v="1"/>
  </r>
  <r>
    <x v="12"/>
    <n v="53.76"/>
    <n v="2472.96"/>
    <x v="206"/>
    <x v="0"/>
    <n v="1"/>
    <n v="1"/>
    <n v="2003"/>
    <x v="3"/>
    <n v="44"/>
    <n v="9.759999999999998"/>
    <x v="571"/>
    <x v="0"/>
    <x v="58"/>
    <x v="16"/>
    <x v="1"/>
    <x v="0"/>
  </r>
  <r>
    <x v="25"/>
    <n v="44.35"/>
    <n v="1729.65"/>
    <x v="178"/>
    <x v="0"/>
    <n v="1"/>
    <n v="3"/>
    <n v="2003"/>
    <x v="3"/>
    <n v="44"/>
    <n v="0.35000000000000142"/>
    <x v="572"/>
    <x v="0"/>
    <x v="61"/>
    <x v="6"/>
    <x v="1"/>
    <x v="0"/>
  </r>
  <r>
    <x v="8"/>
    <n v="45.25"/>
    <n v="995.5"/>
    <x v="166"/>
    <x v="0"/>
    <n v="2"/>
    <n v="5"/>
    <n v="2003"/>
    <x v="3"/>
    <n v="44"/>
    <n v="1.25"/>
    <x v="573"/>
    <x v="0"/>
    <x v="67"/>
    <x v="0"/>
    <x v="0"/>
    <x v="0"/>
  </r>
  <r>
    <x v="4"/>
    <n v="49.28"/>
    <n v="2414.7200000000003"/>
    <x v="168"/>
    <x v="0"/>
    <n v="3"/>
    <n v="9"/>
    <n v="2003"/>
    <x v="3"/>
    <n v="44"/>
    <n v="5.2800000000000011"/>
    <x v="574"/>
    <x v="0"/>
    <x v="65"/>
    <x v="0"/>
    <x v="0"/>
    <x v="0"/>
  </r>
  <r>
    <x v="30"/>
    <n v="36.29"/>
    <n v="1560.47"/>
    <x v="169"/>
    <x v="0"/>
    <n v="4"/>
    <n v="10"/>
    <n v="2003"/>
    <x v="3"/>
    <n v="44"/>
    <n v="-7.7100000000000009"/>
    <x v="575"/>
    <x v="6"/>
    <x v="4"/>
    <x v="0"/>
    <x v="0"/>
    <x v="0"/>
  </r>
  <r>
    <x v="26"/>
    <n v="41.22"/>
    <n v="1112.94"/>
    <x v="155"/>
    <x v="0"/>
    <n v="4"/>
    <n v="11"/>
    <n v="2003"/>
    <x v="3"/>
    <n v="44"/>
    <n v="-2.7800000000000011"/>
    <x v="576"/>
    <x v="3"/>
    <x v="69"/>
    <x v="12"/>
    <x v="1"/>
    <x v="0"/>
  </r>
  <r>
    <x v="28"/>
    <n v="36.74"/>
    <n v="1138.94"/>
    <x v="103"/>
    <x v="0"/>
    <n v="4"/>
    <n v="11"/>
    <n v="2003"/>
    <x v="3"/>
    <n v="44"/>
    <n v="-7.259999999999998"/>
    <x v="577"/>
    <x v="6"/>
    <x v="33"/>
    <x v="0"/>
    <x v="0"/>
    <x v="0"/>
  </r>
  <r>
    <x v="14"/>
    <n v="50.62"/>
    <n v="1012.4"/>
    <x v="170"/>
    <x v="0"/>
    <n v="4"/>
    <n v="11"/>
    <n v="2003"/>
    <x v="3"/>
    <n v="44"/>
    <n v="6.6199999999999974"/>
    <x v="578"/>
    <x v="0"/>
    <x v="70"/>
    <x v="3"/>
    <x v="2"/>
    <x v="0"/>
  </r>
  <r>
    <x v="16"/>
    <n v="38.08"/>
    <n v="913.92"/>
    <x v="171"/>
    <x v="0"/>
    <n v="4"/>
    <n v="12"/>
    <n v="2003"/>
    <x v="3"/>
    <n v="44"/>
    <n v="-5.9200000000000017"/>
    <x v="579"/>
    <x v="1"/>
    <x v="20"/>
    <x v="7"/>
    <x v="1"/>
    <x v="0"/>
  </r>
  <r>
    <x v="4"/>
    <n v="47.94"/>
    <n v="2349.06"/>
    <x v="200"/>
    <x v="0"/>
    <n v="1"/>
    <n v="1"/>
    <n v="2004"/>
    <x v="3"/>
    <n v="44"/>
    <n v="3.9399999999999977"/>
    <x v="580"/>
    <x v="0"/>
    <x v="20"/>
    <x v="7"/>
    <x v="1"/>
    <x v="0"/>
  </r>
  <r>
    <x v="16"/>
    <n v="48.38"/>
    <n v="1161.1200000000001"/>
    <x v="172"/>
    <x v="0"/>
    <n v="1"/>
    <n v="3"/>
    <n v="2004"/>
    <x v="3"/>
    <n v="44"/>
    <n v="4.3800000000000026"/>
    <x v="581"/>
    <x v="0"/>
    <x v="25"/>
    <x v="1"/>
    <x v="1"/>
    <x v="0"/>
  </r>
  <r>
    <x v="25"/>
    <n v="45.25"/>
    <n v="1764.75"/>
    <x v="173"/>
    <x v="0"/>
    <n v="2"/>
    <n v="4"/>
    <n v="2004"/>
    <x v="3"/>
    <n v="44"/>
    <n v="1.25"/>
    <x v="573"/>
    <x v="0"/>
    <x v="20"/>
    <x v="7"/>
    <x v="1"/>
    <x v="0"/>
  </r>
  <r>
    <x v="9"/>
    <n v="45.7"/>
    <n v="1690.9"/>
    <x v="214"/>
    <x v="0"/>
    <n v="2"/>
    <n v="6"/>
    <n v="2004"/>
    <x v="3"/>
    <n v="44"/>
    <n v="1.7000000000000028"/>
    <x v="582"/>
    <x v="0"/>
    <x v="66"/>
    <x v="1"/>
    <x v="1"/>
    <x v="0"/>
  </r>
  <r>
    <x v="3"/>
    <n v="47.49"/>
    <n v="2137.0500000000002"/>
    <x v="41"/>
    <x v="0"/>
    <n v="3"/>
    <n v="8"/>
    <n v="2004"/>
    <x v="3"/>
    <n v="44"/>
    <n v="3.490000000000002"/>
    <x v="583"/>
    <x v="0"/>
    <x v="30"/>
    <x v="12"/>
    <x v="1"/>
    <x v="0"/>
  </r>
  <r>
    <x v="3"/>
    <n v="48.38"/>
    <n v="2177.1"/>
    <x v="175"/>
    <x v="0"/>
    <n v="3"/>
    <n v="9"/>
    <n v="2004"/>
    <x v="3"/>
    <n v="44"/>
    <n v="4.3800000000000026"/>
    <x v="581"/>
    <x v="0"/>
    <x v="7"/>
    <x v="2"/>
    <x v="1"/>
    <x v="0"/>
  </r>
  <r>
    <x v="27"/>
    <n v="39.42"/>
    <n v="1734.48"/>
    <x v="43"/>
    <x v="0"/>
    <n v="4"/>
    <n v="10"/>
    <n v="2004"/>
    <x v="3"/>
    <n v="44"/>
    <n v="-4.5799999999999983"/>
    <x v="584"/>
    <x v="3"/>
    <x v="32"/>
    <x v="1"/>
    <x v="1"/>
    <x v="0"/>
  </r>
  <r>
    <x v="10"/>
    <n v="37.630000000000003"/>
    <n v="865.49"/>
    <x v="44"/>
    <x v="0"/>
    <n v="4"/>
    <n v="10"/>
    <n v="2004"/>
    <x v="3"/>
    <n v="44"/>
    <n v="-6.3699999999999974"/>
    <x v="585"/>
    <x v="1"/>
    <x v="33"/>
    <x v="0"/>
    <x v="0"/>
    <x v="0"/>
  </r>
  <r>
    <x v="0"/>
    <n v="100"/>
    <n v="3000"/>
    <x v="45"/>
    <x v="0"/>
    <n v="4"/>
    <n v="11"/>
    <n v="2004"/>
    <x v="3"/>
    <n v="44"/>
    <n v="56"/>
    <x v="586"/>
    <x v="0"/>
    <x v="34"/>
    <x v="0"/>
    <x v="0"/>
    <x v="1"/>
  </r>
  <r>
    <x v="18"/>
    <n v="85.52"/>
    <n v="2223.52"/>
    <x v="159"/>
    <x v="0"/>
    <n v="4"/>
    <n v="11"/>
    <n v="2004"/>
    <x v="3"/>
    <n v="44"/>
    <n v="41.519999999999996"/>
    <x v="587"/>
    <x v="0"/>
    <x v="61"/>
    <x v="6"/>
    <x v="1"/>
    <x v="0"/>
  </r>
  <r>
    <x v="30"/>
    <n v="53.76"/>
    <n v="2311.6799999999998"/>
    <x v="201"/>
    <x v="0"/>
    <n v="4"/>
    <n v="11"/>
    <n v="2004"/>
    <x v="3"/>
    <n v="44"/>
    <n v="9.759999999999998"/>
    <x v="571"/>
    <x v="0"/>
    <x v="11"/>
    <x v="1"/>
    <x v="1"/>
    <x v="0"/>
  </r>
  <r>
    <x v="18"/>
    <n v="31.86"/>
    <n v="828.36"/>
    <x v="160"/>
    <x v="0"/>
    <n v="4"/>
    <n v="12"/>
    <n v="2004"/>
    <x v="3"/>
    <n v="44"/>
    <n v="-12.14"/>
    <x v="588"/>
    <x v="5"/>
    <x v="2"/>
    <x v="1"/>
    <x v="1"/>
    <x v="0"/>
  </r>
  <r>
    <x v="11"/>
    <n v="30.59"/>
    <n v="856.52"/>
    <x v="183"/>
    <x v="5"/>
    <n v="1"/>
    <n v="1"/>
    <n v="2005"/>
    <x v="3"/>
    <n v="44"/>
    <n v="-13.41"/>
    <x v="589"/>
    <x v="5"/>
    <x v="3"/>
    <x v="0"/>
    <x v="0"/>
    <x v="0"/>
  </r>
  <r>
    <x v="26"/>
    <n v="68.349999999999994"/>
    <n v="1845.4499999999998"/>
    <x v="176"/>
    <x v="0"/>
    <n v="1"/>
    <n v="2"/>
    <n v="2005"/>
    <x v="3"/>
    <n v="44"/>
    <n v="24.349999999999994"/>
    <x v="590"/>
    <x v="0"/>
    <x v="20"/>
    <x v="7"/>
    <x v="1"/>
    <x v="0"/>
  </r>
  <r>
    <x v="16"/>
    <n v="100"/>
    <n v="2400"/>
    <x v="51"/>
    <x v="0"/>
    <n v="1"/>
    <n v="3"/>
    <n v="2005"/>
    <x v="3"/>
    <n v="44"/>
    <n v="56"/>
    <x v="586"/>
    <x v="0"/>
    <x v="36"/>
    <x v="3"/>
    <x v="2"/>
    <x v="1"/>
  </r>
  <r>
    <x v="23"/>
    <n v="45.7"/>
    <n v="1828"/>
    <x v="202"/>
    <x v="2"/>
    <n v="2"/>
    <n v="5"/>
    <n v="2005"/>
    <x v="3"/>
    <n v="44"/>
    <n v="1.7000000000000028"/>
    <x v="582"/>
    <x v="0"/>
    <x v="33"/>
    <x v="0"/>
    <x v="0"/>
    <x v="0"/>
  </r>
  <r>
    <x v="5"/>
    <n v="100"/>
    <n v="3600"/>
    <x v="26"/>
    <x v="0"/>
    <n v="1"/>
    <n v="1"/>
    <n v="2003"/>
    <x v="2"/>
    <n v="127"/>
    <n v="-27"/>
    <x v="192"/>
    <x v="5"/>
    <x v="14"/>
    <x v="2"/>
    <x v="1"/>
    <x v="1"/>
  </r>
  <r>
    <x v="15"/>
    <n v="100"/>
    <n v="2100"/>
    <x v="89"/>
    <x v="0"/>
    <n v="2"/>
    <n v="4"/>
    <n v="2003"/>
    <x v="2"/>
    <n v="127"/>
    <n v="-27"/>
    <x v="192"/>
    <x v="5"/>
    <x v="2"/>
    <x v="1"/>
    <x v="1"/>
    <x v="0"/>
  </r>
  <r>
    <x v="26"/>
    <n v="100"/>
    <n v="2700"/>
    <x v="28"/>
    <x v="0"/>
    <n v="2"/>
    <n v="5"/>
    <n v="2003"/>
    <x v="2"/>
    <n v="127"/>
    <n v="-27"/>
    <x v="192"/>
    <x v="5"/>
    <x v="20"/>
    <x v="7"/>
    <x v="1"/>
    <x v="1"/>
  </r>
  <r>
    <x v="20"/>
    <n v="100"/>
    <n v="4700"/>
    <x v="29"/>
    <x v="0"/>
    <n v="3"/>
    <n v="7"/>
    <n v="2003"/>
    <x v="2"/>
    <n v="127"/>
    <n v="-27"/>
    <x v="192"/>
    <x v="5"/>
    <x v="5"/>
    <x v="0"/>
    <x v="0"/>
    <x v="1"/>
  </r>
  <r>
    <x v="13"/>
    <n v="100"/>
    <n v="4200"/>
    <x v="145"/>
    <x v="0"/>
    <n v="3"/>
    <n v="9"/>
    <n v="2003"/>
    <x v="2"/>
    <n v="127"/>
    <n v="-27"/>
    <x v="192"/>
    <x v="5"/>
    <x v="50"/>
    <x v="4"/>
    <x v="1"/>
    <x v="1"/>
  </r>
  <r>
    <x v="22"/>
    <n v="100"/>
    <n v="3200"/>
    <x v="121"/>
    <x v="0"/>
    <n v="4"/>
    <n v="10"/>
    <n v="2003"/>
    <x v="2"/>
    <n v="127"/>
    <n v="-27"/>
    <x v="192"/>
    <x v="5"/>
    <x v="22"/>
    <x v="9"/>
    <x v="2"/>
    <x v="1"/>
  </r>
  <r>
    <x v="11"/>
    <n v="100"/>
    <n v="2800"/>
    <x v="32"/>
    <x v="0"/>
    <n v="4"/>
    <n v="11"/>
    <n v="2003"/>
    <x v="2"/>
    <n v="127"/>
    <n v="-27"/>
    <x v="192"/>
    <x v="5"/>
    <x v="41"/>
    <x v="6"/>
    <x v="1"/>
    <x v="0"/>
  </r>
  <r>
    <x v="16"/>
    <n v="100"/>
    <n v="2400"/>
    <x v="69"/>
    <x v="0"/>
    <n v="4"/>
    <n v="11"/>
    <n v="2003"/>
    <x v="2"/>
    <n v="127"/>
    <n v="-27"/>
    <x v="192"/>
    <x v="5"/>
    <x v="64"/>
    <x v="7"/>
    <x v="1"/>
    <x v="1"/>
  </r>
  <r>
    <x v="4"/>
    <n v="100"/>
    <n v="4900"/>
    <x v="34"/>
    <x v="0"/>
    <n v="4"/>
    <n v="11"/>
    <n v="2003"/>
    <x v="2"/>
    <n v="127"/>
    <n v="-27"/>
    <x v="192"/>
    <x v="5"/>
    <x v="25"/>
    <x v="1"/>
    <x v="1"/>
    <x v="1"/>
  </r>
  <r>
    <x v="12"/>
    <n v="100"/>
    <n v="4600"/>
    <x v="91"/>
    <x v="0"/>
    <n v="4"/>
    <n v="12"/>
    <n v="2003"/>
    <x v="2"/>
    <n v="127"/>
    <n v="-27"/>
    <x v="192"/>
    <x v="5"/>
    <x v="48"/>
    <x v="0"/>
    <x v="0"/>
    <x v="1"/>
  </r>
  <r>
    <x v="11"/>
    <n v="100"/>
    <n v="2800"/>
    <x v="92"/>
    <x v="0"/>
    <n v="1"/>
    <n v="2"/>
    <n v="2004"/>
    <x v="2"/>
    <n v="127"/>
    <n v="-27"/>
    <x v="192"/>
    <x v="5"/>
    <x v="22"/>
    <x v="9"/>
    <x v="2"/>
    <x v="1"/>
  </r>
  <r>
    <x v="7"/>
    <n v="100"/>
    <n v="4800"/>
    <x v="93"/>
    <x v="0"/>
    <n v="1"/>
    <n v="3"/>
    <n v="2004"/>
    <x v="2"/>
    <n v="127"/>
    <n v="-27"/>
    <x v="192"/>
    <x v="5"/>
    <x v="33"/>
    <x v="0"/>
    <x v="0"/>
    <x v="1"/>
  </r>
  <r>
    <x v="6"/>
    <n v="100"/>
    <n v="2900"/>
    <x v="125"/>
    <x v="0"/>
    <n v="2"/>
    <n v="5"/>
    <n v="2004"/>
    <x v="2"/>
    <n v="127"/>
    <n v="-27"/>
    <x v="192"/>
    <x v="5"/>
    <x v="20"/>
    <x v="7"/>
    <x v="1"/>
    <x v="1"/>
  </r>
  <r>
    <x v="20"/>
    <n v="100"/>
    <n v="4700"/>
    <x v="39"/>
    <x v="0"/>
    <n v="2"/>
    <n v="6"/>
    <n v="2004"/>
    <x v="2"/>
    <n v="127"/>
    <n v="-27"/>
    <x v="192"/>
    <x v="5"/>
    <x v="22"/>
    <x v="9"/>
    <x v="2"/>
    <x v="1"/>
  </r>
  <r>
    <x v="30"/>
    <n v="100"/>
    <n v="4300"/>
    <x v="126"/>
    <x v="0"/>
    <n v="3"/>
    <n v="7"/>
    <n v="2004"/>
    <x v="2"/>
    <n v="127"/>
    <n v="-27"/>
    <x v="192"/>
    <x v="5"/>
    <x v="33"/>
    <x v="0"/>
    <x v="0"/>
    <x v="1"/>
  </r>
  <r>
    <x v="32"/>
    <n v="100"/>
    <n v="2500"/>
    <x v="94"/>
    <x v="0"/>
    <n v="3"/>
    <n v="8"/>
    <n v="2004"/>
    <x v="2"/>
    <n v="127"/>
    <n v="-27"/>
    <x v="192"/>
    <x v="5"/>
    <x v="15"/>
    <x v="0"/>
    <x v="0"/>
    <x v="0"/>
  </r>
  <r>
    <x v="7"/>
    <n v="100"/>
    <n v="4800"/>
    <x v="42"/>
    <x v="0"/>
    <n v="3"/>
    <n v="9"/>
    <n v="2004"/>
    <x v="2"/>
    <n v="127"/>
    <n v="-27"/>
    <x v="192"/>
    <x v="5"/>
    <x v="31"/>
    <x v="8"/>
    <x v="1"/>
    <x v="1"/>
  </r>
  <r>
    <x v="16"/>
    <n v="100"/>
    <n v="2400"/>
    <x v="95"/>
    <x v="0"/>
    <n v="4"/>
    <n v="10"/>
    <n v="2004"/>
    <x v="2"/>
    <n v="127"/>
    <n v="-27"/>
    <x v="192"/>
    <x v="5"/>
    <x v="12"/>
    <x v="0"/>
    <x v="0"/>
    <x v="1"/>
  </r>
  <r>
    <x v="13"/>
    <n v="100"/>
    <n v="4200"/>
    <x v="96"/>
    <x v="0"/>
    <n v="4"/>
    <n v="10"/>
    <n v="2004"/>
    <x v="2"/>
    <n v="127"/>
    <n v="-27"/>
    <x v="192"/>
    <x v="5"/>
    <x v="26"/>
    <x v="10"/>
    <x v="0"/>
    <x v="1"/>
  </r>
  <r>
    <x v="28"/>
    <n v="100"/>
    <n v="3100"/>
    <x v="80"/>
    <x v="0"/>
    <n v="4"/>
    <n v="11"/>
    <n v="2004"/>
    <x v="2"/>
    <n v="127"/>
    <n v="-27"/>
    <x v="192"/>
    <x v="5"/>
    <x v="0"/>
    <x v="0"/>
    <x v="0"/>
    <x v="1"/>
  </r>
  <r>
    <x v="13"/>
    <n v="100"/>
    <n v="4200"/>
    <x v="97"/>
    <x v="4"/>
    <n v="4"/>
    <n v="11"/>
    <n v="2004"/>
    <x v="2"/>
    <n v="127"/>
    <n v="-27"/>
    <x v="192"/>
    <x v="5"/>
    <x v="21"/>
    <x v="8"/>
    <x v="1"/>
    <x v="1"/>
  </r>
  <r>
    <x v="9"/>
    <n v="100"/>
    <n v="3700"/>
    <x v="79"/>
    <x v="0"/>
    <n v="4"/>
    <n v="11"/>
    <n v="2004"/>
    <x v="2"/>
    <n v="127"/>
    <n v="-27"/>
    <x v="192"/>
    <x v="5"/>
    <x v="20"/>
    <x v="7"/>
    <x v="1"/>
    <x v="1"/>
  </r>
  <r>
    <x v="2"/>
    <n v="100"/>
    <n v="4100"/>
    <x v="48"/>
    <x v="0"/>
    <n v="4"/>
    <n v="12"/>
    <n v="2004"/>
    <x v="2"/>
    <n v="127"/>
    <n v="-27"/>
    <x v="192"/>
    <x v="5"/>
    <x v="20"/>
    <x v="7"/>
    <x v="1"/>
    <x v="1"/>
  </r>
  <r>
    <x v="14"/>
    <n v="100"/>
    <n v="2000"/>
    <x v="129"/>
    <x v="0"/>
    <n v="1"/>
    <n v="1"/>
    <n v="2005"/>
    <x v="2"/>
    <n v="127"/>
    <n v="-27"/>
    <x v="192"/>
    <x v="5"/>
    <x v="33"/>
    <x v="0"/>
    <x v="0"/>
    <x v="1"/>
  </r>
  <r>
    <x v="14"/>
    <n v="100"/>
    <n v="2000"/>
    <x v="50"/>
    <x v="0"/>
    <n v="1"/>
    <n v="2"/>
    <n v="2005"/>
    <x v="2"/>
    <n v="127"/>
    <n v="-27"/>
    <x v="192"/>
    <x v="5"/>
    <x v="33"/>
    <x v="0"/>
    <x v="0"/>
    <x v="0"/>
  </r>
  <r>
    <x v="50"/>
    <n v="100"/>
    <n v="7000"/>
    <x v="147"/>
    <x v="0"/>
    <n v="2"/>
    <n v="5"/>
    <n v="2005"/>
    <x v="2"/>
    <n v="127"/>
    <n v="-27"/>
    <x v="192"/>
    <x v="5"/>
    <x v="20"/>
    <x v="7"/>
    <x v="1"/>
    <x v="2"/>
  </r>
  <r>
    <x v="4"/>
    <n v="100"/>
    <n v="4900"/>
    <x v="53"/>
    <x v="2"/>
    <n v="2"/>
    <n v="5"/>
    <n v="2005"/>
    <x v="2"/>
    <n v="127"/>
    <n v="-27"/>
    <x v="192"/>
    <x v="5"/>
    <x v="11"/>
    <x v="1"/>
    <x v="1"/>
    <x v="1"/>
  </r>
  <r>
    <x v="21"/>
    <n v="58.87"/>
    <n v="2060.4499999999998"/>
    <x v="98"/>
    <x v="0"/>
    <n v="1"/>
    <n v="3"/>
    <n v="2003"/>
    <x v="0"/>
    <n v="69"/>
    <n v="-10.130000000000003"/>
    <x v="591"/>
    <x v="1"/>
    <x v="53"/>
    <x v="15"/>
    <x v="2"/>
    <x v="0"/>
  </r>
  <r>
    <x v="22"/>
    <n v="76.88"/>
    <n v="2460.16"/>
    <x v="1"/>
    <x v="0"/>
    <n v="2"/>
    <n v="5"/>
    <n v="2003"/>
    <x v="0"/>
    <n v="69"/>
    <n v="7.8799999999999955"/>
    <x v="592"/>
    <x v="0"/>
    <x v="1"/>
    <x v="1"/>
    <x v="1"/>
    <x v="0"/>
  </r>
  <r>
    <x v="6"/>
    <n v="61.64"/>
    <n v="1787.56"/>
    <x v="100"/>
    <x v="0"/>
    <n v="3"/>
    <n v="7"/>
    <n v="2003"/>
    <x v="0"/>
    <n v="69"/>
    <n v="-7.3599999999999994"/>
    <x v="593"/>
    <x v="1"/>
    <x v="33"/>
    <x v="0"/>
    <x v="0"/>
    <x v="0"/>
  </r>
  <r>
    <x v="26"/>
    <n v="60.95"/>
    <n v="1645.65"/>
    <x v="3"/>
    <x v="0"/>
    <n v="3"/>
    <n v="8"/>
    <n v="2003"/>
    <x v="0"/>
    <n v="69"/>
    <n v="-8.0499999999999972"/>
    <x v="594"/>
    <x v="1"/>
    <x v="3"/>
    <x v="0"/>
    <x v="0"/>
    <x v="0"/>
  </r>
  <r>
    <x v="26"/>
    <n v="80.34"/>
    <n v="2169.1800000000003"/>
    <x v="4"/>
    <x v="0"/>
    <n v="4"/>
    <n v="10"/>
    <n v="2003"/>
    <x v="0"/>
    <n v="69"/>
    <n v="11.340000000000003"/>
    <x v="595"/>
    <x v="0"/>
    <x v="4"/>
    <x v="0"/>
    <x v="0"/>
    <x v="0"/>
  </r>
  <r>
    <x v="19"/>
    <n v="74.11"/>
    <n v="2816.18"/>
    <x v="102"/>
    <x v="0"/>
    <n v="4"/>
    <n v="11"/>
    <n v="2003"/>
    <x v="0"/>
    <n v="69"/>
    <n v="5.1099999999999994"/>
    <x v="596"/>
    <x v="0"/>
    <x v="36"/>
    <x v="3"/>
    <x v="2"/>
    <x v="0"/>
  </r>
  <r>
    <x v="21"/>
    <n v="72.03"/>
    <n v="2521.0500000000002"/>
    <x v="6"/>
    <x v="0"/>
    <n v="4"/>
    <n v="11"/>
    <n v="2003"/>
    <x v="0"/>
    <n v="69"/>
    <n v="3.0300000000000011"/>
    <x v="597"/>
    <x v="0"/>
    <x v="6"/>
    <x v="1"/>
    <x v="1"/>
    <x v="0"/>
  </r>
  <r>
    <x v="13"/>
    <n v="76.19"/>
    <n v="3199.98"/>
    <x v="240"/>
    <x v="0"/>
    <n v="4"/>
    <n v="11"/>
    <n v="2003"/>
    <x v="0"/>
    <n v="69"/>
    <n v="7.1899999999999977"/>
    <x v="598"/>
    <x v="0"/>
    <x v="20"/>
    <x v="7"/>
    <x v="1"/>
    <x v="1"/>
  </r>
  <r>
    <x v="15"/>
    <n v="63.72"/>
    <n v="1338.12"/>
    <x v="9"/>
    <x v="0"/>
    <n v="1"/>
    <n v="1"/>
    <n v="2004"/>
    <x v="0"/>
    <n v="69"/>
    <n v="-5.2800000000000011"/>
    <x v="599"/>
    <x v="3"/>
    <x v="2"/>
    <x v="1"/>
    <x v="1"/>
    <x v="0"/>
  </r>
  <r>
    <x v="9"/>
    <n v="80.34"/>
    <n v="2972.58"/>
    <x v="133"/>
    <x v="0"/>
    <n v="1"/>
    <n v="2"/>
    <n v="2004"/>
    <x v="0"/>
    <n v="69"/>
    <n v="11.340000000000003"/>
    <x v="595"/>
    <x v="0"/>
    <x v="6"/>
    <x v="1"/>
    <x v="1"/>
    <x v="0"/>
  </r>
  <r>
    <x v="18"/>
    <n v="79.650000000000006"/>
    <n v="2070.9"/>
    <x v="11"/>
    <x v="0"/>
    <n v="2"/>
    <n v="4"/>
    <n v="2004"/>
    <x v="0"/>
    <n v="69"/>
    <n v="10.650000000000006"/>
    <x v="600"/>
    <x v="0"/>
    <x v="0"/>
    <x v="0"/>
    <x v="0"/>
    <x v="0"/>
  </r>
  <r>
    <x v="20"/>
    <n v="65.8"/>
    <n v="3092.6"/>
    <x v="224"/>
    <x v="0"/>
    <n v="2"/>
    <n v="5"/>
    <n v="2004"/>
    <x v="0"/>
    <n v="69"/>
    <n v="-3.2000000000000028"/>
    <x v="601"/>
    <x v="4"/>
    <x v="2"/>
    <x v="1"/>
    <x v="1"/>
    <x v="1"/>
  </r>
  <r>
    <x v="9"/>
    <n v="65.099999999999994"/>
    <n v="2408.6999999999998"/>
    <x v="230"/>
    <x v="0"/>
    <n v="2"/>
    <n v="6"/>
    <n v="2004"/>
    <x v="0"/>
    <n v="69"/>
    <n v="-3.9000000000000057"/>
    <x v="602"/>
    <x v="3"/>
    <x v="48"/>
    <x v="0"/>
    <x v="0"/>
    <x v="0"/>
  </r>
  <r>
    <x v="12"/>
    <n v="75.489999999999995"/>
    <n v="3472.54"/>
    <x v="110"/>
    <x v="0"/>
    <n v="3"/>
    <n v="8"/>
    <n v="2004"/>
    <x v="0"/>
    <n v="69"/>
    <n v="6.4899999999999949"/>
    <x v="603"/>
    <x v="0"/>
    <x v="35"/>
    <x v="0"/>
    <x v="0"/>
    <x v="1"/>
  </r>
  <r>
    <x v="19"/>
    <n v="59.56"/>
    <n v="2263.2800000000002"/>
    <x v="15"/>
    <x v="0"/>
    <n v="3"/>
    <n v="8"/>
    <n v="2004"/>
    <x v="0"/>
    <n v="69"/>
    <n v="-9.4399999999999977"/>
    <x v="604"/>
    <x v="1"/>
    <x v="12"/>
    <x v="0"/>
    <x v="0"/>
    <x v="0"/>
  </r>
  <r>
    <x v="29"/>
    <n v="66.489999999999995"/>
    <n v="2194.1699999999996"/>
    <x v="16"/>
    <x v="0"/>
    <n v="3"/>
    <n v="9"/>
    <n v="2004"/>
    <x v="0"/>
    <n v="69"/>
    <n v="-2.5100000000000051"/>
    <x v="605"/>
    <x v="4"/>
    <x v="13"/>
    <x v="4"/>
    <x v="1"/>
    <x v="0"/>
  </r>
  <r>
    <x v="16"/>
    <n v="56.1"/>
    <n v="1346.4"/>
    <x v="17"/>
    <x v="0"/>
    <n v="4"/>
    <n v="10"/>
    <n v="2004"/>
    <x v="0"/>
    <n v="69"/>
    <n v="-12.899999999999999"/>
    <x v="606"/>
    <x v="6"/>
    <x v="14"/>
    <x v="2"/>
    <x v="1"/>
    <x v="0"/>
  </r>
  <r>
    <x v="28"/>
    <n v="81.73"/>
    <n v="2533.63"/>
    <x v="114"/>
    <x v="0"/>
    <n v="4"/>
    <n v="11"/>
    <n v="2004"/>
    <x v="0"/>
    <n v="69"/>
    <n v="12.730000000000004"/>
    <x v="607"/>
    <x v="0"/>
    <x v="0"/>
    <x v="0"/>
    <x v="0"/>
    <x v="0"/>
  </r>
  <r>
    <x v="13"/>
    <n v="81.03"/>
    <n v="3403.26"/>
    <x v="227"/>
    <x v="0"/>
    <n v="4"/>
    <n v="11"/>
    <n v="2004"/>
    <x v="0"/>
    <n v="69"/>
    <n v="12.030000000000001"/>
    <x v="608"/>
    <x v="0"/>
    <x v="53"/>
    <x v="15"/>
    <x v="2"/>
    <x v="1"/>
  </r>
  <r>
    <x v="22"/>
    <n v="100"/>
    <n v="3200"/>
    <x v="20"/>
    <x v="0"/>
    <n v="4"/>
    <n v="11"/>
    <n v="2004"/>
    <x v="0"/>
    <n v="69"/>
    <n v="31"/>
    <x v="609"/>
    <x v="0"/>
    <x v="16"/>
    <x v="5"/>
    <x v="1"/>
    <x v="1"/>
  </r>
  <r>
    <x v="2"/>
    <n v="70.650000000000006"/>
    <n v="2896.65"/>
    <x v="228"/>
    <x v="0"/>
    <n v="4"/>
    <n v="12"/>
    <n v="2004"/>
    <x v="0"/>
    <n v="69"/>
    <n v="1.6500000000000057"/>
    <x v="610"/>
    <x v="0"/>
    <x v="20"/>
    <x v="7"/>
    <x v="1"/>
    <x v="0"/>
  </r>
  <r>
    <x v="30"/>
    <n v="61.23"/>
    <n v="2632.89"/>
    <x v="115"/>
    <x v="0"/>
    <n v="1"/>
    <n v="1"/>
    <n v="2005"/>
    <x v="0"/>
    <n v="69"/>
    <n v="-7.7700000000000031"/>
    <x v="611"/>
    <x v="1"/>
    <x v="59"/>
    <x v="4"/>
    <x v="1"/>
    <x v="0"/>
  </r>
  <r>
    <x v="14"/>
    <n v="100"/>
    <n v="2000"/>
    <x v="22"/>
    <x v="0"/>
    <n v="1"/>
    <n v="2"/>
    <n v="2005"/>
    <x v="0"/>
    <n v="69"/>
    <n v="31"/>
    <x v="609"/>
    <x v="0"/>
    <x v="11"/>
    <x v="1"/>
    <x v="1"/>
    <x v="0"/>
  </r>
  <r>
    <x v="21"/>
    <n v="65.13"/>
    <n v="2279.5499999999997"/>
    <x v="162"/>
    <x v="0"/>
    <n v="1"/>
    <n v="3"/>
    <n v="2005"/>
    <x v="0"/>
    <n v="69"/>
    <n v="-3.8700000000000045"/>
    <x v="612"/>
    <x v="3"/>
    <x v="33"/>
    <x v="0"/>
    <x v="0"/>
    <x v="0"/>
  </r>
  <r>
    <x v="26"/>
    <n v="79.650000000000006"/>
    <n v="2150.5500000000002"/>
    <x v="24"/>
    <x v="0"/>
    <n v="2"/>
    <n v="4"/>
    <n v="2005"/>
    <x v="0"/>
    <n v="69"/>
    <n v="10.650000000000006"/>
    <x v="600"/>
    <x v="0"/>
    <x v="19"/>
    <x v="6"/>
    <x v="1"/>
    <x v="0"/>
  </r>
  <r>
    <x v="30"/>
    <n v="78.150000000000006"/>
    <n v="3360.4500000000003"/>
    <x v="178"/>
    <x v="0"/>
    <n v="1"/>
    <n v="3"/>
    <n v="2003"/>
    <x v="1"/>
    <n v="90"/>
    <n v="-11.849999999999994"/>
    <x v="613"/>
    <x v="1"/>
    <x v="61"/>
    <x v="6"/>
    <x v="1"/>
    <x v="1"/>
  </r>
  <r>
    <x v="22"/>
    <n v="72.7"/>
    <n v="2326.4"/>
    <x v="166"/>
    <x v="0"/>
    <n v="2"/>
    <n v="5"/>
    <n v="2003"/>
    <x v="1"/>
    <n v="90"/>
    <n v="-17.299999999999997"/>
    <x v="614"/>
    <x v="6"/>
    <x v="67"/>
    <x v="0"/>
    <x v="0"/>
    <x v="0"/>
  </r>
  <r>
    <x v="15"/>
    <n v="73.599999999999994"/>
    <n v="1545.6"/>
    <x v="153"/>
    <x v="0"/>
    <n v="3"/>
    <n v="9"/>
    <n v="2003"/>
    <x v="1"/>
    <n v="90"/>
    <n v="-16.400000000000006"/>
    <x v="615"/>
    <x v="6"/>
    <x v="36"/>
    <x v="3"/>
    <x v="2"/>
    <x v="0"/>
  </r>
  <r>
    <x v="14"/>
    <n v="100"/>
    <n v="2000"/>
    <x v="154"/>
    <x v="0"/>
    <n v="4"/>
    <n v="10"/>
    <n v="2003"/>
    <x v="1"/>
    <n v="90"/>
    <n v="10"/>
    <x v="616"/>
    <x v="0"/>
    <x v="62"/>
    <x v="13"/>
    <x v="1"/>
    <x v="0"/>
  </r>
  <r>
    <x v="8"/>
    <n v="74.510000000000005"/>
    <n v="1639.22"/>
    <x v="155"/>
    <x v="0"/>
    <n v="4"/>
    <n v="11"/>
    <n v="2003"/>
    <x v="1"/>
    <n v="90"/>
    <n v="-15.489999999999995"/>
    <x v="617"/>
    <x v="6"/>
    <x v="10"/>
    <x v="0"/>
    <x v="0"/>
    <x v="0"/>
  </r>
  <r>
    <x v="5"/>
    <n v="73.599999999999994"/>
    <n v="2649.6"/>
    <x v="103"/>
    <x v="0"/>
    <n v="4"/>
    <n v="11"/>
    <n v="2003"/>
    <x v="1"/>
    <n v="90"/>
    <n v="-16.400000000000006"/>
    <x v="615"/>
    <x v="6"/>
    <x v="33"/>
    <x v="0"/>
    <x v="0"/>
    <x v="0"/>
  </r>
  <r>
    <x v="12"/>
    <n v="83.6"/>
    <n v="3845.6"/>
    <x v="104"/>
    <x v="0"/>
    <n v="4"/>
    <n v="11"/>
    <n v="2003"/>
    <x v="1"/>
    <n v="90"/>
    <n v="-6.4000000000000057"/>
    <x v="618"/>
    <x v="3"/>
    <x v="34"/>
    <x v="0"/>
    <x v="0"/>
    <x v="1"/>
  </r>
  <r>
    <x v="20"/>
    <n v="96.32"/>
    <n v="4527.04"/>
    <x v="105"/>
    <x v="0"/>
    <n v="4"/>
    <n v="12"/>
    <n v="2003"/>
    <x v="1"/>
    <n v="90"/>
    <n v="6.3199999999999932"/>
    <x v="619"/>
    <x v="0"/>
    <x v="0"/>
    <x v="0"/>
    <x v="0"/>
    <x v="1"/>
  </r>
  <r>
    <x v="3"/>
    <n v="88.14"/>
    <n v="3966.3"/>
    <x v="138"/>
    <x v="0"/>
    <n v="1"/>
    <n v="1"/>
    <n v="2004"/>
    <x v="1"/>
    <n v="90"/>
    <n v="-1.8599999999999994"/>
    <x v="620"/>
    <x v="4"/>
    <x v="20"/>
    <x v="7"/>
    <x v="1"/>
    <x v="1"/>
  </r>
  <r>
    <x v="20"/>
    <n v="88.14"/>
    <n v="4142.58"/>
    <x v="172"/>
    <x v="0"/>
    <n v="1"/>
    <n v="3"/>
    <n v="2004"/>
    <x v="1"/>
    <n v="90"/>
    <n v="-1.8599999999999994"/>
    <x v="620"/>
    <x v="4"/>
    <x v="25"/>
    <x v="1"/>
    <x v="1"/>
    <x v="1"/>
  </r>
  <r>
    <x v="20"/>
    <n v="94.5"/>
    <n v="4441.5"/>
    <x v="156"/>
    <x v="0"/>
    <n v="2"/>
    <n v="4"/>
    <n v="2004"/>
    <x v="1"/>
    <n v="90"/>
    <n v="4.5"/>
    <x v="621"/>
    <x v="0"/>
    <x v="66"/>
    <x v="1"/>
    <x v="1"/>
    <x v="1"/>
  </r>
  <r>
    <x v="19"/>
    <n v="87.24"/>
    <n v="3315.12"/>
    <x v="238"/>
    <x v="0"/>
    <n v="3"/>
    <n v="7"/>
    <n v="2004"/>
    <x v="1"/>
    <n v="90"/>
    <n v="-2.7600000000000051"/>
    <x v="622"/>
    <x v="4"/>
    <x v="0"/>
    <x v="0"/>
    <x v="0"/>
    <x v="1"/>
  </r>
  <r>
    <x v="4"/>
    <n v="79.97"/>
    <n v="3918.5299999999997"/>
    <x v="239"/>
    <x v="0"/>
    <n v="3"/>
    <n v="8"/>
    <n v="2004"/>
    <x v="1"/>
    <n v="90"/>
    <n v="-10.030000000000001"/>
    <x v="623"/>
    <x v="1"/>
    <x v="20"/>
    <x v="7"/>
    <x v="1"/>
    <x v="1"/>
  </r>
  <r>
    <x v="21"/>
    <n v="80.87"/>
    <n v="2830.4500000000003"/>
    <x v="182"/>
    <x v="0"/>
    <n v="3"/>
    <n v="9"/>
    <n v="2004"/>
    <x v="1"/>
    <n v="90"/>
    <n v="-9.1299999999999955"/>
    <x v="624"/>
    <x v="3"/>
    <x v="22"/>
    <x v="9"/>
    <x v="2"/>
    <x v="0"/>
  </r>
  <r>
    <x v="4"/>
    <n v="100"/>
    <n v="4900"/>
    <x v="66"/>
    <x v="0"/>
    <n v="4"/>
    <n v="10"/>
    <n v="2003"/>
    <x v="1"/>
    <n v="90"/>
    <n v="10"/>
    <x v="616"/>
    <x v="0"/>
    <x v="19"/>
    <x v="6"/>
    <x v="1"/>
    <x v="1"/>
  </r>
  <r>
    <x v="11"/>
    <n v="93.6"/>
    <n v="2620.7999999999997"/>
    <x v="113"/>
    <x v="0"/>
    <n v="4"/>
    <n v="10"/>
    <n v="2004"/>
    <x v="1"/>
    <n v="90"/>
    <n v="3.5999999999999943"/>
    <x v="625"/>
    <x v="0"/>
    <x v="20"/>
    <x v="7"/>
    <x v="1"/>
    <x v="0"/>
  </r>
  <r>
    <x v="0"/>
    <n v="72.7"/>
    <n v="2181"/>
    <x v="45"/>
    <x v="0"/>
    <n v="4"/>
    <n v="11"/>
    <n v="2004"/>
    <x v="1"/>
    <n v="90"/>
    <n v="-17.299999999999997"/>
    <x v="614"/>
    <x v="6"/>
    <x v="18"/>
    <x v="0"/>
    <x v="0"/>
    <x v="0"/>
  </r>
  <r>
    <x v="25"/>
    <n v="86.72"/>
    <n v="3382.08"/>
    <x v="159"/>
    <x v="0"/>
    <n v="4"/>
    <n v="11"/>
    <n v="2004"/>
    <x v="1"/>
    <n v="90"/>
    <n v="-3.2800000000000011"/>
    <x v="626"/>
    <x v="4"/>
    <x v="61"/>
    <x v="6"/>
    <x v="1"/>
    <x v="1"/>
  </r>
  <r>
    <x v="32"/>
    <n v="100"/>
    <n v="2500"/>
    <x v="47"/>
    <x v="0"/>
    <n v="4"/>
    <n v="11"/>
    <n v="2004"/>
    <x v="1"/>
    <n v="90"/>
    <n v="10"/>
    <x v="616"/>
    <x v="0"/>
    <x v="67"/>
    <x v="0"/>
    <x v="0"/>
    <x v="0"/>
  </r>
  <r>
    <x v="23"/>
    <n v="100"/>
    <n v="4000"/>
    <x v="241"/>
    <x v="0"/>
    <n v="1"/>
    <n v="1"/>
    <n v="2005"/>
    <x v="1"/>
    <n v="90"/>
    <n v="10"/>
    <x v="616"/>
    <x v="0"/>
    <x v="33"/>
    <x v="0"/>
    <x v="0"/>
    <x v="1"/>
  </r>
  <r>
    <x v="5"/>
    <n v="37.5"/>
    <n v="1350"/>
    <x v="176"/>
    <x v="0"/>
    <n v="1"/>
    <n v="2"/>
    <n v="2005"/>
    <x v="1"/>
    <n v="90"/>
    <n v="-52.5"/>
    <x v="627"/>
    <x v="5"/>
    <x v="20"/>
    <x v="7"/>
    <x v="1"/>
    <x v="0"/>
  </r>
  <r>
    <x v="43"/>
    <n v="94.5"/>
    <n v="7182"/>
    <x v="185"/>
    <x v="4"/>
    <n v="2"/>
    <n v="4"/>
    <n v="2005"/>
    <x v="1"/>
    <n v="90"/>
    <n v="4.5"/>
    <x v="621"/>
    <x v="0"/>
    <x v="51"/>
    <x v="0"/>
    <x v="0"/>
    <x v="2"/>
  </r>
  <r>
    <x v="25"/>
    <n v="100"/>
    <n v="3900"/>
    <x v="202"/>
    <x v="2"/>
    <n v="2"/>
    <n v="5"/>
    <n v="2005"/>
    <x v="1"/>
    <n v="90"/>
    <n v="10"/>
    <x v="616"/>
    <x v="0"/>
    <x v="17"/>
    <x v="3"/>
    <x v="2"/>
    <x v="1"/>
  </r>
  <r>
    <x v="27"/>
    <n v="39.6"/>
    <n v="1742.4"/>
    <x v="134"/>
    <x v="0"/>
    <n v="1"/>
    <n v="1"/>
    <n v="2003"/>
    <x v="1"/>
    <n v="35"/>
    <n v="4.6000000000000014"/>
    <x v="628"/>
    <x v="0"/>
    <x v="20"/>
    <x v="7"/>
    <x v="1"/>
    <x v="0"/>
  </r>
  <r>
    <x v="16"/>
    <n v="30.06"/>
    <n v="721.43999999999994"/>
    <x v="89"/>
    <x v="0"/>
    <n v="2"/>
    <n v="4"/>
    <n v="2003"/>
    <x v="1"/>
    <n v="35"/>
    <n v="-4.9400000000000013"/>
    <x v="629"/>
    <x v="1"/>
    <x v="2"/>
    <x v="1"/>
    <x v="1"/>
    <x v="0"/>
  </r>
  <r>
    <x v="25"/>
    <n v="38.19"/>
    <n v="1489.4099999999999"/>
    <x v="118"/>
    <x v="0"/>
    <n v="2"/>
    <n v="6"/>
    <n v="2003"/>
    <x v="1"/>
    <n v="35"/>
    <n v="3.1899999999999977"/>
    <x v="630"/>
    <x v="0"/>
    <x v="0"/>
    <x v="0"/>
    <x v="0"/>
    <x v="0"/>
  </r>
  <r>
    <x v="15"/>
    <n v="42.43"/>
    <n v="891.03"/>
    <x v="144"/>
    <x v="0"/>
    <n v="3"/>
    <n v="8"/>
    <n v="2003"/>
    <x v="1"/>
    <n v="35"/>
    <n v="7.43"/>
    <x v="631"/>
    <x v="0"/>
    <x v="59"/>
    <x v="4"/>
    <x v="1"/>
    <x v="0"/>
  </r>
  <r>
    <x v="0"/>
    <n v="40.31"/>
    <n v="1209.3000000000002"/>
    <x v="145"/>
    <x v="0"/>
    <n v="3"/>
    <n v="9"/>
    <n v="2003"/>
    <x v="1"/>
    <n v="35"/>
    <n v="5.3100000000000023"/>
    <x v="632"/>
    <x v="0"/>
    <x v="50"/>
    <x v="4"/>
    <x v="1"/>
    <x v="0"/>
  </r>
  <r>
    <x v="26"/>
    <n v="31.82"/>
    <n v="859.14"/>
    <x v="121"/>
    <x v="0"/>
    <n v="4"/>
    <n v="10"/>
    <n v="2003"/>
    <x v="1"/>
    <n v="35"/>
    <n v="-3.1799999999999997"/>
    <x v="633"/>
    <x v="3"/>
    <x v="22"/>
    <x v="9"/>
    <x v="2"/>
    <x v="0"/>
  </r>
  <r>
    <x v="9"/>
    <n v="31.12"/>
    <n v="1151.44"/>
    <x v="32"/>
    <x v="0"/>
    <n v="4"/>
    <n v="11"/>
    <n v="2003"/>
    <x v="1"/>
    <n v="35"/>
    <n v="-3.879999999999999"/>
    <x v="634"/>
    <x v="1"/>
    <x v="41"/>
    <x v="6"/>
    <x v="1"/>
    <x v="0"/>
  </r>
  <r>
    <x v="13"/>
    <n v="31.82"/>
    <n v="1336.44"/>
    <x v="69"/>
    <x v="0"/>
    <n v="4"/>
    <n v="11"/>
    <n v="2003"/>
    <x v="1"/>
    <n v="35"/>
    <n v="-3.1799999999999997"/>
    <x v="633"/>
    <x v="3"/>
    <x v="64"/>
    <x v="7"/>
    <x v="1"/>
    <x v="0"/>
  </r>
  <r>
    <x v="22"/>
    <n v="28.29"/>
    <n v="905.28"/>
    <x v="34"/>
    <x v="0"/>
    <n v="4"/>
    <n v="11"/>
    <n v="2003"/>
    <x v="1"/>
    <n v="35"/>
    <n v="-6.7100000000000009"/>
    <x v="635"/>
    <x v="6"/>
    <x v="39"/>
    <x v="0"/>
    <x v="0"/>
    <x v="0"/>
  </r>
  <r>
    <x v="13"/>
    <n v="29.7"/>
    <n v="1247.3999999999999"/>
    <x v="91"/>
    <x v="0"/>
    <n v="4"/>
    <n v="12"/>
    <n v="2003"/>
    <x v="1"/>
    <n v="35"/>
    <n v="-5.3000000000000007"/>
    <x v="636"/>
    <x v="1"/>
    <x v="48"/>
    <x v="0"/>
    <x v="0"/>
    <x v="0"/>
  </r>
  <r>
    <x v="15"/>
    <n v="40.31"/>
    <n v="846.51"/>
    <x v="146"/>
    <x v="0"/>
    <n v="1"/>
    <n v="2"/>
    <n v="2004"/>
    <x v="1"/>
    <n v="35"/>
    <n v="5.3100000000000023"/>
    <x v="632"/>
    <x v="0"/>
    <x v="65"/>
    <x v="0"/>
    <x v="0"/>
    <x v="0"/>
  </r>
  <r>
    <x v="29"/>
    <n v="32.880000000000003"/>
    <n v="1085.0400000000002"/>
    <x v="93"/>
    <x v="0"/>
    <n v="1"/>
    <n v="3"/>
    <n v="2004"/>
    <x v="1"/>
    <n v="35"/>
    <n v="-2.1199999999999974"/>
    <x v="637"/>
    <x v="3"/>
    <x v="33"/>
    <x v="0"/>
    <x v="0"/>
    <x v="0"/>
  </r>
  <r>
    <x v="4"/>
    <n v="36.07"/>
    <n v="1767.43"/>
    <x v="125"/>
    <x v="0"/>
    <n v="2"/>
    <n v="5"/>
    <n v="2004"/>
    <x v="1"/>
    <n v="35"/>
    <n v="1.0700000000000003"/>
    <x v="638"/>
    <x v="0"/>
    <x v="20"/>
    <x v="7"/>
    <x v="1"/>
    <x v="0"/>
  </r>
  <r>
    <x v="28"/>
    <n v="33.24"/>
    <n v="1030.44"/>
    <x v="39"/>
    <x v="0"/>
    <n v="2"/>
    <n v="6"/>
    <n v="2004"/>
    <x v="1"/>
    <n v="35"/>
    <n v="-1.759999999999998"/>
    <x v="639"/>
    <x v="4"/>
    <x v="22"/>
    <x v="9"/>
    <x v="2"/>
    <x v="0"/>
  </r>
  <r>
    <x v="19"/>
    <n v="41.72"/>
    <n v="1585.36"/>
    <x v="126"/>
    <x v="0"/>
    <n v="3"/>
    <n v="7"/>
    <n v="2004"/>
    <x v="1"/>
    <n v="35"/>
    <n v="6.7199999999999989"/>
    <x v="640"/>
    <x v="0"/>
    <x v="33"/>
    <x v="0"/>
    <x v="0"/>
    <x v="0"/>
  </r>
  <r>
    <x v="14"/>
    <n v="40.659999999999997"/>
    <n v="813.19999999999993"/>
    <x v="94"/>
    <x v="0"/>
    <n v="3"/>
    <n v="8"/>
    <n v="2004"/>
    <x v="1"/>
    <n v="35"/>
    <n v="5.6599999999999966"/>
    <x v="641"/>
    <x v="0"/>
    <x v="15"/>
    <x v="0"/>
    <x v="0"/>
    <x v="0"/>
  </r>
  <r>
    <x v="25"/>
    <n v="30.06"/>
    <n v="1172.3399999999999"/>
    <x v="42"/>
    <x v="0"/>
    <n v="3"/>
    <n v="9"/>
    <n v="2004"/>
    <x v="1"/>
    <n v="35"/>
    <n v="-4.9400000000000013"/>
    <x v="629"/>
    <x v="1"/>
    <x v="0"/>
    <x v="0"/>
    <x v="0"/>
    <x v="0"/>
  </r>
  <r>
    <x v="7"/>
    <n v="31.47"/>
    <n v="1510.56"/>
    <x v="95"/>
    <x v="0"/>
    <n v="4"/>
    <n v="10"/>
    <n v="2004"/>
    <x v="1"/>
    <n v="35"/>
    <n v="-3.5300000000000011"/>
    <x v="642"/>
    <x v="3"/>
    <x v="12"/>
    <x v="0"/>
    <x v="0"/>
    <x v="0"/>
  </r>
  <r>
    <x v="25"/>
    <n v="37.130000000000003"/>
    <n v="1448.0700000000002"/>
    <x v="96"/>
    <x v="0"/>
    <n v="4"/>
    <n v="10"/>
    <n v="2004"/>
    <x v="1"/>
    <n v="35"/>
    <n v="2.1300000000000026"/>
    <x v="643"/>
    <x v="0"/>
    <x v="62"/>
    <x v="13"/>
    <x v="1"/>
    <x v="0"/>
  </r>
  <r>
    <x v="0"/>
    <n v="100"/>
    <n v="3000"/>
    <x v="80"/>
    <x v="0"/>
    <n v="4"/>
    <n v="11"/>
    <n v="2004"/>
    <x v="1"/>
    <n v="35"/>
    <n v="65"/>
    <x v="644"/>
    <x v="0"/>
    <x v="0"/>
    <x v="0"/>
    <x v="0"/>
    <x v="1"/>
  </r>
  <r>
    <x v="29"/>
    <n v="37.130000000000003"/>
    <n v="1225.2900000000002"/>
    <x v="97"/>
    <x v="0"/>
    <n v="4"/>
    <n v="11"/>
    <n v="2004"/>
    <x v="1"/>
    <n v="35"/>
    <n v="2.1300000000000026"/>
    <x v="643"/>
    <x v="0"/>
    <x v="33"/>
    <x v="0"/>
    <x v="0"/>
    <x v="0"/>
  </r>
  <r>
    <x v="5"/>
    <n v="37.130000000000003"/>
    <n v="1336.68"/>
    <x v="140"/>
    <x v="0"/>
    <n v="4"/>
    <n v="12"/>
    <n v="2004"/>
    <x v="1"/>
    <n v="35"/>
    <n v="2.1300000000000026"/>
    <x v="643"/>
    <x v="0"/>
    <x v="0"/>
    <x v="0"/>
    <x v="0"/>
    <x v="0"/>
  </r>
  <r>
    <x v="5"/>
    <n v="82.94"/>
    <n v="2985.84"/>
    <x v="48"/>
    <x v="0"/>
    <n v="4"/>
    <n v="12"/>
    <n v="2004"/>
    <x v="1"/>
    <n v="35"/>
    <n v="47.94"/>
    <x v="645"/>
    <x v="0"/>
    <x v="20"/>
    <x v="7"/>
    <x v="1"/>
    <x v="0"/>
  </r>
  <r>
    <x v="3"/>
    <n v="100"/>
    <n v="4500"/>
    <x v="129"/>
    <x v="0"/>
    <n v="1"/>
    <n v="1"/>
    <n v="2005"/>
    <x v="1"/>
    <n v="35"/>
    <n v="65"/>
    <x v="644"/>
    <x v="0"/>
    <x v="33"/>
    <x v="0"/>
    <x v="0"/>
    <x v="1"/>
  </r>
  <r>
    <x v="23"/>
    <n v="100"/>
    <n v="4000"/>
    <x v="205"/>
    <x v="0"/>
    <n v="1"/>
    <n v="2"/>
    <n v="2005"/>
    <x v="1"/>
    <n v="35"/>
    <n v="65"/>
    <x v="644"/>
    <x v="0"/>
    <x v="20"/>
    <x v="7"/>
    <x v="1"/>
    <x v="1"/>
  </r>
  <r>
    <x v="12"/>
    <n v="38.9"/>
    <n v="1789.3999999999999"/>
    <x v="222"/>
    <x v="0"/>
    <n v="1"/>
    <n v="3"/>
    <n v="2005"/>
    <x v="1"/>
    <n v="35"/>
    <n v="3.8999999999999986"/>
    <x v="646"/>
    <x v="0"/>
    <x v="20"/>
    <x v="7"/>
    <x v="1"/>
    <x v="0"/>
  </r>
  <r>
    <x v="0"/>
    <n v="36.07"/>
    <n v="1082.0999999999999"/>
    <x v="147"/>
    <x v="0"/>
    <n v="2"/>
    <n v="5"/>
    <n v="2005"/>
    <x v="1"/>
    <n v="35"/>
    <n v="1.0700000000000003"/>
    <x v="638"/>
    <x v="0"/>
    <x v="20"/>
    <x v="7"/>
    <x v="1"/>
    <x v="0"/>
  </r>
  <r>
    <x v="28"/>
    <n v="33.24"/>
    <n v="1030.44"/>
    <x v="53"/>
    <x v="2"/>
    <n v="2"/>
    <n v="5"/>
    <n v="2005"/>
    <x v="1"/>
    <n v="35"/>
    <n v="-1.759999999999998"/>
    <x v="639"/>
    <x v="4"/>
    <x v="11"/>
    <x v="1"/>
    <x v="1"/>
    <x v="0"/>
  </r>
  <r>
    <x v="4"/>
    <n v="74.680000000000007"/>
    <n v="3659.32"/>
    <x v="186"/>
    <x v="0"/>
    <n v="1"/>
    <n v="2"/>
    <n v="2003"/>
    <x v="4"/>
    <n v="68"/>
    <n v="6.6800000000000068"/>
    <x v="647"/>
    <x v="0"/>
    <x v="69"/>
    <x v="12"/>
    <x v="1"/>
    <x v="1"/>
  </r>
  <r>
    <x v="2"/>
    <n v="59.6"/>
    <n v="2443.6"/>
    <x v="63"/>
    <x v="0"/>
    <n v="2"/>
    <n v="4"/>
    <n v="2003"/>
    <x v="4"/>
    <n v="68"/>
    <n v="-8.3999999999999986"/>
    <x v="648"/>
    <x v="1"/>
    <x v="16"/>
    <x v="5"/>
    <x v="1"/>
    <x v="0"/>
  </r>
  <r>
    <x v="21"/>
    <n v="67.14"/>
    <n v="2349.9"/>
    <x v="187"/>
    <x v="0"/>
    <n v="2"/>
    <n v="6"/>
    <n v="2003"/>
    <x v="4"/>
    <n v="68"/>
    <n v="-0.85999999999999943"/>
    <x v="649"/>
    <x v="4"/>
    <x v="63"/>
    <x v="0"/>
    <x v="0"/>
    <x v="0"/>
  </r>
  <r>
    <x v="26"/>
    <n v="60.97"/>
    <n v="1646.19"/>
    <x v="65"/>
    <x v="0"/>
    <n v="3"/>
    <n v="8"/>
    <n v="2003"/>
    <x v="4"/>
    <n v="68"/>
    <n v="-7.0300000000000011"/>
    <x v="650"/>
    <x v="3"/>
    <x v="18"/>
    <x v="0"/>
    <x v="0"/>
    <x v="0"/>
  </r>
  <r>
    <x v="10"/>
    <n v="72.62"/>
    <n v="1670.2600000000002"/>
    <x v="66"/>
    <x v="0"/>
    <n v="4"/>
    <n v="10"/>
    <n v="2003"/>
    <x v="4"/>
    <n v="68"/>
    <n v="4.6200000000000045"/>
    <x v="651"/>
    <x v="0"/>
    <x v="13"/>
    <x v="4"/>
    <x v="1"/>
    <x v="0"/>
  </r>
  <r>
    <x v="15"/>
    <n v="69.88"/>
    <n v="1467.48"/>
    <x v="67"/>
    <x v="3"/>
    <n v="4"/>
    <n v="10"/>
    <n v="2003"/>
    <x v="4"/>
    <n v="68"/>
    <n v="1.8799999999999955"/>
    <x v="652"/>
    <x v="0"/>
    <x v="31"/>
    <x v="8"/>
    <x v="1"/>
    <x v="0"/>
  </r>
  <r>
    <x v="1"/>
    <n v="80.84"/>
    <n v="2748.56"/>
    <x v="68"/>
    <x v="0"/>
    <n v="4"/>
    <n v="11"/>
    <n v="2003"/>
    <x v="4"/>
    <n v="68"/>
    <n v="12.840000000000003"/>
    <x v="653"/>
    <x v="0"/>
    <x v="42"/>
    <x v="1"/>
    <x v="1"/>
    <x v="0"/>
  </r>
  <r>
    <x v="8"/>
    <n v="69.2"/>
    <n v="1522.4"/>
    <x v="69"/>
    <x v="0"/>
    <n v="4"/>
    <n v="11"/>
    <n v="2003"/>
    <x v="4"/>
    <n v="68"/>
    <n v="1.2000000000000028"/>
    <x v="654"/>
    <x v="0"/>
    <x v="41"/>
    <x v="6"/>
    <x v="1"/>
    <x v="0"/>
  </r>
  <r>
    <x v="7"/>
    <n v="67.819999999999993"/>
    <n v="3255.3599999999997"/>
    <x v="188"/>
    <x v="0"/>
    <n v="4"/>
    <n v="11"/>
    <n v="2003"/>
    <x v="4"/>
    <n v="68"/>
    <n v="-0.18000000000000682"/>
    <x v="655"/>
    <x v="2"/>
    <x v="53"/>
    <x v="15"/>
    <x v="2"/>
    <x v="1"/>
  </r>
  <r>
    <x v="30"/>
    <n v="82.21"/>
    <n v="3535.0299999999997"/>
    <x v="71"/>
    <x v="0"/>
    <n v="1"/>
    <n v="1"/>
    <n v="2004"/>
    <x v="4"/>
    <n v="68"/>
    <n v="14.209999999999994"/>
    <x v="656"/>
    <x v="0"/>
    <x v="44"/>
    <x v="0"/>
    <x v="0"/>
    <x v="1"/>
  </r>
  <r>
    <x v="22"/>
    <n v="81.53"/>
    <n v="2608.96"/>
    <x v="72"/>
    <x v="0"/>
    <n v="1"/>
    <n v="2"/>
    <n v="2004"/>
    <x v="4"/>
    <n v="68"/>
    <n v="13.530000000000001"/>
    <x v="657"/>
    <x v="0"/>
    <x v="45"/>
    <x v="0"/>
    <x v="0"/>
    <x v="0"/>
  </r>
  <r>
    <x v="14"/>
    <n v="67.819999999999993"/>
    <n v="1356.3999999999999"/>
    <x v="232"/>
    <x v="0"/>
    <n v="2"/>
    <n v="5"/>
    <n v="2004"/>
    <x v="4"/>
    <n v="68"/>
    <n v="-0.18000000000000682"/>
    <x v="655"/>
    <x v="2"/>
    <x v="12"/>
    <x v="0"/>
    <x v="0"/>
    <x v="0"/>
  </r>
  <r>
    <x v="16"/>
    <n v="67.14"/>
    <n v="1611.3600000000001"/>
    <x v="190"/>
    <x v="3"/>
    <n v="2"/>
    <n v="6"/>
    <n v="2004"/>
    <x v="4"/>
    <n v="68"/>
    <n v="-0.85999999999999943"/>
    <x v="649"/>
    <x v="4"/>
    <x v="20"/>
    <x v="7"/>
    <x v="1"/>
    <x v="0"/>
  </r>
  <r>
    <x v="23"/>
    <n v="65.08"/>
    <n v="2603.1999999999998"/>
    <x v="75"/>
    <x v="0"/>
    <n v="3"/>
    <n v="7"/>
    <n v="2004"/>
    <x v="4"/>
    <n v="68"/>
    <n v="-2.9200000000000017"/>
    <x v="658"/>
    <x v="4"/>
    <x v="35"/>
    <x v="0"/>
    <x v="0"/>
    <x v="0"/>
  </r>
  <r>
    <x v="0"/>
    <n v="73.989999999999995"/>
    <n v="2219.6999999999998"/>
    <x v="191"/>
    <x v="0"/>
    <n v="3"/>
    <n v="8"/>
    <n v="2004"/>
    <x v="4"/>
    <n v="68"/>
    <n v="5.9899999999999949"/>
    <x v="659"/>
    <x v="0"/>
    <x v="68"/>
    <x v="2"/>
    <x v="1"/>
    <x v="0"/>
  </r>
  <r>
    <x v="15"/>
    <n v="71.25"/>
    <n v="1496.25"/>
    <x v="192"/>
    <x v="0"/>
    <n v="3"/>
    <n v="9"/>
    <n v="2004"/>
    <x v="4"/>
    <n v="68"/>
    <n v="3.25"/>
    <x v="660"/>
    <x v="0"/>
    <x v="71"/>
    <x v="16"/>
    <x v="1"/>
    <x v="0"/>
  </r>
  <r>
    <x v="32"/>
    <n v="75.36"/>
    <n v="1884"/>
    <x v="78"/>
    <x v="0"/>
    <n v="4"/>
    <n v="10"/>
    <n v="2004"/>
    <x v="4"/>
    <n v="68"/>
    <n v="7.3599999999999994"/>
    <x v="661"/>
    <x v="0"/>
    <x v="24"/>
    <x v="0"/>
    <x v="0"/>
    <x v="0"/>
  </r>
  <r>
    <x v="1"/>
    <n v="63.71"/>
    <n v="2166.14"/>
    <x v="79"/>
    <x v="0"/>
    <n v="4"/>
    <n v="11"/>
    <n v="2004"/>
    <x v="4"/>
    <n v="68"/>
    <n v="-4.2899999999999991"/>
    <x v="662"/>
    <x v="3"/>
    <x v="49"/>
    <x v="6"/>
    <x v="1"/>
    <x v="0"/>
  </r>
  <r>
    <x v="7"/>
    <n v="58.92"/>
    <n v="2828.16"/>
    <x v="233"/>
    <x v="0"/>
    <n v="4"/>
    <n v="11"/>
    <n v="2004"/>
    <x v="4"/>
    <n v="68"/>
    <n v="-9.0799999999999983"/>
    <x v="663"/>
    <x v="1"/>
    <x v="69"/>
    <x v="12"/>
    <x v="1"/>
    <x v="0"/>
  </r>
  <r>
    <x v="36"/>
    <n v="100"/>
    <n v="5500"/>
    <x v="58"/>
    <x v="0"/>
    <n v="4"/>
    <n v="11"/>
    <n v="2004"/>
    <x v="4"/>
    <n v="68"/>
    <n v="32"/>
    <x v="664"/>
    <x v="0"/>
    <x v="29"/>
    <x v="11"/>
    <x v="3"/>
    <x v="1"/>
  </r>
  <r>
    <x v="32"/>
    <n v="74.680000000000007"/>
    <n v="1867.0000000000002"/>
    <x v="195"/>
    <x v="0"/>
    <n v="4"/>
    <n v="12"/>
    <n v="2004"/>
    <x v="4"/>
    <n v="68"/>
    <n v="6.6800000000000068"/>
    <x v="647"/>
    <x v="0"/>
    <x v="41"/>
    <x v="6"/>
    <x v="1"/>
    <x v="0"/>
  </r>
  <r>
    <x v="19"/>
    <n v="70.44"/>
    <n v="2676.72"/>
    <x v="84"/>
    <x v="0"/>
    <n v="1"/>
    <n v="1"/>
    <n v="2005"/>
    <x v="4"/>
    <n v="68"/>
    <n v="2.4399999999999977"/>
    <x v="665"/>
    <x v="0"/>
    <x v="50"/>
    <x v="4"/>
    <x v="1"/>
    <x v="0"/>
  </r>
  <r>
    <x v="25"/>
    <n v="55.96"/>
    <n v="2182.44"/>
    <x v="196"/>
    <x v="5"/>
    <n v="1"/>
    <n v="3"/>
    <n v="2005"/>
    <x v="4"/>
    <n v="68"/>
    <n v="-12.04"/>
    <x v="666"/>
    <x v="6"/>
    <x v="20"/>
    <x v="7"/>
    <x v="1"/>
    <x v="0"/>
  </r>
  <r>
    <x v="11"/>
    <n v="57.55"/>
    <n v="1611.3999999999999"/>
    <x v="197"/>
    <x v="0"/>
    <n v="1"/>
    <n v="3"/>
    <n v="2005"/>
    <x v="4"/>
    <n v="68"/>
    <n v="-10.450000000000003"/>
    <x v="667"/>
    <x v="1"/>
    <x v="1"/>
    <x v="1"/>
    <x v="1"/>
    <x v="0"/>
  </r>
  <r>
    <x v="16"/>
    <n v="61.66"/>
    <n v="1479.84"/>
    <x v="87"/>
    <x v="0"/>
    <n v="2"/>
    <n v="4"/>
    <n v="2005"/>
    <x v="4"/>
    <n v="68"/>
    <n v="-6.3400000000000034"/>
    <x v="668"/>
    <x v="3"/>
    <x v="51"/>
    <x v="0"/>
    <x v="0"/>
    <x v="0"/>
  </r>
  <r>
    <x v="15"/>
    <n v="67.819999999999993"/>
    <n v="1424.2199999999998"/>
    <x v="234"/>
    <x v="1"/>
    <n v="2"/>
    <n v="5"/>
    <n v="2005"/>
    <x v="4"/>
    <n v="68"/>
    <n v="-0.18000000000000682"/>
    <x v="655"/>
    <x v="2"/>
    <x v="70"/>
    <x v="3"/>
    <x v="2"/>
    <x v="0"/>
  </r>
  <r>
    <x v="12"/>
    <n v="100"/>
    <n v="4600"/>
    <x v="178"/>
    <x v="0"/>
    <n v="1"/>
    <n v="3"/>
    <n v="2003"/>
    <x v="1"/>
    <n v="117"/>
    <n v="-17"/>
    <x v="49"/>
    <x v="1"/>
    <x v="61"/>
    <x v="6"/>
    <x v="1"/>
    <x v="1"/>
  </r>
  <r>
    <x v="32"/>
    <n v="93.95"/>
    <n v="2348.75"/>
    <x v="166"/>
    <x v="0"/>
    <n v="2"/>
    <n v="5"/>
    <n v="2003"/>
    <x v="1"/>
    <n v="117"/>
    <n v="-23.049999999999997"/>
    <x v="669"/>
    <x v="6"/>
    <x v="67"/>
    <x v="0"/>
    <x v="0"/>
    <x v="0"/>
  </r>
  <r>
    <x v="1"/>
    <n v="100"/>
    <n v="3400"/>
    <x v="153"/>
    <x v="0"/>
    <n v="3"/>
    <n v="9"/>
    <n v="2003"/>
    <x v="1"/>
    <n v="117"/>
    <n v="-17"/>
    <x v="49"/>
    <x v="1"/>
    <x v="36"/>
    <x v="3"/>
    <x v="2"/>
    <x v="1"/>
  </r>
  <r>
    <x v="32"/>
    <n v="100"/>
    <n v="2500"/>
    <x v="154"/>
    <x v="0"/>
    <n v="4"/>
    <n v="10"/>
    <n v="2003"/>
    <x v="1"/>
    <n v="117"/>
    <n v="-17"/>
    <x v="49"/>
    <x v="1"/>
    <x v="62"/>
    <x v="13"/>
    <x v="1"/>
    <x v="0"/>
  </r>
  <r>
    <x v="10"/>
    <n v="100"/>
    <n v="2300"/>
    <x v="155"/>
    <x v="0"/>
    <n v="4"/>
    <n v="11"/>
    <n v="2003"/>
    <x v="1"/>
    <n v="117"/>
    <n v="-17"/>
    <x v="49"/>
    <x v="1"/>
    <x v="69"/>
    <x v="12"/>
    <x v="1"/>
    <x v="0"/>
  </r>
  <r>
    <x v="14"/>
    <n v="100"/>
    <n v="2000"/>
    <x v="103"/>
    <x v="0"/>
    <n v="4"/>
    <n v="11"/>
    <n v="2003"/>
    <x v="1"/>
    <n v="117"/>
    <n v="-17"/>
    <x v="49"/>
    <x v="1"/>
    <x v="33"/>
    <x v="0"/>
    <x v="0"/>
    <x v="0"/>
  </r>
  <r>
    <x v="10"/>
    <n v="100"/>
    <n v="2300"/>
    <x v="104"/>
    <x v="0"/>
    <n v="4"/>
    <n v="11"/>
    <n v="2003"/>
    <x v="1"/>
    <n v="117"/>
    <n v="-17"/>
    <x v="49"/>
    <x v="1"/>
    <x v="34"/>
    <x v="0"/>
    <x v="0"/>
    <x v="1"/>
  </r>
  <r>
    <x v="13"/>
    <n v="100"/>
    <n v="4200"/>
    <x v="105"/>
    <x v="0"/>
    <n v="4"/>
    <n v="12"/>
    <n v="2003"/>
    <x v="1"/>
    <n v="117"/>
    <n v="-17"/>
    <x v="49"/>
    <x v="1"/>
    <x v="0"/>
    <x v="0"/>
    <x v="0"/>
    <x v="1"/>
  </r>
  <r>
    <x v="26"/>
    <n v="100"/>
    <n v="2700"/>
    <x v="236"/>
    <x v="0"/>
    <n v="1"/>
    <n v="1"/>
    <n v="2004"/>
    <x v="1"/>
    <n v="117"/>
    <n v="-17"/>
    <x v="49"/>
    <x v="1"/>
    <x v="41"/>
    <x v="6"/>
    <x v="1"/>
    <x v="0"/>
  </r>
  <r>
    <x v="29"/>
    <n v="100"/>
    <n v="3300"/>
    <x v="172"/>
    <x v="0"/>
    <n v="1"/>
    <n v="3"/>
    <n v="2004"/>
    <x v="1"/>
    <n v="117"/>
    <n v="-17"/>
    <x v="49"/>
    <x v="1"/>
    <x v="25"/>
    <x v="1"/>
    <x v="1"/>
    <x v="1"/>
  </r>
  <r>
    <x v="11"/>
    <n v="98.65"/>
    <n v="2762.2000000000003"/>
    <x v="156"/>
    <x v="0"/>
    <n v="2"/>
    <n v="4"/>
    <n v="2004"/>
    <x v="1"/>
    <n v="117"/>
    <n v="-18.349999999999994"/>
    <x v="670"/>
    <x v="6"/>
    <x v="66"/>
    <x v="1"/>
    <x v="1"/>
    <x v="0"/>
  </r>
  <r>
    <x v="30"/>
    <n v="100"/>
    <n v="4300"/>
    <x v="238"/>
    <x v="0"/>
    <n v="3"/>
    <n v="7"/>
    <n v="2004"/>
    <x v="1"/>
    <n v="117"/>
    <n v="-17"/>
    <x v="49"/>
    <x v="1"/>
    <x v="0"/>
    <x v="0"/>
    <x v="0"/>
    <x v="1"/>
  </r>
  <r>
    <x v="7"/>
    <n v="100"/>
    <n v="4800"/>
    <x v="239"/>
    <x v="0"/>
    <n v="3"/>
    <n v="8"/>
    <n v="2004"/>
    <x v="1"/>
    <n v="117"/>
    <n v="-17"/>
    <x v="49"/>
    <x v="1"/>
    <x v="20"/>
    <x v="7"/>
    <x v="1"/>
    <x v="1"/>
  </r>
  <r>
    <x v="7"/>
    <n v="100"/>
    <n v="4800"/>
    <x v="182"/>
    <x v="0"/>
    <n v="3"/>
    <n v="9"/>
    <n v="2004"/>
    <x v="1"/>
    <n v="117"/>
    <n v="-17"/>
    <x v="49"/>
    <x v="1"/>
    <x v="22"/>
    <x v="9"/>
    <x v="2"/>
    <x v="1"/>
  </r>
  <r>
    <x v="3"/>
    <n v="100"/>
    <n v="4500"/>
    <x v="66"/>
    <x v="0"/>
    <n v="4"/>
    <n v="10"/>
    <n v="2003"/>
    <x v="1"/>
    <n v="117"/>
    <n v="-17"/>
    <x v="49"/>
    <x v="1"/>
    <x v="19"/>
    <x v="6"/>
    <x v="1"/>
    <x v="1"/>
  </r>
  <r>
    <x v="30"/>
    <n v="100"/>
    <n v="4300"/>
    <x v="113"/>
    <x v="0"/>
    <n v="4"/>
    <n v="10"/>
    <n v="2004"/>
    <x v="1"/>
    <n v="117"/>
    <n v="-17"/>
    <x v="49"/>
    <x v="1"/>
    <x v="20"/>
    <x v="7"/>
    <x v="1"/>
    <x v="1"/>
  </r>
  <r>
    <x v="27"/>
    <n v="42.26"/>
    <n v="1859.4399999999998"/>
    <x v="159"/>
    <x v="0"/>
    <n v="4"/>
    <n v="11"/>
    <n v="2004"/>
    <x v="1"/>
    <n v="117"/>
    <n v="-74.740000000000009"/>
    <x v="671"/>
    <x v="5"/>
    <x v="61"/>
    <x v="6"/>
    <x v="1"/>
    <x v="0"/>
  </r>
  <r>
    <x v="16"/>
    <n v="87.24"/>
    <n v="2093.7599999999998"/>
    <x v="47"/>
    <x v="0"/>
    <n v="4"/>
    <n v="11"/>
    <n v="2004"/>
    <x v="1"/>
    <n v="117"/>
    <n v="-29.760000000000005"/>
    <x v="672"/>
    <x v="5"/>
    <x v="67"/>
    <x v="0"/>
    <x v="0"/>
    <x v="0"/>
  </r>
  <r>
    <x v="28"/>
    <n v="100"/>
    <n v="3100"/>
    <x v="241"/>
    <x v="0"/>
    <n v="1"/>
    <n v="1"/>
    <n v="2005"/>
    <x v="1"/>
    <n v="117"/>
    <n v="-17"/>
    <x v="49"/>
    <x v="1"/>
    <x v="33"/>
    <x v="0"/>
    <x v="0"/>
    <x v="1"/>
  </r>
  <r>
    <x v="27"/>
    <n v="36.29"/>
    <n v="1596.76"/>
    <x v="176"/>
    <x v="0"/>
    <n v="1"/>
    <n v="2"/>
    <n v="2005"/>
    <x v="1"/>
    <n v="117"/>
    <n v="-80.710000000000008"/>
    <x v="673"/>
    <x v="5"/>
    <x v="20"/>
    <x v="7"/>
    <x v="1"/>
    <x v="0"/>
  </r>
  <r>
    <x v="42"/>
    <n v="98.65"/>
    <n v="5820.35"/>
    <x v="185"/>
    <x v="4"/>
    <n v="2"/>
    <n v="4"/>
    <n v="2005"/>
    <x v="1"/>
    <n v="117"/>
    <n v="-18.349999999999994"/>
    <x v="670"/>
    <x v="6"/>
    <x v="51"/>
    <x v="0"/>
    <x v="0"/>
    <x v="1"/>
  </r>
  <r>
    <x v="36"/>
    <n v="96.3"/>
    <n v="5296.5"/>
    <x v="202"/>
    <x v="2"/>
    <n v="2"/>
    <n v="5"/>
    <n v="2005"/>
    <x v="1"/>
    <n v="117"/>
    <n v="-20.700000000000003"/>
    <x v="674"/>
    <x v="6"/>
    <x v="17"/>
    <x v="3"/>
    <x v="2"/>
    <x v="1"/>
  </r>
  <r>
    <x v="6"/>
    <n v="32.1"/>
    <n v="930.90000000000009"/>
    <x v="151"/>
    <x v="0"/>
    <n v="1"/>
    <n v="3"/>
    <n v="2003"/>
    <x v="1"/>
    <n v="37"/>
    <n v="-4.8999999999999986"/>
    <x v="675"/>
    <x v="1"/>
    <x v="24"/>
    <x v="0"/>
    <x v="0"/>
    <x v="0"/>
  </r>
  <r>
    <x v="25"/>
    <n v="30.96"/>
    <n v="1207.44"/>
    <x v="99"/>
    <x v="0"/>
    <n v="2"/>
    <n v="5"/>
    <n v="2003"/>
    <x v="1"/>
    <n v="37"/>
    <n v="-6.0399999999999991"/>
    <x v="676"/>
    <x v="6"/>
    <x v="54"/>
    <x v="1"/>
    <x v="1"/>
    <x v="0"/>
  </r>
  <r>
    <x v="14"/>
    <n v="35.869999999999997"/>
    <n v="717.4"/>
    <x v="100"/>
    <x v="0"/>
    <n v="3"/>
    <n v="7"/>
    <n v="2003"/>
    <x v="1"/>
    <n v="37"/>
    <n v="-1.1300000000000026"/>
    <x v="677"/>
    <x v="4"/>
    <x v="33"/>
    <x v="0"/>
    <x v="0"/>
    <x v="0"/>
  </r>
  <r>
    <x v="32"/>
    <n v="42.67"/>
    <n v="1066.75"/>
    <x v="101"/>
    <x v="0"/>
    <n v="3"/>
    <n v="9"/>
    <n v="2003"/>
    <x v="1"/>
    <n v="37"/>
    <n v="5.6700000000000017"/>
    <x v="678"/>
    <x v="0"/>
    <x v="35"/>
    <x v="0"/>
    <x v="0"/>
    <x v="0"/>
  </r>
  <r>
    <x v="13"/>
    <n v="37"/>
    <n v="1554"/>
    <x v="137"/>
    <x v="0"/>
    <n v="4"/>
    <n v="10"/>
    <n v="2003"/>
    <x v="1"/>
    <n v="37"/>
    <n v="0"/>
    <x v="319"/>
    <x v="2"/>
    <x v="44"/>
    <x v="0"/>
    <x v="0"/>
    <x v="0"/>
  </r>
  <r>
    <x v="5"/>
    <n v="35.49"/>
    <n v="1277.6400000000001"/>
    <x v="155"/>
    <x v="0"/>
    <n v="4"/>
    <n v="11"/>
    <n v="2003"/>
    <x v="1"/>
    <n v="37"/>
    <n v="-1.509999999999998"/>
    <x v="679"/>
    <x v="4"/>
    <x v="37"/>
    <x v="10"/>
    <x v="0"/>
    <x v="0"/>
  </r>
  <r>
    <x v="9"/>
    <n v="42.67"/>
    <n v="1578.79"/>
    <x v="103"/>
    <x v="0"/>
    <n v="4"/>
    <n v="11"/>
    <n v="2003"/>
    <x v="1"/>
    <n v="37"/>
    <n v="5.6700000000000017"/>
    <x v="678"/>
    <x v="0"/>
    <x v="7"/>
    <x v="2"/>
    <x v="1"/>
    <x v="0"/>
  </r>
  <r>
    <x v="0"/>
    <n v="30.59"/>
    <n v="917.7"/>
    <x v="104"/>
    <x v="0"/>
    <n v="4"/>
    <n v="11"/>
    <n v="2003"/>
    <x v="1"/>
    <n v="37"/>
    <n v="-6.41"/>
    <x v="680"/>
    <x v="6"/>
    <x v="34"/>
    <x v="0"/>
    <x v="0"/>
    <x v="0"/>
  </r>
  <r>
    <x v="15"/>
    <n v="37"/>
    <n v="777"/>
    <x v="105"/>
    <x v="0"/>
    <n v="4"/>
    <n v="12"/>
    <n v="2003"/>
    <x v="1"/>
    <n v="37"/>
    <n v="0"/>
    <x v="319"/>
    <x v="2"/>
    <x v="20"/>
    <x v="7"/>
    <x v="1"/>
    <x v="0"/>
  </r>
  <r>
    <x v="1"/>
    <n v="43.42"/>
    <n v="1476.28"/>
    <x v="138"/>
    <x v="0"/>
    <n v="1"/>
    <n v="1"/>
    <n v="2004"/>
    <x v="1"/>
    <n v="37"/>
    <n v="6.4200000000000017"/>
    <x v="681"/>
    <x v="0"/>
    <x v="20"/>
    <x v="7"/>
    <x v="1"/>
    <x v="0"/>
  </r>
  <r>
    <x v="13"/>
    <n v="36.630000000000003"/>
    <n v="1538.46"/>
    <x v="106"/>
    <x v="0"/>
    <n v="1"/>
    <n v="2"/>
    <n v="2004"/>
    <x v="1"/>
    <n v="37"/>
    <n v="-0.36999999999999744"/>
    <x v="682"/>
    <x v="4"/>
    <x v="56"/>
    <x v="17"/>
    <x v="1"/>
    <x v="0"/>
  </r>
  <r>
    <x v="14"/>
    <n v="44.56"/>
    <n v="891.2"/>
    <x v="148"/>
    <x v="0"/>
    <n v="2"/>
    <n v="4"/>
    <n v="2004"/>
    <x v="1"/>
    <n v="37"/>
    <n v="7.5600000000000023"/>
    <x v="683"/>
    <x v="0"/>
    <x v="50"/>
    <x v="4"/>
    <x v="1"/>
    <x v="0"/>
  </r>
  <r>
    <x v="23"/>
    <n v="42.67"/>
    <n v="1706.8000000000002"/>
    <x v="108"/>
    <x v="3"/>
    <n v="2"/>
    <n v="6"/>
    <n v="2004"/>
    <x v="1"/>
    <n v="37"/>
    <n v="5.6700000000000017"/>
    <x v="678"/>
    <x v="0"/>
    <x v="19"/>
    <x v="6"/>
    <x v="1"/>
    <x v="0"/>
  </r>
  <r>
    <x v="1"/>
    <n v="40.4"/>
    <n v="1373.6"/>
    <x v="109"/>
    <x v="0"/>
    <n v="3"/>
    <n v="7"/>
    <n v="2004"/>
    <x v="1"/>
    <n v="37"/>
    <n v="3.3999999999999986"/>
    <x v="684"/>
    <x v="0"/>
    <x v="57"/>
    <x v="12"/>
    <x v="1"/>
    <x v="0"/>
  </r>
  <r>
    <x v="28"/>
    <n v="38.89"/>
    <n v="1205.5899999999999"/>
    <x v="157"/>
    <x v="0"/>
    <n v="3"/>
    <n v="8"/>
    <n v="2004"/>
    <x v="1"/>
    <n v="37"/>
    <n v="1.8900000000000006"/>
    <x v="685"/>
    <x v="0"/>
    <x v="67"/>
    <x v="0"/>
    <x v="0"/>
    <x v="0"/>
  </r>
  <r>
    <x v="5"/>
    <n v="39.65"/>
    <n v="1427.3999999999999"/>
    <x v="111"/>
    <x v="0"/>
    <n v="3"/>
    <n v="8"/>
    <n v="2004"/>
    <x v="1"/>
    <n v="37"/>
    <n v="2.6499999999999986"/>
    <x v="686"/>
    <x v="0"/>
    <x v="56"/>
    <x v="17"/>
    <x v="1"/>
    <x v="0"/>
  </r>
  <r>
    <x v="7"/>
    <n v="34.36"/>
    <n v="1649.28"/>
    <x v="158"/>
    <x v="0"/>
    <n v="4"/>
    <n v="10"/>
    <n v="2003"/>
    <x v="1"/>
    <n v="37"/>
    <n v="-2.6400000000000006"/>
    <x v="687"/>
    <x v="3"/>
    <x v="68"/>
    <x v="2"/>
    <x v="1"/>
    <x v="0"/>
  </r>
  <r>
    <x v="29"/>
    <n v="41.91"/>
    <n v="1383.03"/>
    <x v="113"/>
    <x v="0"/>
    <n v="4"/>
    <n v="10"/>
    <n v="2004"/>
    <x v="1"/>
    <n v="37"/>
    <n v="4.9099999999999966"/>
    <x v="688"/>
    <x v="0"/>
    <x v="55"/>
    <x v="16"/>
    <x v="1"/>
    <x v="0"/>
  </r>
  <r>
    <x v="9"/>
    <n v="33.229999999999997"/>
    <n v="1229.51"/>
    <x v="45"/>
    <x v="0"/>
    <n v="4"/>
    <n v="11"/>
    <n v="2004"/>
    <x v="1"/>
    <n v="37"/>
    <n v="-3.7700000000000031"/>
    <x v="689"/>
    <x v="3"/>
    <x v="18"/>
    <x v="0"/>
    <x v="0"/>
    <x v="0"/>
  </r>
  <r>
    <x v="26"/>
    <n v="42.24"/>
    <n v="1140.48"/>
    <x v="159"/>
    <x v="0"/>
    <n v="4"/>
    <n v="11"/>
    <n v="2004"/>
    <x v="1"/>
    <n v="37"/>
    <n v="5.240000000000002"/>
    <x v="690"/>
    <x v="0"/>
    <x v="24"/>
    <x v="0"/>
    <x v="0"/>
    <x v="0"/>
  </r>
  <r>
    <x v="25"/>
    <n v="40.4"/>
    <n v="1575.6"/>
    <x v="20"/>
    <x v="0"/>
    <n v="4"/>
    <n v="11"/>
    <n v="2004"/>
    <x v="1"/>
    <n v="37"/>
    <n v="3.3999999999999986"/>
    <x v="684"/>
    <x v="0"/>
    <x v="8"/>
    <x v="3"/>
    <x v="2"/>
    <x v="0"/>
  </r>
  <r>
    <x v="5"/>
    <n v="38.520000000000003"/>
    <n v="1386.72"/>
    <x v="228"/>
    <x v="0"/>
    <n v="4"/>
    <n v="12"/>
    <n v="2004"/>
    <x v="1"/>
    <n v="37"/>
    <n v="1.5200000000000031"/>
    <x v="691"/>
    <x v="0"/>
    <x v="20"/>
    <x v="7"/>
    <x v="1"/>
    <x v="0"/>
  </r>
  <r>
    <x v="5"/>
    <n v="100"/>
    <n v="3600"/>
    <x v="183"/>
    <x v="5"/>
    <n v="1"/>
    <n v="1"/>
    <n v="2005"/>
    <x v="1"/>
    <n v="37"/>
    <n v="63"/>
    <x v="692"/>
    <x v="0"/>
    <x v="3"/>
    <x v="0"/>
    <x v="0"/>
    <x v="1"/>
  </r>
  <r>
    <x v="2"/>
    <n v="100"/>
    <n v="4100"/>
    <x v="184"/>
    <x v="0"/>
    <n v="1"/>
    <n v="2"/>
    <n v="2005"/>
    <x v="1"/>
    <n v="37"/>
    <n v="63"/>
    <x v="692"/>
    <x v="0"/>
    <x v="20"/>
    <x v="7"/>
    <x v="1"/>
    <x v="1"/>
  </r>
  <r>
    <x v="9"/>
    <n v="100"/>
    <n v="3700"/>
    <x v="162"/>
    <x v="0"/>
    <n v="1"/>
    <n v="3"/>
    <n v="2005"/>
    <x v="1"/>
    <n v="37"/>
    <n v="63"/>
    <x v="692"/>
    <x v="0"/>
    <x v="33"/>
    <x v="0"/>
    <x v="0"/>
    <x v="1"/>
  </r>
  <r>
    <x v="20"/>
    <n v="44.56"/>
    <n v="2094.3200000000002"/>
    <x v="150"/>
    <x v="0"/>
    <n v="2"/>
    <n v="4"/>
    <n v="2005"/>
    <x v="1"/>
    <n v="37"/>
    <n v="7.5600000000000023"/>
    <x v="683"/>
    <x v="0"/>
    <x v="66"/>
    <x v="1"/>
    <x v="1"/>
    <x v="0"/>
  </r>
  <r>
    <x v="45"/>
    <n v="42.67"/>
    <n v="640.05000000000007"/>
    <x v="116"/>
    <x v="0"/>
    <n v="2"/>
    <n v="5"/>
    <n v="2005"/>
    <x v="1"/>
    <n v="37"/>
    <n v="5.6700000000000017"/>
    <x v="678"/>
    <x v="0"/>
    <x v="16"/>
    <x v="5"/>
    <x v="1"/>
    <x v="0"/>
  </r>
  <r>
    <x v="27"/>
    <n v="72.58"/>
    <n v="3193.52"/>
    <x v="62"/>
    <x v="0"/>
    <n v="1"/>
    <n v="2"/>
    <n v="2003"/>
    <x v="3"/>
    <n v="88"/>
    <n v="-15.420000000000002"/>
    <x v="575"/>
    <x v="6"/>
    <x v="40"/>
    <x v="13"/>
    <x v="1"/>
    <x v="1"/>
  </r>
  <r>
    <x v="21"/>
    <n v="87.62"/>
    <n v="3066.7000000000003"/>
    <x v="63"/>
    <x v="0"/>
    <n v="2"/>
    <n v="4"/>
    <n v="2003"/>
    <x v="3"/>
    <n v="88"/>
    <n v="-0.37999999999999545"/>
    <x v="693"/>
    <x v="2"/>
    <x v="16"/>
    <x v="5"/>
    <x v="1"/>
    <x v="1"/>
  </r>
  <r>
    <x v="2"/>
    <n v="94.71"/>
    <n v="3883.1099999999997"/>
    <x v="64"/>
    <x v="0"/>
    <n v="2"/>
    <n v="6"/>
    <n v="2003"/>
    <x v="3"/>
    <n v="88"/>
    <n v="6.7099999999999937"/>
    <x v="694"/>
    <x v="0"/>
    <x v="41"/>
    <x v="6"/>
    <x v="1"/>
    <x v="1"/>
  </r>
  <r>
    <x v="4"/>
    <n v="98.25"/>
    <n v="4814.25"/>
    <x v="119"/>
    <x v="0"/>
    <n v="3"/>
    <n v="8"/>
    <n v="2003"/>
    <x v="3"/>
    <n v="88"/>
    <n v="10.25"/>
    <x v="695"/>
    <x v="0"/>
    <x v="33"/>
    <x v="0"/>
    <x v="0"/>
    <x v="1"/>
  </r>
  <r>
    <x v="28"/>
    <n v="91.17"/>
    <n v="2826.27"/>
    <x v="242"/>
    <x v="0"/>
    <n v="4"/>
    <n v="10"/>
    <n v="2003"/>
    <x v="3"/>
    <n v="88"/>
    <n v="3.1700000000000017"/>
    <x v="696"/>
    <x v="0"/>
    <x v="63"/>
    <x v="0"/>
    <x v="0"/>
    <x v="0"/>
  </r>
  <r>
    <x v="14"/>
    <n v="79.66"/>
    <n v="1593.1999999999998"/>
    <x v="67"/>
    <x v="3"/>
    <n v="4"/>
    <n v="10"/>
    <n v="2003"/>
    <x v="3"/>
    <n v="88"/>
    <n v="-8.3400000000000034"/>
    <x v="697"/>
    <x v="3"/>
    <x v="31"/>
    <x v="8"/>
    <x v="1"/>
    <x v="0"/>
  </r>
  <r>
    <x v="3"/>
    <n v="72.58"/>
    <n v="3266.1"/>
    <x v="219"/>
    <x v="0"/>
    <n v="4"/>
    <n v="11"/>
    <n v="2003"/>
    <x v="3"/>
    <n v="88"/>
    <n v="-15.420000000000002"/>
    <x v="575"/>
    <x v="6"/>
    <x v="20"/>
    <x v="7"/>
    <x v="1"/>
    <x v="1"/>
  </r>
  <r>
    <x v="29"/>
    <n v="74.349999999999994"/>
    <n v="2453.5499999999997"/>
    <x v="69"/>
    <x v="0"/>
    <n v="4"/>
    <n v="11"/>
    <n v="2003"/>
    <x v="3"/>
    <n v="88"/>
    <n v="-13.650000000000006"/>
    <x v="698"/>
    <x v="6"/>
    <x v="18"/>
    <x v="0"/>
    <x v="0"/>
    <x v="0"/>
  </r>
  <r>
    <x v="20"/>
    <n v="83.2"/>
    <n v="3910.4"/>
    <x v="70"/>
    <x v="0"/>
    <n v="4"/>
    <n v="11"/>
    <n v="2003"/>
    <x v="3"/>
    <n v="88"/>
    <n v="-4.7999999999999972"/>
    <x v="699"/>
    <x v="4"/>
    <x v="43"/>
    <x v="7"/>
    <x v="1"/>
    <x v="1"/>
  </r>
  <r>
    <x v="14"/>
    <n v="89.4"/>
    <n v="1788"/>
    <x v="122"/>
    <x v="0"/>
    <n v="1"/>
    <n v="1"/>
    <n v="2004"/>
    <x v="3"/>
    <n v="88"/>
    <n v="1.4000000000000057"/>
    <x v="700"/>
    <x v="0"/>
    <x v="25"/>
    <x v="1"/>
    <x v="1"/>
    <x v="0"/>
  </r>
  <r>
    <x v="20"/>
    <n v="70.81"/>
    <n v="3328.07"/>
    <x v="72"/>
    <x v="0"/>
    <n v="1"/>
    <n v="2"/>
    <n v="2004"/>
    <x v="3"/>
    <n v="88"/>
    <n v="-17.189999999999998"/>
    <x v="701"/>
    <x v="6"/>
    <x v="45"/>
    <x v="0"/>
    <x v="0"/>
    <x v="1"/>
  </r>
  <r>
    <x v="23"/>
    <n v="94.71"/>
    <n v="3788.3999999999996"/>
    <x v="243"/>
    <x v="0"/>
    <n v="1"/>
    <n v="3"/>
    <n v="2004"/>
    <x v="3"/>
    <n v="88"/>
    <n v="6.7099999999999937"/>
    <x v="694"/>
    <x v="0"/>
    <x v="9"/>
    <x v="0"/>
    <x v="0"/>
    <x v="1"/>
  </r>
  <r>
    <x v="0"/>
    <n v="100"/>
    <n v="3000"/>
    <x v="73"/>
    <x v="3"/>
    <n v="2"/>
    <n v="5"/>
    <n v="2004"/>
    <x v="3"/>
    <n v="88"/>
    <n v="12"/>
    <x v="702"/>
    <x v="0"/>
    <x v="0"/>
    <x v="0"/>
    <x v="0"/>
    <x v="1"/>
  </r>
  <r>
    <x v="8"/>
    <n v="91.17"/>
    <n v="2005.74"/>
    <x v="74"/>
    <x v="0"/>
    <n v="2"/>
    <n v="6"/>
    <n v="2004"/>
    <x v="3"/>
    <n v="88"/>
    <n v="3.1700000000000017"/>
    <x v="696"/>
    <x v="0"/>
    <x v="37"/>
    <x v="10"/>
    <x v="0"/>
    <x v="0"/>
  </r>
  <r>
    <x v="26"/>
    <n v="100"/>
    <n v="2700"/>
    <x v="75"/>
    <x v="0"/>
    <n v="3"/>
    <n v="7"/>
    <n v="2004"/>
    <x v="3"/>
    <n v="88"/>
    <n v="12"/>
    <x v="702"/>
    <x v="0"/>
    <x v="46"/>
    <x v="14"/>
    <x v="1"/>
    <x v="0"/>
  </r>
  <r>
    <x v="1"/>
    <n v="92.94"/>
    <n v="3159.96"/>
    <x v="76"/>
    <x v="0"/>
    <n v="3"/>
    <n v="8"/>
    <n v="2004"/>
    <x v="3"/>
    <n v="88"/>
    <n v="4.9399999999999977"/>
    <x v="703"/>
    <x v="0"/>
    <x v="47"/>
    <x v="10"/>
    <x v="0"/>
    <x v="1"/>
  </r>
  <r>
    <x v="12"/>
    <n v="84.97"/>
    <n v="3908.62"/>
    <x v="77"/>
    <x v="0"/>
    <n v="3"/>
    <n v="9"/>
    <n v="2004"/>
    <x v="3"/>
    <n v="88"/>
    <n v="-3.0300000000000011"/>
    <x v="704"/>
    <x v="4"/>
    <x v="48"/>
    <x v="0"/>
    <x v="0"/>
    <x v="1"/>
  </r>
  <r>
    <x v="28"/>
    <n v="84.08"/>
    <n v="2606.48"/>
    <x v="78"/>
    <x v="0"/>
    <n v="4"/>
    <n v="10"/>
    <n v="2004"/>
    <x v="3"/>
    <n v="88"/>
    <n v="-3.9200000000000017"/>
    <x v="705"/>
    <x v="4"/>
    <x v="61"/>
    <x v="6"/>
    <x v="1"/>
    <x v="0"/>
  </r>
  <r>
    <x v="16"/>
    <n v="86.74"/>
    <n v="2081.7599999999998"/>
    <x v="237"/>
    <x v="0"/>
    <n v="4"/>
    <n v="10"/>
    <n v="2004"/>
    <x v="3"/>
    <n v="88"/>
    <n v="-1.2600000000000051"/>
    <x v="706"/>
    <x v="4"/>
    <x v="11"/>
    <x v="1"/>
    <x v="1"/>
    <x v="0"/>
  </r>
  <r>
    <x v="2"/>
    <n v="85.85"/>
    <n v="3519.85"/>
    <x v="223"/>
    <x v="0"/>
    <n v="4"/>
    <n v="11"/>
    <n v="2004"/>
    <x v="3"/>
    <n v="88"/>
    <n v="-2.1500000000000057"/>
    <x v="707"/>
    <x v="4"/>
    <x v="21"/>
    <x v="8"/>
    <x v="1"/>
    <x v="1"/>
  </r>
  <r>
    <x v="36"/>
    <n v="100"/>
    <n v="5500"/>
    <x v="58"/>
    <x v="0"/>
    <n v="4"/>
    <n v="11"/>
    <n v="2004"/>
    <x v="3"/>
    <n v="88"/>
    <n v="12"/>
    <x v="702"/>
    <x v="0"/>
    <x v="29"/>
    <x v="11"/>
    <x v="3"/>
    <x v="2"/>
  </r>
  <r>
    <x v="0"/>
    <n v="100"/>
    <n v="3000"/>
    <x v="82"/>
    <x v="0"/>
    <n v="4"/>
    <n v="12"/>
    <n v="2004"/>
    <x v="3"/>
    <n v="88"/>
    <n v="12"/>
    <x v="702"/>
    <x v="0"/>
    <x v="20"/>
    <x v="7"/>
    <x v="1"/>
    <x v="1"/>
  </r>
  <r>
    <x v="29"/>
    <n v="57.32"/>
    <n v="1891.56"/>
    <x v="84"/>
    <x v="0"/>
    <n v="1"/>
    <n v="1"/>
    <n v="2005"/>
    <x v="3"/>
    <n v="88"/>
    <n v="-30.68"/>
    <x v="708"/>
    <x v="5"/>
    <x v="50"/>
    <x v="4"/>
    <x v="1"/>
    <x v="0"/>
  </r>
  <r>
    <x v="30"/>
    <n v="97.87"/>
    <n v="4208.41"/>
    <x v="85"/>
    <x v="0"/>
    <n v="1"/>
    <n v="2"/>
    <n v="2005"/>
    <x v="3"/>
    <n v="88"/>
    <n v="9.8700000000000045"/>
    <x v="709"/>
    <x v="0"/>
    <x v="4"/>
    <x v="0"/>
    <x v="0"/>
    <x v="1"/>
  </r>
  <r>
    <x v="26"/>
    <n v="83.2"/>
    <n v="2246.4"/>
    <x v="141"/>
    <x v="0"/>
    <n v="1"/>
    <n v="3"/>
    <n v="2005"/>
    <x v="3"/>
    <n v="88"/>
    <n v="-4.7999999999999972"/>
    <x v="699"/>
    <x v="4"/>
    <x v="33"/>
    <x v="0"/>
    <x v="0"/>
    <x v="0"/>
  </r>
  <r>
    <x v="46"/>
    <n v="100"/>
    <n v="6000"/>
    <x v="88"/>
    <x v="4"/>
    <n v="2"/>
    <n v="5"/>
    <n v="2005"/>
    <x v="3"/>
    <n v="88"/>
    <n v="12"/>
    <x v="702"/>
    <x v="0"/>
    <x v="48"/>
    <x v="0"/>
    <x v="0"/>
    <x v="1"/>
  </r>
  <r>
    <x v="26"/>
    <n v="73.62"/>
    <n v="1987.7400000000002"/>
    <x v="178"/>
    <x v="0"/>
    <n v="1"/>
    <n v="3"/>
    <n v="2003"/>
    <x v="1"/>
    <n v="85"/>
    <n v="-11.379999999999995"/>
    <x v="710"/>
    <x v="1"/>
    <x v="61"/>
    <x v="6"/>
    <x v="1"/>
    <x v="0"/>
  </r>
  <r>
    <x v="4"/>
    <n v="83.04"/>
    <n v="4068.9600000000005"/>
    <x v="166"/>
    <x v="0"/>
    <n v="2"/>
    <n v="5"/>
    <n v="2003"/>
    <x v="1"/>
    <n v="85"/>
    <n v="-1.9599999999999937"/>
    <x v="711"/>
    <x v="4"/>
    <x v="67"/>
    <x v="0"/>
    <x v="0"/>
    <x v="1"/>
  </r>
  <r>
    <x v="28"/>
    <n v="73.62"/>
    <n v="2282.2200000000003"/>
    <x v="153"/>
    <x v="0"/>
    <n v="3"/>
    <n v="9"/>
    <n v="2003"/>
    <x v="1"/>
    <n v="85"/>
    <n v="-11.379999999999995"/>
    <x v="710"/>
    <x v="1"/>
    <x v="36"/>
    <x v="3"/>
    <x v="2"/>
    <x v="0"/>
  </r>
  <r>
    <x v="14"/>
    <n v="77.05"/>
    <n v="1541"/>
    <x v="154"/>
    <x v="0"/>
    <n v="4"/>
    <n v="10"/>
    <n v="2003"/>
    <x v="1"/>
    <n v="85"/>
    <n v="-7.9500000000000028"/>
    <x v="712"/>
    <x v="3"/>
    <x v="62"/>
    <x v="13"/>
    <x v="1"/>
    <x v="0"/>
  </r>
  <r>
    <x v="16"/>
    <n v="81.33"/>
    <n v="1951.92"/>
    <x v="155"/>
    <x v="0"/>
    <n v="4"/>
    <n v="11"/>
    <n v="2003"/>
    <x v="1"/>
    <n v="85"/>
    <n v="-3.6700000000000017"/>
    <x v="713"/>
    <x v="4"/>
    <x v="10"/>
    <x v="0"/>
    <x v="0"/>
    <x v="0"/>
  </r>
  <r>
    <x v="29"/>
    <n v="94.17"/>
    <n v="3107.61"/>
    <x v="103"/>
    <x v="0"/>
    <n v="4"/>
    <n v="11"/>
    <n v="2003"/>
    <x v="1"/>
    <n v="85"/>
    <n v="9.1700000000000017"/>
    <x v="714"/>
    <x v="0"/>
    <x v="33"/>
    <x v="0"/>
    <x v="0"/>
    <x v="1"/>
  </r>
  <r>
    <x v="22"/>
    <n v="72.77"/>
    <n v="2328.64"/>
    <x v="104"/>
    <x v="0"/>
    <n v="4"/>
    <n v="11"/>
    <n v="2003"/>
    <x v="1"/>
    <n v="85"/>
    <n v="-12.230000000000004"/>
    <x v="715"/>
    <x v="1"/>
    <x v="34"/>
    <x v="0"/>
    <x v="0"/>
    <x v="0"/>
  </r>
  <r>
    <x v="23"/>
    <n v="79.62"/>
    <n v="3184.8"/>
    <x v="105"/>
    <x v="0"/>
    <n v="4"/>
    <n v="12"/>
    <n v="2003"/>
    <x v="1"/>
    <n v="85"/>
    <n v="-5.3799999999999955"/>
    <x v="716"/>
    <x v="3"/>
    <x v="0"/>
    <x v="0"/>
    <x v="0"/>
    <x v="1"/>
  </r>
  <r>
    <x v="26"/>
    <n v="79.62"/>
    <n v="2149.7400000000002"/>
    <x v="138"/>
    <x v="0"/>
    <n v="1"/>
    <n v="1"/>
    <n v="2004"/>
    <x v="1"/>
    <n v="85"/>
    <n v="-5.3799999999999955"/>
    <x v="716"/>
    <x v="3"/>
    <x v="20"/>
    <x v="7"/>
    <x v="1"/>
    <x v="0"/>
  </r>
  <r>
    <x v="23"/>
    <n v="79.62"/>
    <n v="3184.8"/>
    <x v="172"/>
    <x v="0"/>
    <n v="1"/>
    <n v="3"/>
    <n v="2004"/>
    <x v="1"/>
    <n v="85"/>
    <n v="-5.3799999999999955"/>
    <x v="716"/>
    <x v="3"/>
    <x v="25"/>
    <x v="1"/>
    <x v="1"/>
    <x v="1"/>
  </r>
  <r>
    <x v="18"/>
    <n v="81.33"/>
    <n v="2114.58"/>
    <x v="156"/>
    <x v="0"/>
    <n v="2"/>
    <n v="4"/>
    <n v="2004"/>
    <x v="1"/>
    <n v="85"/>
    <n v="-3.6700000000000017"/>
    <x v="713"/>
    <x v="4"/>
    <x v="66"/>
    <x v="1"/>
    <x v="1"/>
    <x v="0"/>
  </r>
  <r>
    <x v="27"/>
    <n v="96.74"/>
    <n v="4256.5599999999995"/>
    <x v="238"/>
    <x v="0"/>
    <n v="3"/>
    <n v="7"/>
    <n v="2004"/>
    <x v="1"/>
    <n v="85"/>
    <n v="11.739999999999995"/>
    <x v="717"/>
    <x v="0"/>
    <x v="0"/>
    <x v="0"/>
    <x v="0"/>
    <x v="1"/>
  </r>
  <r>
    <x v="29"/>
    <n v="71.06"/>
    <n v="2344.98"/>
    <x v="239"/>
    <x v="0"/>
    <n v="3"/>
    <n v="8"/>
    <n v="2004"/>
    <x v="1"/>
    <n v="85"/>
    <n v="-13.939999999999998"/>
    <x v="718"/>
    <x v="6"/>
    <x v="20"/>
    <x v="7"/>
    <x v="1"/>
    <x v="0"/>
  </r>
  <r>
    <x v="1"/>
    <n v="68.489999999999995"/>
    <n v="2328.66"/>
    <x v="182"/>
    <x v="0"/>
    <n v="3"/>
    <n v="9"/>
    <n v="2004"/>
    <x v="1"/>
    <n v="85"/>
    <n v="-16.510000000000005"/>
    <x v="719"/>
    <x v="6"/>
    <x v="22"/>
    <x v="9"/>
    <x v="2"/>
    <x v="0"/>
  </r>
  <r>
    <x v="7"/>
    <n v="74.48"/>
    <n v="3575.04"/>
    <x v="66"/>
    <x v="0"/>
    <n v="4"/>
    <n v="10"/>
    <n v="2003"/>
    <x v="1"/>
    <n v="85"/>
    <n v="-10.519999999999996"/>
    <x v="720"/>
    <x v="1"/>
    <x v="19"/>
    <x v="6"/>
    <x v="1"/>
    <x v="1"/>
  </r>
  <r>
    <x v="32"/>
    <n v="83.04"/>
    <n v="2076"/>
    <x v="113"/>
    <x v="0"/>
    <n v="4"/>
    <n v="10"/>
    <n v="2004"/>
    <x v="1"/>
    <n v="85"/>
    <n v="-1.9599999999999937"/>
    <x v="711"/>
    <x v="4"/>
    <x v="20"/>
    <x v="7"/>
    <x v="1"/>
    <x v="0"/>
  </r>
  <r>
    <x v="25"/>
    <n v="84.75"/>
    <n v="3305.25"/>
    <x v="45"/>
    <x v="0"/>
    <n v="4"/>
    <n v="11"/>
    <n v="2004"/>
    <x v="1"/>
    <n v="85"/>
    <n v="-0.25"/>
    <x v="721"/>
    <x v="2"/>
    <x v="18"/>
    <x v="0"/>
    <x v="0"/>
    <x v="1"/>
  </r>
  <r>
    <x v="3"/>
    <n v="34.19"/>
    <n v="1538.55"/>
    <x v="159"/>
    <x v="0"/>
    <n v="4"/>
    <n v="11"/>
    <n v="2004"/>
    <x v="1"/>
    <n v="85"/>
    <n v="-50.81"/>
    <x v="722"/>
    <x v="5"/>
    <x v="61"/>
    <x v="6"/>
    <x v="1"/>
    <x v="0"/>
  </r>
  <r>
    <x v="16"/>
    <n v="100"/>
    <n v="2400"/>
    <x v="47"/>
    <x v="0"/>
    <n v="4"/>
    <n v="11"/>
    <n v="2004"/>
    <x v="1"/>
    <n v="85"/>
    <n v="15"/>
    <x v="723"/>
    <x v="0"/>
    <x v="67"/>
    <x v="0"/>
    <x v="0"/>
    <x v="1"/>
  </r>
  <r>
    <x v="12"/>
    <n v="79.62"/>
    <n v="3662.5200000000004"/>
    <x v="241"/>
    <x v="0"/>
    <n v="1"/>
    <n v="1"/>
    <n v="2005"/>
    <x v="1"/>
    <n v="85"/>
    <n v="-5.3799999999999955"/>
    <x v="716"/>
    <x v="3"/>
    <x v="33"/>
    <x v="0"/>
    <x v="0"/>
    <x v="1"/>
  </r>
  <r>
    <x v="27"/>
    <n v="79.06"/>
    <n v="3478.6400000000003"/>
    <x v="176"/>
    <x v="0"/>
    <n v="1"/>
    <n v="2"/>
    <n v="2005"/>
    <x v="1"/>
    <n v="85"/>
    <n v="-5.9399999999999977"/>
    <x v="724"/>
    <x v="3"/>
    <x v="20"/>
    <x v="7"/>
    <x v="1"/>
    <x v="1"/>
  </r>
  <r>
    <x v="51"/>
    <n v="81.33"/>
    <n v="1057.29"/>
    <x v="185"/>
    <x v="4"/>
    <n v="2"/>
    <n v="4"/>
    <n v="2005"/>
    <x v="1"/>
    <n v="85"/>
    <n v="-3.6700000000000017"/>
    <x v="713"/>
    <x v="4"/>
    <x v="51"/>
    <x v="0"/>
    <x v="0"/>
    <x v="0"/>
  </r>
  <r>
    <x v="21"/>
    <n v="96.74"/>
    <n v="3385.8999999999996"/>
    <x v="202"/>
    <x v="2"/>
    <n v="2"/>
    <n v="5"/>
    <n v="2005"/>
    <x v="1"/>
    <n v="85"/>
    <n v="11.739999999999995"/>
    <x v="717"/>
    <x v="0"/>
    <x v="17"/>
    <x v="3"/>
    <x v="2"/>
    <x v="1"/>
  </r>
  <r>
    <x v="0"/>
    <n v="63.07"/>
    <n v="1892.1"/>
    <x v="98"/>
    <x v="0"/>
    <n v="1"/>
    <n v="3"/>
    <n v="2003"/>
    <x v="1"/>
    <n v="61"/>
    <n v="2.0700000000000003"/>
    <x v="725"/>
    <x v="0"/>
    <x v="53"/>
    <x v="15"/>
    <x v="2"/>
    <x v="0"/>
  </r>
  <r>
    <x v="1"/>
    <n v="50.21"/>
    <n v="1707.14"/>
    <x v="99"/>
    <x v="0"/>
    <n v="2"/>
    <n v="5"/>
    <n v="2003"/>
    <x v="1"/>
    <n v="61"/>
    <n v="-10.79"/>
    <x v="726"/>
    <x v="6"/>
    <x v="54"/>
    <x v="1"/>
    <x v="1"/>
    <x v="0"/>
  </r>
  <r>
    <x v="26"/>
    <n v="66.13"/>
    <n v="1785.5099999999998"/>
    <x v="100"/>
    <x v="0"/>
    <n v="3"/>
    <n v="7"/>
    <n v="2003"/>
    <x v="1"/>
    <n v="61"/>
    <n v="5.1299999999999955"/>
    <x v="727"/>
    <x v="0"/>
    <x v="33"/>
    <x v="0"/>
    <x v="0"/>
    <x v="0"/>
  </r>
  <r>
    <x v="0"/>
    <n v="68.58"/>
    <n v="2057.4"/>
    <x v="101"/>
    <x v="0"/>
    <n v="3"/>
    <n v="9"/>
    <n v="2003"/>
    <x v="1"/>
    <n v="61"/>
    <n v="7.5799999999999983"/>
    <x v="728"/>
    <x v="0"/>
    <x v="35"/>
    <x v="0"/>
    <x v="0"/>
    <x v="0"/>
  </r>
  <r>
    <x v="24"/>
    <n v="69.8"/>
    <n v="3490"/>
    <x v="4"/>
    <x v="0"/>
    <n v="4"/>
    <n v="10"/>
    <n v="2003"/>
    <x v="1"/>
    <n v="61"/>
    <n v="8.7999999999999972"/>
    <x v="729"/>
    <x v="0"/>
    <x v="4"/>
    <x v="0"/>
    <x v="0"/>
    <x v="1"/>
  </r>
  <r>
    <x v="1"/>
    <n v="50.21"/>
    <n v="1707.14"/>
    <x v="102"/>
    <x v="0"/>
    <n v="4"/>
    <n v="11"/>
    <n v="2003"/>
    <x v="1"/>
    <n v="61"/>
    <n v="-10.79"/>
    <x v="726"/>
    <x v="6"/>
    <x v="36"/>
    <x v="3"/>
    <x v="2"/>
    <x v="0"/>
  </r>
  <r>
    <x v="10"/>
    <n v="65.52"/>
    <n v="1506.9599999999998"/>
    <x v="103"/>
    <x v="0"/>
    <n v="4"/>
    <n v="11"/>
    <n v="2003"/>
    <x v="1"/>
    <n v="61"/>
    <n v="4.519999999999996"/>
    <x v="730"/>
    <x v="0"/>
    <x v="7"/>
    <x v="2"/>
    <x v="1"/>
    <x v="0"/>
  </r>
  <r>
    <x v="7"/>
    <n v="60.01"/>
    <n v="2880.48"/>
    <x v="104"/>
    <x v="0"/>
    <n v="4"/>
    <n v="11"/>
    <n v="2003"/>
    <x v="1"/>
    <n v="61"/>
    <n v="-0.99000000000000199"/>
    <x v="731"/>
    <x v="4"/>
    <x v="55"/>
    <x v="16"/>
    <x v="1"/>
    <x v="0"/>
  </r>
  <r>
    <x v="1"/>
    <n v="64.900000000000006"/>
    <n v="2206.6000000000004"/>
    <x v="105"/>
    <x v="0"/>
    <n v="4"/>
    <n v="12"/>
    <n v="2003"/>
    <x v="1"/>
    <n v="61"/>
    <n v="3.9000000000000057"/>
    <x v="732"/>
    <x v="0"/>
    <x v="20"/>
    <x v="7"/>
    <x v="1"/>
    <x v="0"/>
  </r>
  <r>
    <x v="7"/>
    <n v="48.98"/>
    <n v="2351.04"/>
    <x v="9"/>
    <x v="0"/>
    <n v="1"/>
    <n v="1"/>
    <n v="2004"/>
    <x v="1"/>
    <n v="61"/>
    <n v="-12.020000000000003"/>
    <x v="733"/>
    <x v="6"/>
    <x v="2"/>
    <x v="1"/>
    <x v="1"/>
    <x v="0"/>
  </r>
  <r>
    <x v="16"/>
    <n v="50.21"/>
    <n v="1205.04"/>
    <x v="106"/>
    <x v="0"/>
    <n v="1"/>
    <n v="2"/>
    <n v="2004"/>
    <x v="1"/>
    <n v="61"/>
    <n v="-10.79"/>
    <x v="726"/>
    <x v="6"/>
    <x v="56"/>
    <x v="17"/>
    <x v="1"/>
    <x v="0"/>
  </r>
  <r>
    <x v="20"/>
    <n v="62.45"/>
    <n v="2935.15"/>
    <x v="107"/>
    <x v="0"/>
    <n v="2"/>
    <n v="4"/>
    <n v="2004"/>
    <x v="1"/>
    <n v="61"/>
    <n v="1.4500000000000028"/>
    <x v="734"/>
    <x v="0"/>
    <x v="40"/>
    <x v="13"/>
    <x v="1"/>
    <x v="0"/>
  </r>
  <r>
    <x v="16"/>
    <n v="52.66"/>
    <n v="1263.8399999999999"/>
    <x v="108"/>
    <x v="3"/>
    <n v="2"/>
    <n v="6"/>
    <n v="2004"/>
    <x v="1"/>
    <n v="61"/>
    <n v="-8.3400000000000034"/>
    <x v="735"/>
    <x v="1"/>
    <x v="19"/>
    <x v="6"/>
    <x v="1"/>
    <x v="0"/>
  </r>
  <r>
    <x v="20"/>
    <n v="62.45"/>
    <n v="2935.15"/>
    <x v="109"/>
    <x v="0"/>
    <n v="3"/>
    <n v="7"/>
    <n v="2004"/>
    <x v="1"/>
    <n v="61"/>
    <n v="1.4500000000000028"/>
    <x v="734"/>
    <x v="0"/>
    <x v="57"/>
    <x v="12"/>
    <x v="1"/>
    <x v="0"/>
  </r>
  <r>
    <x v="14"/>
    <n v="61.23"/>
    <n v="1224.5999999999999"/>
    <x v="110"/>
    <x v="0"/>
    <n v="3"/>
    <n v="8"/>
    <n v="2004"/>
    <x v="1"/>
    <n v="61"/>
    <n v="0.22999999999999687"/>
    <x v="736"/>
    <x v="2"/>
    <x v="35"/>
    <x v="0"/>
    <x v="0"/>
    <x v="0"/>
  </r>
  <r>
    <x v="14"/>
    <n v="67.97"/>
    <n v="1359.4"/>
    <x v="111"/>
    <x v="0"/>
    <n v="3"/>
    <n v="8"/>
    <n v="2004"/>
    <x v="1"/>
    <n v="61"/>
    <n v="6.9699999999999989"/>
    <x v="737"/>
    <x v="0"/>
    <x v="56"/>
    <x v="17"/>
    <x v="1"/>
    <x v="0"/>
  </r>
  <r>
    <x v="28"/>
    <n v="58.78"/>
    <n v="1822.18"/>
    <x v="112"/>
    <x v="0"/>
    <n v="4"/>
    <n v="10"/>
    <n v="2003"/>
    <x v="1"/>
    <n v="61"/>
    <n v="-2.2199999999999989"/>
    <x v="738"/>
    <x v="4"/>
    <x v="58"/>
    <x v="16"/>
    <x v="1"/>
    <x v="0"/>
  </r>
  <r>
    <x v="19"/>
    <n v="56.94"/>
    <n v="2163.7199999999998"/>
    <x v="113"/>
    <x v="0"/>
    <n v="4"/>
    <n v="10"/>
    <n v="2004"/>
    <x v="1"/>
    <n v="61"/>
    <n v="-4.0600000000000023"/>
    <x v="739"/>
    <x v="3"/>
    <x v="55"/>
    <x v="16"/>
    <x v="1"/>
    <x v="0"/>
  </r>
  <r>
    <x v="18"/>
    <n v="61.23"/>
    <n v="1591.98"/>
    <x v="114"/>
    <x v="0"/>
    <n v="4"/>
    <n v="11"/>
    <n v="2004"/>
    <x v="1"/>
    <n v="61"/>
    <n v="0.22999999999999687"/>
    <x v="736"/>
    <x v="2"/>
    <x v="21"/>
    <x v="8"/>
    <x v="1"/>
    <x v="0"/>
  </r>
  <r>
    <x v="32"/>
    <n v="100"/>
    <n v="2500"/>
    <x v="159"/>
    <x v="0"/>
    <n v="4"/>
    <n v="11"/>
    <n v="2004"/>
    <x v="1"/>
    <n v="61"/>
    <n v="39"/>
    <x v="740"/>
    <x v="0"/>
    <x v="24"/>
    <x v="0"/>
    <x v="0"/>
    <x v="1"/>
  </r>
  <r>
    <x v="7"/>
    <n v="62.45"/>
    <n v="2997.6000000000004"/>
    <x v="20"/>
    <x v="0"/>
    <n v="4"/>
    <n v="11"/>
    <n v="2004"/>
    <x v="1"/>
    <n v="61"/>
    <n v="1.4500000000000028"/>
    <x v="734"/>
    <x v="0"/>
    <x v="8"/>
    <x v="3"/>
    <x v="2"/>
    <x v="0"/>
  </r>
  <r>
    <x v="27"/>
    <n v="62.45"/>
    <n v="2747.8"/>
    <x v="228"/>
    <x v="0"/>
    <n v="4"/>
    <n v="12"/>
    <n v="2004"/>
    <x v="1"/>
    <n v="61"/>
    <n v="1.4500000000000028"/>
    <x v="734"/>
    <x v="0"/>
    <x v="20"/>
    <x v="7"/>
    <x v="1"/>
    <x v="0"/>
  </r>
  <r>
    <x v="15"/>
    <n v="100"/>
    <n v="2100"/>
    <x v="115"/>
    <x v="0"/>
    <n v="1"/>
    <n v="1"/>
    <n v="2005"/>
    <x v="1"/>
    <n v="61"/>
    <n v="39"/>
    <x v="740"/>
    <x v="0"/>
    <x v="59"/>
    <x v="4"/>
    <x v="1"/>
    <x v="0"/>
  </r>
  <r>
    <x v="12"/>
    <n v="41.54"/>
    <n v="1910.84"/>
    <x v="184"/>
    <x v="0"/>
    <n v="1"/>
    <n v="2"/>
    <n v="2005"/>
    <x v="1"/>
    <n v="61"/>
    <n v="-19.46"/>
    <x v="741"/>
    <x v="5"/>
    <x v="20"/>
    <x v="7"/>
    <x v="1"/>
    <x v="0"/>
  </r>
  <r>
    <x v="12"/>
    <n v="52.84"/>
    <n v="2430.6400000000003"/>
    <x v="162"/>
    <x v="0"/>
    <n v="1"/>
    <n v="3"/>
    <n v="2005"/>
    <x v="1"/>
    <n v="61"/>
    <n v="-8.1599999999999966"/>
    <x v="742"/>
    <x v="1"/>
    <x v="33"/>
    <x v="0"/>
    <x v="0"/>
    <x v="0"/>
  </r>
  <r>
    <x v="36"/>
    <n v="52.66"/>
    <n v="2896.2999999999997"/>
    <x v="116"/>
    <x v="0"/>
    <n v="2"/>
    <n v="5"/>
    <n v="2005"/>
    <x v="1"/>
    <n v="61"/>
    <n v="-8.3400000000000034"/>
    <x v="735"/>
    <x v="1"/>
    <x v="16"/>
    <x v="5"/>
    <x v="1"/>
    <x v="0"/>
  </r>
  <r>
    <x v="28"/>
    <n v="52.6"/>
    <n v="1630.6000000000001"/>
    <x v="186"/>
    <x v="0"/>
    <n v="1"/>
    <n v="2"/>
    <n v="2003"/>
    <x v="3"/>
    <n v="65"/>
    <n v="-12.399999999999999"/>
    <x v="743"/>
    <x v="6"/>
    <x v="69"/>
    <x v="12"/>
    <x v="1"/>
    <x v="0"/>
  </r>
  <r>
    <x v="14"/>
    <n v="72.98"/>
    <n v="1459.6000000000001"/>
    <x v="63"/>
    <x v="0"/>
    <n v="2"/>
    <n v="4"/>
    <n v="2003"/>
    <x v="3"/>
    <n v="65"/>
    <n v="7.980000000000004"/>
    <x v="744"/>
    <x v="0"/>
    <x v="16"/>
    <x v="5"/>
    <x v="1"/>
    <x v="0"/>
  </r>
  <r>
    <x v="6"/>
    <n v="59.18"/>
    <n v="1716.22"/>
    <x v="187"/>
    <x v="0"/>
    <n v="2"/>
    <n v="6"/>
    <n v="2003"/>
    <x v="3"/>
    <n v="65"/>
    <n v="-5.82"/>
    <x v="745"/>
    <x v="3"/>
    <x v="63"/>
    <x v="0"/>
    <x v="0"/>
    <x v="0"/>
  </r>
  <r>
    <x v="29"/>
    <n v="77.59"/>
    <n v="2560.4700000000003"/>
    <x v="65"/>
    <x v="0"/>
    <n v="3"/>
    <n v="8"/>
    <n v="2003"/>
    <x v="3"/>
    <n v="65"/>
    <n v="12.590000000000003"/>
    <x v="746"/>
    <x v="0"/>
    <x v="18"/>
    <x v="0"/>
    <x v="0"/>
    <x v="0"/>
  </r>
  <r>
    <x v="1"/>
    <n v="55.89"/>
    <n v="1900.26"/>
    <x v="66"/>
    <x v="0"/>
    <n v="4"/>
    <n v="10"/>
    <n v="2003"/>
    <x v="3"/>
    <n v="65"/>
    <n v="-9.11"/>
    <x v="747"/>
    <x v="1"/>
    <x v="13"/>
    <x v="4"/>
    <x v="1"/>
    <x v="0"/>
  </r>
  <r>
    <x v="22"/>
    <n v="63.12"/>
    <n v="2019.84"/>
    <x v="67"/>
    <x v="3"/>
    <n v="4"/>
    <n v="10"/>
    <n v="2003"/>
    <x v="3"/>
    <n v="65"/>
    <n v="-1.8800000000000026"/>
    <x v="748"/>
    <x v="4"/>
    <x v="31"/>
    <x v="8"/>
    <x v="1"/>
    <x v="0"/>
  </r>
  <r>
    <x v="26"/>
    <n v="73.64"/>
    <n v="1988.28"/>
    <x v="68"/>
    <x v="0"/>
    <n v="4"/>
    <n v="11"/>
    <n v="2003"/>
    <x v="3"/>
    <n v="65"/>
    <n v="8.64"/>
    <x v="749"/>
    <x v="0"/>
    <x v="42"/>
    <x v="1"/>
    <x v="1"/>
    <x v="0"/>
  </r>
  <r>
    <x v="15"/>
    <n v="69.040000000000006"/>
    <n v="1449.8400000000001"/>
    <x v="69"/>
    <x v="0"/>
    <n v="4"/>
    <n v="11"/>
    <n v="2003"/>
    <x v="3"/>
    <n v="65"/>
    <n v="4.0400000000000063"/>
    <x v="750"/>
    <x v="0"/>
    <x v="41"/>
    <x v="6"/>
    <x v="1"/>
    <x v="0"/>
  </r>
  <r>
    <x v="26"/>
    <n v="71.67"/>
    <n v="1935.0900000000001"/>
    <x v="188"/>
    <x v="0"/>
    <n v="4"/>
    <n v="11"/>
    <n v="2003"/>
    <x v="3"/>
    <n v="65"/>
    <n v="6.6700000000000017"/>
    <x v="751"/>
    <x v="0"/>
    <x v="53"/>
    <x v="15"/>
    <x v="2"/>
    <x v="0"/>
  </r>
  <r>
    <x v="5"/>
    <n v="77.59"/>
    <n v="2793.2400000000002"/>
    <x v="71"/>
    <x v="0"/>
    <n v="1"/>
    <n v="1"/>
    <n v="2004"/>
    <x v="3"/>
    <n v="65"/>
    <n v="12.590000000000003"/>
    <x v="746"/>
    <x v="0"/>
    <x v="44"/>
    <x v="0"/>
    <x v="0"/>
    <x v="0"/>
  </r>
  <r>
    <x v="30"/>
    <n v="70.349999999999994"/>
    <n v="3025.0499999999997"/>
    <x v="72"/>
    <x v="0"/>
    <n v="1"/>
    <n v="2"/>
    <n v="2004"/>
    <x v="3"/>
    <n v="65"/>
    <n v="5.3499999999999943"/>
    <x v="752"/>
    <x v="0"/>
    <x v="45"/>
    <x v="0"/>
    <x v="0"/>
    <x v="1"/>
  </r>
  <r>
    <x v="32"/>
    <n v="69.7"/>
    <n v="1742.5"/>
    <x v="232"/>
    <x v="0"/>
    <n v="2"/>
    <n v="5"/>
    <n v="2004"/>
    <x v="3"/>
    <n v="65"/>
    <n v="4.7000000000000028"/>
    <x v="753"/>
    <x v="0"/>
    <x v="12"/>
    <x v="0"/>
    <x v="0"/>
    <x v="0"/>
  </r>
  <r>
    <x v="12"/>
    <n v="70.349999999999994"/>
    <n v="3236.1"/>
    <x v="190"/>
    <x v="3"/>
    <n v="2"/>
    <n v="6"/>
    <n v="2004"/>
    <x v="3"/>
    <n v="65"/>
    <n v="5.3499999999999943"/>
    <x v="752"/>
    <x v="0"/>
    <x v="20"/>
    <x v="7"/>
    <x v="1"/>
    <x v="1"/>
  </r>
  <r>
    <x v="16"/>
    <n v="72.33"/>
    <n v="1735.92"/>
    <x v="75"/>
    <x v="0"/>
    <n v="3"/>
    <n v="7"/>
    <n v="2004"/>
    <x v="3"/>
    <n v="65"/>
    <n v="7.3299999999999983"/>
    <x v="754"/>
    <x v="0"/>
    <x v="35"/>
    <x v="0"/>
    <x v="0"/>
    <x v="0"/>
  </r>
  <r>
    <x v="25"/>
    <n v="71.67"/>
    <n v="2795.13"/>
    <x v="191"/>
    <x v="0"/>
    <n v="3"/>
    <n v="8"/>
    <n v="2004"/>
    <x v="3"/>
    <n v="65"/>
    <n v="6.6700000000000017"/>
    <x v="751"/>
    <x v="0"/>
    <x v="68"/>
    <x v="2"/>
    <x v="1"/>
    <x v="0"/>
  </r>
  <r>
    <x v="28"/>
    <n v="53.92"/>
    <n v="1671.52"/>
    <x v="192"/>
    <x v="0"/>
    <n v="3"/>
    <n v="9"/>
    <n v="2004"/>
    <x v="3"/>
    <n v="65"/>
    <n v="-11.079999999999998"/>
    <x v="755"/>
    <x v="6"/>
    <x v="71"/>
    <x v="16"/>
    <x v="1"/>
    <x v="0"/>
  </r>
  <r>
    <x v="8"/>
    <n v="71.67"/>
    <n v="1576.74"/>
    <x v="78"/>
    <x v="0"/>
    <n v="4"/>
    <n v="10"/>
    <n v="2004"/>
    <x v="3"/>
    <n v="65"/>
    <n v="6.6700000000000017"/>
    <x v="751"/>
    <x v="0"/>
    <x v="24"/>
    <x v="0"/>
    <x v="0"/>
    <x v="0"/>
  </r>
  <r>
    <x v="20"/>
    <n v="76.930000000000007"/>
    <n v="3615.7100000000005"/>
    <x v="79"/>
    <x v="0"/>
    <n v="4"/>
    <n v="11"/>
    <n v="2004"/>
    <x v="3"/>
    <n v="65"/>
    <n v="11.930000000000007"/>
    <x v="756"/>
    <x v="0"/>
    <x v="49"/>
    <x v="6"/>
    <x v="1"/>
    <x v="1"/>
  </r>
  <r>
    <x v="14"/>
    <n v="72.98"/>
    <n v="1459.6000000000001"/>
    <x v="233"/>
    <x v="0"/>
    <n v="4"/>
    <n v="11"/>
    <n v="2004"/>
    <x v="3"/>
    <n v="65"/>
    <n v="7.980000000000004"/>
    <x v="744"/>
    <x v="0"/>
    <x v="69"/>
    <x v="12"/>
    <x v="1"/>
    <x v="0"/>
  </r>
  <r>
    <x v="6"/>
    <n v="99.69"/>
    <n v="2891.0099999999998"/>
    <x v="58"/>
    <x v="0"/>
    <n v="4"/>
    <n v="11"/>
    <n v="2004"/>
    <x v="3"/>
    <n v="65"/>
    <n v="34.69"/>
    <x v="757"/>
    <x v="0"/>
    <x v="29"/>
    <x v="11"/>
    <x v="3"/>
    <x v="0"/>
  </r>
  <r>
    <x v="19"/>
    <n v="68.38"/>
    <n v="2598.4399999999996"/>
    <x v="195"/>
    <x v="0"/>
    <n v="4"/>
    <n v="12"/>
    <n v="2004"/>
    <x v="3"/>
    <n v="65"/>
    <n v="3.3799999999999955"/>
    <x v="758"/>
    <x v="0"/>
    <x v="41"/>
    <x v="6"/>
    <x v="1"/>
    <x v="0"/>
  </r>
  <r>
    <x v="1"/>
    <n v="100"/>
    <n v="3400"/>
    <x v="21"/>
    <x v="0"/>
    <n v="4"/>
    <n v="12"/>
    <n v="2004"/>
    <x v="3"/>
    <n v="65"/>
    <n v="35"/>
    <x v="759"/>
    <x v="0"/>
    <x v="17"/>
    <x v="3"/>
    <x v="2"/>
    <x v="1"/>
  </r>
  <r>
    <x v="12"/>
    <n v="66"/>
    <n v="3036"/>
    <x v="84"/>
    <x v="0"/>
    <n v="1"/>
    <n v="1"/>
    <n v="2005"/>
    <x v="3"/>
    <n v="65"/>
    <n v="1"/>
    <x v="760"/>
    <x v="0"/>
    <x v="50"/>
    <x v="4"/>
    <x v="1"/>
    <x v="1"/>
  </r>
  <r>
    <x v="21"/>
    <n v="63.76"/>
    <n v="2231.6"/>
    <x v="196"/>
    <x v="5"/>
    <n v="1"/>
    <n v="3"/>
    <n v="2005"/>
    <x v="3"/>
    <n v="65"/>
    <n v="-1.240000000000002"/>
    <x v="761"/>
    <x v="4"/>
    <x v="20"/>
    <x v="7"/>
    <x v="1"/>
    <x v="0"/>
  </r>
  <r>
    <x v="1"/>
    <n v="71.67"/>
    <n v="2436.7800000000002"/>
    <x v="197"/>
    <x v="0"/>
    <n v="1"/>
    <n v="3"/>
    <n v="2005"/>
    <x v="3"/>
    <n v="65"/>
    <n v="6.6700000000000017"/>
    <x v="751"/>
    <x v="0"/>
    <x v="1"/>
    <x v="1"/>
    <x v="1"/>
    <x v="0"/>
  </r>
  <r>
    <x v="19"/>
    <n v="57.2"/>
    <n v="2173.6"/>
    <x v="87"/>
    <x v="0"/>
    <n v="2"/>
    <n v="4"/>
    <n v="2005"/>
    <x v="3"/>
    <n v="65"/>
    <n v="-7.7999999999999972"/>
    <x v="762"/>
    <x v="1"/>
    <x v="51"/>
    <x v="0"/>
    <x v="0"/>
    <x v="0"/>
  </r>
  <r>
    <x v="52"/>
    <n v="69.7"/>
    <n v="1254.6000000000001"/>
    <x v="234"/>
    <x v="1"/>
    <n v="2"/>
    <n v="5"/>
    <n v="2005"/>
    <x v="3"/>
    <n v="65"/>
    <n v="4.7000000000000028"/>
    <x v="753"/>
    <x v="0"/>
    <x v="70"/>
    <x v="3"/>
    <x v="2"/>
    <x v="0"/>
  </r>
  <r>
    <x v="9"/>
    <n v="100"/>
    <n v="3700"/>
    <x v="178"/>
    <x v="0"/>
    <n v="1"/>
    <n v="3"/>
    <n v="2003"/>
    <x v="1"/>
    <n v="107"/>
    <n v="-7"/>
    <x v="763"/>
    <x v="3"/>
    <x v="61"/>
    <x v="6"/>
    <x v="1"/>
    <x v="1"/>
  </r>
  <r>
    <x v="30"/>
    <n v="100"/>
    <n v="4300"/>
    <x v="166"/>
    <x v="0"/>
    <n v="2"/>
    <n v="5"/>
    <n v="2003"/>
    <x v="1"/>
    <n v="107"/>
    <n v="-7"/>
    <x v="763"/>
    <x v="3"/>
    <x v="67"/>
    <x v="0"/>
    <x v="0"/>
    <x v="1"/>
  </r>
  <r>
    <x v="26"/>
    <n v="100"/>
    <n v="2700"/>
    <x v="153"/>
    <x v="0"/>
    <n v="3"/>
    <n v="9"/>
    <n v="2003"/>
    <x v="1"/>
    <n v="107"/>
    <n v="-7"/>
    <x v="763"/>
    <x v="3"/>
    <x v="36"/>
    <x v="3"/>
    <x v="2"/>
    <x v="1"/>
  </r>
  <r>
    <x v="0"/>
    <n v="100"/>
    <n v="3000"/>
    <x v="154"/>
    <x v="0"/>
    <n v="4"/>
    <n v="10"/>
    <n v="2003"/>
    <x v="1"/>
    <n v="107"/>
    <n v="-7"/>
    <x v="763"/>
    <x v="3"/>
    <x v="62"/>
    <x v="13"/>
    <x v="1"/>
    <x v="1"/>
  </r>
  <r>
    <x v="8"/>
    <n v="98.51"/>
    <n v="2167.2200000000003"/>
    <x v="155"/>
    <x v="0"/>
    <n v="4"/>
    <n v="11"/>
    <n v="2003"/>
    <x v="1"/>
    <n v="107"/>
    <n v="-8.4899999999999949"/>
    <x v="764"/>
    <x v="3"/>
    <x v="10"/>
    <x v="0"/>
    <x v="0"/>
    <x v="0"/>
  </r>
  <r>
    <x v="4"/>
    <n v="100"/>
    <n v="4900"/>
    <x v="103"/>
    <x v="0"/>
    <n v="4"/>
    <n v="11"/>
    <n v="2003"/>
    <x v="1"/>
    <n v="107"/>
    <n v="-7"/>
    <x v="763"/>
    <x v="3"/>
    <x v="33"/>
    <x v="0"/>
    <x v="0"/>
    <x v="1"/>
  </r>
  <r>
    <x v="12"/>
    <n v="100"/>
    <n v="4600"/>
    <x v="104"/>
    <x v="0"/>
    <n v="4"/>
    <n v="11"/>
    <n v="2003"/>
    <x v="1"/>
    <n v="107"/>
    <n v="-7"/>
    <x v="763"/>
    <x v="3"/>
    <x v="34"/>
    <x v="0"/>
    <x v="0"/>
    <x v="1"/>
  </r>
  <r>
    <x v="7"/>
    <n v="91.02"/>
    <n v="4368.96"/>
    <x v="105"/>
    <x v="0"/>
    <n v="4"/>
    <n v="12"/>
    <n v="2003"/>
    <x v="1"/>
    <n v="107"/>
    <n v="-15.980000000000004"/>
    <x v="765"/>
    <x v="1"/>
    <x v="0"/>
    <x v="0"/>
    <x v="0"/>
    <x v="1"/>
  </r>
  <r>
    <x v="12"/>
    <n v="87.81"/>
    <n v="4039.26"/>
    <x v="138"/>
    <x v="0"/>
    <n v="1"/>
    <n v="1"/>
    <n v="2004"/>
    <x v="1"/>
    <n v="107"/>
    <n v="-19.189999999999998"/>
    <x v="766"/>
    <x v="6"/>
    <x v="20"/>
    <x v="7"/>
    <x v="1"/>
    <x v="1"/>
  </r>
  <r>
    <x v="7"/>
    <n v="92.09"/>
    <n v="4420.32"/>
    <x v="181"/>
    <x v="0"/>
    <n v="1"/>
    <n v="2"/>
    <n v="2004"/>
    <x v="1"/>
    <n v="107"/>
    <n v="-14.909999999999997"/>
    <x v="767"/>
    <x v="1"/>
    <x v="45"/>
    <x v="0"/>
    <x v="0"/>
    <x v="1"/>
  </r>
  <r>
    <x v="26"/>
    <n v="86.73"/>
    <n v="2341.71"/>
    <x v="156"/>
    <x v="0"/>
    <n v="2"/>
    <n v="4"/>
    <n v="2004"/>
    <x v="1"/>
    <n v="107"/>
    <n v="-20.269999999999996"/>
    <x v="768"/>
    <x v="6"/>
    <x v="66"/>
    <x v="1"/>
    <x v="1"/>
    <x v="0"/>
  </r>
  <r>
    <x v="30"/>
    <n v="100"/>
    <n v="4300"/>
    <x v="238"/>
    <x v="0"/>
    <n v="3"/>
    <n v="7"/>
    <n v="2004"/>
    <x v="1"/>
    <n v="107"/>
    <n v="-7"/>
    <x v="763"/>
    <x v="3"/>
    <x v="0"/>
    <x v="0"/>
    <x v="0"/>
    <x v="1"/>
  </r>
  <r>
    <x v="7"/>
    <n v="100"/>
    <n v="4800"/>
    <x v="239"/>
    <x v="0"/>
    <n v="3"/>
    <n v="8"/>
    <n v="2004"/>
    <x v="1"/>
    <n v="107"/>
    <n v="-7"/>
    <x v="763"/>
    <x v="3"/>
    <x v="20"/>
    <x v="7"/>
    <x v="1"/>
    <x v="1"/>
  </r>
  <r>
    <x v="2"/>
    <n v="100"/>
    <n v="4100"/>
    <x v="182"/>
    <x v="0"/>
    <n v="3"/>
    <n v="9"/>
    <n v="2004"/>
    <x v="1"/>
    <n v="107"/>
    <n v="-7"/>
    <x v="763"/>
    <x v="3"/>
    <x v="22"/>
    <x v="9"/>
    <x v="2"/>
    <x v="1"/>
  </r>
  <r>
    <x v="8"/>
    <n v="96.37"/>
    <n v="2120.1400000000003"/>
    <x v="158"/>
    <x v="0"/>
    <n v="4"/>
    <n v="10"/>
    <n v="2003"/>
    <x v="1"/>
    <n v="107"/>
    <n v="-10.629999999999995"/>
    <x v="769"/>
    <x v="3"/>
    <x v="68"/>
    <x v="2"/>
    <x v="1"/>
    <x v="0"/>
  </r>
  <r>
    <x v="12"/>
    <n v="92.09"/>
    <n v="4236.1400000000003"/>
    <x v="113"/>
    <x v="0"/>
    <n v="4"/>
    <n v="10"/>
    <n v="2004"/>
    <x v="1"/>
    <n v="107"/>
    <n v="-14.909999999999997"/>
    <x v="767"/>
    <x v="1"/>
    <x v="20"/>
    <x v="7"/>
    <x v="1"/>
    <x v="1"/>
  </r>
  <r>
    <x v="15"/>
    <n v="89.95"/>
    <n v="1888.95"/>
    <x v="45"/>
    <x v="0"/>
    <n v="4"/>
    <n v="11"/>
    <n v="2004"/>
    <x v="1"/>
    <n v="107"/>
    <n v="-17.049999999999997"/>
    <x v="770"/>
    <x v="6"/>
    <x v="18"/>
    <x v="0"/>
    <x v="0"/>
    <x v="0"/>
  </r>
  <r>
    <x v="28"/>
    <n v="37.18"/>
    <n v="1152.58"/>
    <x v="159"/>
    <x v="0"/>
    <n v="4"/>
    <n v="11"/>
    <n v="2004"/>
    <x v="1"/>
    <n v="107"/>
    <n v="-69.819999999999993"/>
    <x v="771"/>
    <x v="5"/>
    <x v="61"/>
    <x v="6"/>
    <x v="1"/>
    <x v="0"/>
  </r>
  <r>
    <x v="18"/>
    <n v="95.88"/>
    <n v="2492.88"/>
    <x v="47"/>
    <x v="0"/>
    <n v="4"/>
    <n v="11"/>
    <n v="2004"/>
    <x v="1"/>
    <n v="107"/>
    <n v="-11.120000000000005"/>
    <x v="772"/>
    <x v="3"/>
    <x v="67"/>
    <x v="0"/>
    <x v="0"/>
    <x v="0"/>
  </r>
  <r>
    <x v="14"/>
    <n v="99.58"/>
    <n v="1991.6"/>
    <x v="241"/>
    <x v="0"/>
    <n v="1"/>
    <n v="1"/>
    <n v="2005"/>
    <x v="1"/>
    <n v="107"/>
    <n v="-7.4200000000000017"/>
    <x v="773"/>
    <x v="3"/>
    <x v="33"/>
    <x v="0"/>
    <x v="0"/>
    <x v="0"/>
  </r>
  <r>
    <x v="1"/>
    <n v="100"/>
    <n v="3400"/>
    <x v="176"/>
    <x v="0"/>
    <n v="1"/>
    <n v="2"/>
    <n v="2005"/>
    <x v="1"/>
    <n v="107"/>
    <n v="-7"/>
    <x v="763"/>
    <x v="3"/>
    <x v="20"/>
    <x v="7"/>
    <x v="1"/>
    <x v="1"/>
  </r>
  <r>
    <x v="30"/>
    <n v="86.73"/>
    <n v="3729.3900000000003"/>
    <x v="185"/>
    <x v="4"/>
    <n v="2"/>
    <n v="4"/>
    <n v="2005"/>
    <x v="1"/>
    <n v="107"/>
    <n v="-20.269999999999996"/>
    <x v="768"/>
    <x v="6"/>
    <x v="51"/>
    <x v="0"/>
    <x v="0"/>
    <x v="1"/>
  </r>
  <r>
    <x v="18"/>
    <n v="100"/>
    <n v="2600"/>
    <x v="202"/>
    <x v="2"/>
    <n v="2"/>
    <n v="5"/>
    <n v="2005"/>
    <x v="1"/>
    <n v="107"/>
    <n v="-7"/>
    <x v="763"/>
    <x v="3"/>
    <x v="17"/>
    <x v="3"/>
    <x v="2"/>
    <x v="0"/>
  </r>
  <r>
    <x v="24"/>
    <n v="79.67"/>
    <n v="3983.5"/>
    <x v="62"/>
    <x v="0"/>
    <n v="1"/>
    <n v="2"/>
    <n v="2003"/>
    <x v="3"/>
    <n v="83"/>
    <n v="-3.3299999999999983"/>
    <x v="774"/>
    <x v="4"/>
    <x v="40"/>
    <x v="13"/>
    <x v="1"/>
    <x v="1"/>
  </r>
  <r>
    <x v="21"/>
    <n v="90.57"/>
    <n v="3169.95"/>
    <x v="63"/>
    <x v="0"/>
    <n v="2"/>
    <n v="4"/>
    <n v="2003"/>
    <x v="3"/>
    <n v="83"/>
    <n v="7.5699999999999932"/>
    <x v="775"/>
    <x v="0"/>
    <x v="16"/>
    <x v="5"/>
    <x v="1"/>
    <x v="1"/>
  </r>
  <r>
    <x v="24"/>
    <n v="77.989999999999995"/>
    <n v="3899.4999999999995"/>
    <x v="64"/>
    <x v="0"/>
    <n v="2"/>
    <n v="6"/>
    <n v="2003"/>
    <x v="3"/>
    <n v="83"/>
    <n v="-5.0100000000000051"/>
    <x v="776"/>
    <x v="3"/>
    <x v="41"/>
    <x v="6"/>
    <x v="1"/>
    <x v="1"/>
  </r>
  <r>
    <x v="10"/>
    <n v="80.510000000000005"/>
    <n v="1851.73"/>
    <x v="65"/>
    <x v="0"/>
    <n v="3"/>
    <n v="8"/>
    <n v="2003"/>
    <x v="3"/>
    <n v="83"/>
    <n v="-2.4899999999999949"/>
    <x v="777"/>
    <x v="4"/>
    <x v="18"/>
    <x v="0"/>
    <x v="0"/>
    <x v="0"/>
  </r>
  <r>
    <x v="9"/>
    <n v="67.930000000000007"/>
    <n v="2513.4100000000003"/>
    <x v="66"/>
    <x v="0"/>
    <n v="4"/>
    <n v="10"/>
    <n v="2003"/>
    <x v="3"/>
    <n v="83"/>
    <n v="-15.069999999999993"/>
    <x v="778"/>
    <x v="6"/>
    <x v="13"/>
    <x v="4"/>
    <x v="1"/>
    <x v="0"/>
  </r>
  <r>
    <x v="6"/>
    <n v="83.86"/>
    <n v="2431.94"/>
    <x v="67"/>
    <x v="3"/>
    <n v="4"/>
    <n v="10"/>
    <n v="2003"/>
    <x v="3"/>
    <n v="83"/>
    <n v="0.85999999999999943"/>
    <x v="779"/>
    <x v="0"/>
    <x v="31"/>
    <x v="8"/>
    <x v="1"/>
    <x v="0"/>
  </r>
  <r>
    <x v="15"/>
    <n v="72.12"/>
    <n v="1514.52"/>
    <x v="68"/>
    <x v="0"/>
    <n v="4"/>
    <n v="11"/>
    <n v="2003"/>
    <x v="3"/>
    <n v="83"/>
    <n v="-10.879999999999995"/>
    <x v="780"/>
    <x v="1"/>
    <x v="42"/>
    <x v="1"/>
    <x v="1"/>
    <x v="0"/>
  </r>
  <r>
    <x v="5"/>
    <n v="85.54"/>
    <n v="3079.44"/>
    <x v="69"/>
    <x v="0"/>
    <n v="4"/>
    <n v="11"/>
    <n v="2003"/>
    <x v="3"/>
    <n v="83"/>
    <n v="2.5400000000000063"/>
    <x v="781"/>
    <x v="0"/>
    <x v="41"/>
    <x v="6"/>
    <x v="1"/>
    <x v="1"/>
  </r>
  <r>
    <x v="8"/>
    <n v="86.38"/>
    <n v="1900.36"/>
    <x v="70"/>
    <x v="0"/>
    <n v="4"/>
    <n v="11"/>
    <n v="2003"/>
    <x v="3"/>
    <n v="83"/>
    <n v="3.3799999999999955"/>
    <x v="782"/>
    <x v="0"/>
    <x v="43"/>
    <x v="7"/>
    <x v="1"/>
    <x v="0"/>
  </r>
  <r>
    <x v="8"/>
    <n v="89.73"/>
    <n v="1974.0600000000002"/>
    <x v="71"/>
    <x v="0"/>
    <n v="1"/>
    <n v="1"/>
    <n v="2004"/>
    <x v="3"/>
    <n v="83"/>
    <n v="6.730000000000004"/>
    <x v="783"/>
    <x v="0"/>
    <x v="44"/>
    <x v="0"/>
    <x v="0"/>
    <x v="0"/>
  </r>
  <r>
    <x v="12"/>
    <n v="80.510000000000005"/>
    <n v="3703.46"/>
    <x v="72"/>
    <x v="0"/>
    <n v="1"/>
    <n v="2"/>
    <n v="2004"/>
    <x v="3"/>
    <n v="83"/>
    <n v="-2.4899999999999949"/>
    <x v="777"/>
    <x v="4"/>
    <x v="45"/>
    <x v="0"/>
    <x v="0"/>
    <x v="1"/>
  </r>
  <r>
    <x v="10"/>
    <n v="76.31"/>
    <n v="1755.13"/>
    <x v="73"/>
    <x v="3"/>
    <n v="2"/>
    <n v="5"/>
    <n v="2004"/>
    <x v="3"/>
    <n v="83"/>
    <n v="-6.6899999999999977"/>
    <x v="784"/>
    <x v="3"/>
    <x v="0"/>
    <x v="0"/>
    <x v="0"/>
    <x v="0"/>
  </r>
  <r>
    <x v="4"/>
    <n v="87.21"/>
    <n v="4273.29"/>
    <x v="190"/>
    <x v="3"/>
    <n v="2"/>
    <n v="6"/>
    <n v="2004"/>
    <x v="3"/>
    <n v="83"/>
    <n v="4.2099999999999937"/>
    <x v="785"/>
    <x v="0"/>
    <x v="20"/>
    <x v="7"/>
    <x v="1"/>
    <x v="1"/>
  </r>
  <r>
    <x v="7"/>
    <n v="83.02"/>
    <n v="3984.96"/>
    <x v="75"/>
    <x v="0"/>
    <n v="3"/>
    <n v="7"/>
    <n v="2004"/>
    <x v="3"/>
    <n v="83"/>
    <n v="1.9999999999996021E-2"/>
    <x v="786"/>
    <x v="2"/>
    <x v="46"/>
    <x v="14"/>
    <x v="1"/>
    <x v="1"/>
  </r>
  <r>
    <x v="29"/>
    <n v="72.959999999999994"/>
    <n v="2407.6799999999998"/>
    <x v="76"/>
    <x v="0"/>
    <n v="3"/>
    <n v="8"/>
    <n v="2004"/>
    <x v="3"/>
    <n v="83"/>
    <n v="-10.040000000000006"/>
    <x v="787"/>
    <x v="1"/>
    <x v="47"/>
    <x v="10"/>
    <x v="0"/>
    <x v="0"/>
  </r>
  <r>
    <x v="8"/>
    <n v="77.150000000000006"/>
    <n v="1697.3000000000002"/>
    <x v="192"/>
    <x v="0"/>
    <n v="3"/>
    <n v="9"/>
    <n v="2004"/>
    <x v="3"/>
    <n v="83"/>
    <n v="-5.8499999999999943"/>
    <x v="788"/>
    <x v="3"/>
    <x v="71"/>
    <x v="16"/>
    <x v="1"/>
    <x v="0"/>
  </r>
  <r>
    <x v="8"/>
    <n v="91.41"/>
    <n v="2011.02"/>
    <x v="78"/>
    <x v="0"/>
    <n v="4"/>
    <n v="10"/>
    <n v="2004"/>
    <x v="3"/>
    <n v="83"/>
    <n v="8.4099999999999966"/>
    <x v="789"/>
    <x v="0"/>
    <x v="24"/>
    <x v="0"/>
    <x v="0"/>
    <x v="0"/>
  </r>
  <r>
    <x v="32"/>
    <n v="92.25"/>
    <n v="2306.25"/>
    <x v="79"/>
    <x v="0"/>
    <n v="4"/>
    <n v="11"/>
    <n v="2004"/>
    <x v="3"/>
    <n v="83"/>
    <n v="9.25"/>
    <x v="790"/>
    <x v="0"/>
    <x v="49"/>
    <x v="6"/>
    <x v="1"/>
    <x v="0"/>
  </r>
  <r>
    <x v="14"/>
    <n v="92.25"/>
    <n v="1845"/>
    <x v="223"/>
    <x v="0"/>
    <n v="4"/>
    <n v="11"/>
    <n v="2004"/>
    <x v="3"/>
    <n v="83"/>
    <n v="9.25"/>
    <x v="790"/>
    <x v="0"/>
    <x v="21"/>
    <x v="8"/>
    <x v="1"/>
    <x v="0"/>
  </r>
  <r>
    <x v="13"/>
    <n v="59.36"/>
    <n v="2493.12"/>
    <x v="58"/>
    <x v="0"/>
    <n v="4"/>
    <n v="11"/>
    <n v="2004"/>
    <x v="3"/>
    <n v="83"/>
    <n v="-23.64"/>
    <x v="791"/>
    <x v="5"/>
    <x v="29"/>
    <x v="11"/>
    <x v="3"/>
    <x v="0"/>
  </r>
  <r>
    <x v="32"/>
    <n v="60.34"/>
    <n v="1508.5"/>
    <x v="82"/>
    <x v="0"/>
    <n v="4"/>
    <n v="12"/>
    <n v="2004"/>
    <x v="3"/>
    <n v="83"/>
    <n v="-22.659999999999997"/>
    <x v="792"/>
    <x v="5"/>
    <x v="20"/>
    <x v="7"/>
    <x v="1"/>
    <x v="0"/>
  </r>
  <r>
    <x v="10"/>
    <n v="100"/>
    <n v="2300"/>
    <x v="84"/>
    <x v="0"/>
    <n v="1"/>
    <n v="1"/>
    <n v="2005"/>
    <x v="3"/>
    <n v="83"/>
    <n v="17"/>
    <x v="793"/>
    <x v="0"/>
    <x v="50"/>
    <x v="4"/>
    <x v="1"/>
    <x v="0"/>
  </r>
  <r>
    <x v="9"/>
    <n v="85.54"/>
    <n v="3164.98"/>
    <x v="244"/>
    <x v="0"/>
    <n v="1"/>
    <n v="2"/>
    <n v="2005"/>
    <x v="3"/>
    <n v="83"/>
    <n v="2.5400000000000063"/>
    <x v="781"/>
    <x v="0"/>
    <x v="33"/>
    <x v="0"/>
    <x v="0"/>
    <x v="1"/>
  </r>
  <r>
    <x v="9"/>
    <n v="90.57"/>
    <n v="3351.0899999999997"/>
    <x v="141"/>
    <x v="0"/>
    <n v="1"/>
    <n v="3"/>
    <n v="2005"/>
    <x v="3"/>
    <n v="83"/>
    <n v="7.5699999999999932"/>
    <x v="775"/>
    <x v="0"/>
    <x v="33"/>
    <x v="0"/>
    <x v="0"/>
    <x v="1"/>
  </r>
  <r>
    <x v="13"/>
    <n v="72.959999999999994"/>
    <n v="3064.3199999999997"/>
    <x v="87"/>
    <x v="0"/>
    <n v="2"/>
    <n v="4"/>
    <n v="2005"/>
    <x v="3"/>
    <n v="83"/>
    <n v="-10.040000000000006"/>
    <x v="787"/>
    <x v="1"/>
    <x v="51"/>
    <x v="0"/>
    <x v="0"/>
    <x v="1"/>
  </r>
  <r>
    <x v="41"/>
    <n v="76.31"/>
    <n v="3891.81"/>
    <x v="88"/>
    <x v="4"/>
    <n v="2"/>
    <n v="5"/>
    <n v="2005"/>
    <x v="3"/>
    <n v="83"/>
    <n v="-6.6899999999999977"/>
    <x v="784"/>
    <x v="3"/>
    <x v="48"/>
    <x v="0"/>
    <x v="0"/>
    <x v="1"/>
  </r>
  <r>
    <x v="23"/>
    <n v="100"/>
    <n v="4000"/>
    <x v="98"/>
    <x v="0"/>
    <n v="1"/>
    <n v="3"/>
    <n v="2003"/>
    <x v="1"/>
    <n v="140"/>
    <n v="-40"/>
    <x v="794"/>
    <x v="5"/>
    <x v="53"/>
    <x v="15"/>
    <x v="2"/>
    <x v="1"/>
  </r>
  <r>
    <x v="30"/>
    <n v="100"/>
    <n v="4300"/>
    <x v="99"/>
    <x v="0"/>
    <n v="2"/>
    <n v="5"/>
    <n v="2003"/>
    <x v="1"/>
    <n v="140"/>
    <n v="-40"/>
    <x v="794"/>
    <x v="5"/>
    <x v="54"/>
    <x v="1"/>
    <x v="1"/>
    <x v="1"/>
  </r>
  <r>
    <x v="20"/>
    <n v="100"/>
    <n v="4700"/>
    <x v="100"/>
    <x v="0"/>
    <n v="3"/>
    <n v="7"/>
    <n v="2003"/>
    <x v="1"/>
    <n v="140"/>
    <n v="-40"/>
    <x v="794"/>
    <x v="5"/>
    <x v="33"/>
    <x v="0"/>
    <x v="0"/>
    <x v="1"/>
  </r>
  <r>
    <x v="10"/>
    <n v="100"/>
    <n v="2300"/>
    <x v="101"/>
    <x v="0"/>
    <n v="3"/>
    <n v="9"/>
    <n v="2003"/>
    <x v="1"/>
    <n v="140"/>
    <n v="-40"/>
    <x v="794"/>
    <x v="5"/>
    <x v="35"/>
    <x v="0"/>
    <x v="0"/>
    <x v="0"/>
  </r>
  <r>
    <x v="21"/>
    <n v="100"/>
    <n v="3500"/>
    <x v="137"/>
    <x v="0"/>
    <n v="4"/>
    <n v="10"/>
    <n v="2003"/>
    <x v="1"/>
    <n v="140"/>
    <n v="-40"/>
    <x v="794"/>
    <x v="5"/>
    <x v="44"/>
    <x v="0"/>
    <x v="0"/>
    <x v="1"/>
  </r>
  <r>
    <x v="1"/>
    <n v="100"/>
    <n v="3400"/>
    <x v="102"/>
    <x v="0"/>
    <n v="4"/>
    <n v="11"/>
    <n v="2003"/>
    <x v="1"/>
    <n v="140"/>
    <n v="-40"/>
    <x v="794"/>
    <x v="5"/>
    <x v="52"/>
    <x v="5"/>
    <x v="1"/>
    <x v="1"/>
  </r>
  <r>
    <x v="32"/>
    <n v="100"/>
    <n v="2500"/>
    <x v="103"/>
    <x v="0"/>
    <n v="4"/>
    <n v="11"/>
    <n v="2003"/>
    <x v="1"/>
    <n v="140"/>
    <n v="-40"/>
    <x v="794"/>
    <x v="5"/>
    <x v="7"/>
    <x v="2"/>
    <x v="1"/>
    <x v="1"/>
  </r>
  <r>
    <x v="3"/>
    <n v="100"/>
    <n v="4500"/>
    <x v="104"/>
    <x v="0"/>
    <n v="4"/>
    <n v="11"/>
    <n v="2003"/>
    <x v="1"/>
    <n v="140"/>
    <n v="-40"/>
    <x v="794"/>
    <x v="5"/>
    <x v="34"/>
    <x v="0"/>
    <x v="0"/>
    <x v="1"/>
  </r>
  <r>
    <x v="20"/>
    <n v="100"/>
    <n v="4700"/>
    <x v="105"/>
    <x v="0"/>
    <n v="4"/>
    <n v="12"/>
    <n v="2003"/>
    <x v="1"/>
    <n v="140"/>
    <n v="-40"/>
    <x v="794"/>
    <x v="5"/>
    <x v="20"/>
    <x v="7"/>
    <x v="1"/>
    <x v="1"/>
  </r>
  <r>
    <x v="4"/>
    <n v="100"/>
    <n v="4900"/>
    <x v="138"/>
    <x v="0"/>
    <n v="1"/>
    <n v="1"/>
    <n v="2004"/>
    <x v="1"/>
    <n v="140"/>
    <n v="-40"/>
    <x v="794"/>
    <x v="5"/>
    <x v="20"/>
    <x v="7"/>
    <x v="1"/>
    <x v="1"/>
  </r>
  <r>
    <x v="23"/>
    <n v="100"/>
    <n v="4000"/>
    <x v="106"/>
    <x v="0"/>
    <n v="1"/>
    <n v="2"/>
    <n v="2004"/>
    <x v="1"/>
    <n v="140"/>
    <n v="-40"/>
    <x v="794"/>
    <x v="5"/>
    <x v="56"/>
    <x v="17"/>
    <x v="1"/>
    <x v="1"/>
  </r>
  <r>
    <x v="6"/>
    <n v="100"/>
    <n v="2900"/>
    <x v="148"/>
    <x v="0"/>
    <n v="2"/>
    <n v="4"/>
    <n v="2004"/>
    <x v="1"/>
    <n v="140"/>
    <n v="-40"/>
    <x v="794"/>
    <x v="5"/>
    <x v="50"/>
    <x v="4"/>
    <x v="1"/>
    <x v="1"/>
  </r>
  <r>
    <x v="25"/>
    <n v="100"/>
    <n v="3900"/>
    <x v="108"/>
    <x v="3"/>
    <n v="2"/>
    <n v="6"/>
    <n v="2004"/>
    <x v="1"/>
    <n v="140"/>
    <n v="-40"/>
    <x v="794"/>
    <x v="5"/>
    <x v="19"/>
    <x v="6"/>
    <x v="1"/>
    <x v="1"/>
  </r>
  <r>
    <x v="16"/>
    <n v="100"/>
    <n v="2400"/>
    <x v="109"/>
    <x v="0"/>
    <n v="3"/>
    <n v="7"/>
    <n v="2004"/>
    <x v="1"/>
    <n v="140"/>
    <n v="-40"/>
    <x v="794"/>
    <x v="5"/>
    <x v="57"/>
    <x v="12"/>
    <x v="1"/>
    <x v="0"/>
  </r>
  <r>
    <x v="32"/>
    <n v="100"/>
    <n v="2500"/>
    <x v="157"/>
    <x v="0"/>
    <n v="3"/>
    <n v="8"/>
    <n v="2004"/>
    <x v="1"/>
    <n v="140"/>
    <n v="-40"/>
    <x v="794"/>
    <x v="5"/>
    <x v="67"/>
    <x v="0"/>
    <x v="0"/>
    <x v="1"/>
  </r>
  <r>
    <x v="5"/>
    <n v="100"/>
    <n v="3600"/>
    <x v="111"/>
    <x v="0"/>
    <n v="3"/>
    <n v="8"/>
    <n v="2004"/>
    <x v="1"/>
    <n v="140"/>
    <n v="-40"/>
    <x v="794"/>
    <x v="5"/>
    <x v="56"/>
    <x v="17"/>
    <x v="1"/>
    <x v="1"/>
  </r>
  <r>
    <x v="24"/>
    <n v="100"/>
    <n v="5000"/>
    <x v="158"/>
    <x v="0"/>
    <n v="4"/>
    <n v="10"/>
    <n v="2003"/>
    <x v="1"/>
    <n v="140"/>
    <n v="-40"/>
    <x v="794"/>
    <x v="5"/>
    <x v="68"/>
    <x v="2"/>
    <x v="1"/>
    <x v="2"/>
  </r>
  <r>
    <x v="3"/>
    <n v="100"/>
    <n v="4500"/>
    <x v="113"/>
    <x v="0"/>
    <n v="4"/>
    <n v="10"/>
    <n v="2004"/>
    <x v="1"/>
    <n v="140"/>
    <n v="-40"/>
    <x v="794"/>
    <x v="5"/>
    <x v="55"/>
    <x v="16"/>
    <x v="1"/>
    <x v="1"/>
  </r>
  <r>
    <x v="18"/>
    <n v="100"/>
    <n v="2600"/>
    <x v="45"/>
    <x v="0"/>
    <n v="4"/>
    <n v="11"/>
    <n v="2004"/>
    <x v="1"/>
    <n v="140"/>
    <n v="-40"/>
    <x v="794"/>
    <x v="5"/>
    <x v="18"/>
    <x v="0"/>
    <x v="0"/>
    <x v="1"/>
  </r>
  <r>
    <x v="15"/>
    <n v="100"/>
    <n v="2100"/>
    <x v="159"/>
    <x v="0"/>
    <n v="4"/>
    <n v="11"/>
    <n v="2004"/>
    <x v="1"/>
    <n v="140"/>
    <n v="-40"/>
    <x v="794"/>
    <x v="5"/>
    <x v="24"/>
    <x v="0"/>
    <x v="0"/>
    <x v="1"/>
  </r>
  <r>
    <x v="13"/>
    <n v="100"/>
    <n v="4200"/>
    <x v="20"/>
    <x v="0"/>
    <n v="4"/>
    <n v="11"/>
    <n v="2004"/>
    <x v="1"/>
    <n v="140"/>
    <n v="-40"/>
    <x v="794"/>
    <x v="5"/>
    <x v="8"/>
    <x v="3"/>
    <x v="2"/>
    <x v="1"/>
  </r>
  <r>
    <x v="22"/>
    <n v="100"/>
    <n v="3200"/>
    <x v="228"/>
    <x v="0"/>
    <n v="4"/>
    <n v="12"/>
    <n v="2004"/>
    <x v="1"/>
    <n v="140"/>
    <n v="-40"/>
    <x v="794"/>
    <x v="5"/>
    <x v="20"/>
    <x v="7"/>
    <x v="1"/>
    <x v="1"/>
  </r>
  <r>
    <x v="28"/>
    <n v="94.58"/>
    <n v="2931.98"/>
    <x v="115"/>
    <x v="0"/>
    <n v="1"/>
    <n v="1"/>
    <n v="2005"/>
    <x v="1"/>
    <n v="140"/>
    <n v="-45.42"/>
    <x v="795"/>
    <x v="5"/>
    <x v="59"/>
    <x v="4"/>
    <x v="1"/>
    <x v="0"/>
  </r>
  <r>
    <x v="29"/>
    <n v="53.27"/>
    <n v="1757.91"/>
    <x v="184"/>
    <x v="0"/>
    <n v="1"/>
    <n v="2"/>
    <n v="2005"/>
    <x v="1"/>
    <n v="140"/>
    <n v="-86.72999999999999"/>
    <x v="796"/>
    <x v="5"/>
    <x v="20"/>
    <x v="7"/>
    <x v="1"/>
    <x v="0"/>
  </r>
  <r>
    <x v="3"/>
    <n v="100"/>
    <n v="4500"/>
    <x v="162"/>
    <x v="0"/>
    <n v="1"/>
    <n v="3"/>
    <n v="2005"/>
    <x v="1"/>
    <n v="140"/>
    <n v="-40"/>
    <x v="794"/>
    <x v="5"/>
    <x v="33"/>
    <x v="0"/>
    <x v="0"/>
    <x v="1"/>
  </r>
  <r>
    <x v="43"/>
    <n v="100"/>
    <n v="7600"/>
    <x v="150"/>
    <x v="0"/>
    <n v="2"/>
    <n v="4"/>
    <n v="2005"/>
    <x v="1"/>
    <n v="140"/>
    <n v="-40"/>
    <x v="794"/>
    <x v="5"/>
    <x v="66"/>
    <x v="1"/>
    <x v="1"/>
    <x v="2"/>
  </r>
  <r>
    <x v="50"/>
    <n v="100"/>
    <n v="7000"/>
    <x v="116"/>
    <x v="0"/>
    <n v="2"/>
    <n v="5"/>
    <n v="2005"/>
    <x v="1"/>
    <n v="140"/>
    <n v="-40"/>
    <x v="794"/>
    <x v="5"/>
    <x v="16"/>
    <x v="5"/>
    <x v="1"/>
    <x v="2"/>
  </r>
  <r>
    <x v="24"/>
    <n v="64.83"/>
    <n v="3241.5"/>
    <x v="186"/>
    <x v="0"/>
    <n v="1"/>
    <n v="2"/>
    <n v="2003"/>
    <x v="4"/>
    <n v="68"/>
    <n v="-3.1700000000000017"/>
    <x v="797"/>
    <x v="4"/>
    <x v="69"/>
    <x v="12"/>
    <x v="1"/>
    <x v="1"/>
  </r>
  <r>
    <x v="11"/>
    <n v="70.290000000000006"/>
    <n v="1968.1200000000001"/>
    <x v="63"/>
    <x v="0"/>
    <n v="2"/>
    <n v="4"/>
    <n v="2003"/>
    <x v="4"/>
    <n v="68"/>
    <n v="2.2900000000000063"/>
    <x v="798"/>
    <x v="0"/>
    <x v="16"/>
    <x v="5"/>
    <x v="1"/>
    <x v="0"/>
  </r>
  <r>
    <x v="24"/>
    <n v="81.89"/>
    <n v="4094.5"/>
    <x v="187"/>
    <x v="0"/>
    <n v="2"/>
    <n v="6"/>
    <n v="2003"/>
    <x v="4"/>
    <n v="68"/>
    <n v="13.89"/>
    <x v="799"/>
    <x v="0"/>
    <x v="63"/>
    <x v="0"/>
    <x v="0"/>
    <x v="1"/>
  </r>
  <r>
    <x v="11"/>
    <n v="66.19"/>
    <n v="1853.32"/>
    <x v="65"/>
    <x v="0"/>
    <n v="3"/>
    <n v="8"/>
    <n v="2003"/>
    <x v="4"/>
    <n v="68"/>
    <n v="-1.8100000000000023"/>
    <x v="800"/>
    <x v="4"/>
    <x v="18"/>
    <x v="0"/>
    <x v="0"/>
    <x v="0"/>
  </r>
  <r>
    <x v="27"/>
    <n v="77.11"/>
    <n v="3392.84"/>
    <x v="66"/>
    <x v="0"/>
    <n v="4"/>
    <n v="10"/>
    <n v="2003"/>
    <x v="4"/>
    <n v="68"/>
    <n v="9.11"/>
    <x v="801"/>
    <x v="0"/>
    <x v="13"/>
    <x v="4"/>
    <x v="1"/>
    <x v="1"/>
  </r>
  <r>
    <x v="26"/>
    <n v="73.02"/>
    <n v="1971.54"/>
    <x v="5"/>
    <x v="0"/>
    <n v="4"/>
    <n v="10"/>
    <n v="2003"/>
    <x v="4"/>
    <n v="68"/>
    <n v="5.019999999999996"/>
    <x v="802"/>
    <x v="0"/>
    <x v="5"/>
    <x v="0"/>
    <x v="0"/>
    <x v="0"/>
  </r>
  <r>
    <x v="0"/>
    <n v="72.33"/>
    <n v="2169.9"/>
    <x v="68"/>
    <x v="0"/>
    <n v="4"/>
    <n v="11"/>
    <n v="2003"/>
    <x v="4"/>
    <n v="68"/>
    <n v="4.3299999999999983"/>
    <x v="803"/>
    <x v="0"/>
    <x v="42"/>
    <x v="1"/>
    <x v="1"/>
    <x v="0"/>
  </r>
  <r>
    <x v="30"/>
    <n v="66.19"/>
    <n v="2846.17"/>
    <x v="188"/>
    <x v="0"/>
    <n v="4"/>
    <n v="11"/>
    <n v="2003"/>
    <x v="4"/>
    <n v="68"/>
    <n v="-1.8100000000000023"/>
    <x v="800"/>
    <x v="4"/>
    <x v="53"/>
    <x v="15"/>
    <x v="2"/>
    <x v="0"/>
  </r>
  <r>
    <x v="6"/>
    <n v="69.599999999999994"/>
    <n v="2018.3999999999999"/>
    <x v="55"/>
    <x v="0"/>
    <n v="1"/>
    <n v="1"/>
    <n v="2004"/>
    <x v="4"/>
    <n v="68"/>
    <n v="1.5999999999999943"/>
    <x v="804"/>
    <x v="0"/>
    <x v="38"/>
    <x v="11"/>
    <x v="3"/>
    <x v="0"/>
  </r>
  <r>
    <x v="7"/>
    <n v="56.64"/>
    <n v="2718.7200000000003"/>
    <x v="72"/>
    <x v="0"/>
    <n v="1"/>
    <n v="2"/>
    <n v="2004"/>
    <x v="4"/>
    <n v="68"/>
    <n v="-11.36"/>
    <x v="805"/>
    <x v="6"/>
    <x v="45"/>
    <x v="0"/>
    <x v="0"/>
    <x v="0"/>
  </r>
  <r>
    <x v="29"/>
    <n v="60.05"/>
    <n v="1981.6499999999999"/>
    <x v="210"/>
    <x v="0"/>
    <n v="2"/>
    <n v="4"/>
    <n v="2004"/>
    <x v="4"/>
    <n v="68"/>
    <n v="-7.9500000000000028"/>
    <x v="806"/>
    <x v="1"/>
    <x v="47"/>
    <x v="10"/>
    <x v="0"/>
    <x v="0"/>
  </r>
  <r>
    <x v="23"/>
    <n v="75.06"/>
    <n v="3002.4"/>
    <x v="189"/>
    <x v="0"/>
    <n v="2"/>
    <n v="5"/>
    <n v="2004"/>
    <x v="4"/>
    <n v="68"/>
    <n v="7.0600000000000023"/>
    <x v="807"/>
    <x v="0"/>
    <x v="51"/>
    <x v="0"/>
    <x v="0"/>
    <x v="1"/>
  </r>
  <r>
    <x v="7"/>
    <n v="61.42"/>
    <n v="2948.16"/>
    <x v="190"/>
    <x v="3"/>
    <n v="2"/>
    <n v="6"/>
    <n v="2004"/>
    <x v="4"/>
    <n v="68"/>
    <n v="-6.5799999999999983"/>
    <x v="808"/>
    <x v="3"/>
    <x v="20"/>
    <x v="7"/>
    <x v="1"/>
    <x v="0"/>
  </r>
  <r>
    <x v="2"/>
    <n v="81.89"/>
    <n v="3357.4900000000002"/>
    <x v="14"/>
    <x v="0"/>
    <n v="3"/>
    <n v="7"/>
    <n v="2004"/>
    <x v="4"/>
    <n v="68"/>
    <n v="13.89"/>
    <x v="799"/>
    <x v="0"/>
    <x v="11"/>
    <x v="1"/>
    <x v="1"/>
    <x v="1"/>
  </r>
  <r>
    <x v="15"/>
    <n v="55.96"/>
    <n v="1175.1600000000001"/>
    <x v="191"/>
    <x v="0"/>
    <n v="3"/>
    <n v="8"/>
    <n v="2004"/>
    <x v="4"/>
    <n v="68"/>
    <n v="-12.04"/>
    <x v="666"/>
    <x v="6"/>
    <x v="68"/>
    <x v="2"/>
    <x v="1"/>
    <x v="0"/>
  </r>
  <r>
    <x v="22"/>
    <n v="71.650000000000006"/>
    <n v="2292.8000000000002"/>
    <x v="192"/>
    <x v="0"/>
    <n v="3"/>
    <n v="9"/>
    <n v="2004"/>
    <x v="4"/>
    <n v="68"/>
    <n v="3.6500000000000057"/>
    <x v="809"/>
    <x v="0"/>
    <x v="71"/>
    <x v="16"/>
    <x v="1"/>
    <x v="0"/>
  </r>
  <r>
    <x v="30"/>
    <n v="76.430000000000007"/>
    <n v="3286.4900000000002"/>
    <x v="17"/>
    <x v="0"/>
    <n v="4"/>
    <n v="10"/>
    <n v="2004"/>
    <x v="4"/>
    <n v="68"/>
    <n v="8.4300000000000068"/>
    <x v="810"/>
    <x v="0"/>
    <x v="39"/>
    <x v="0"/>
    <x v="0"/>
    <x v="1"/>
  </r>
  <r>
    <x v="0"/>
    <n v="77.790000000000006"/>
    <n v="2333.7000000000003"/>
    <x v="79"/>
    <x v="0"/>
    <n v="4"/>
    <n v="11"/>
    <n v="2004"/>
    <x v="4"/>
    <n v="68"/>
    <n v="9.7900000000000063"/>
    <x v="811"/>
    <x v="0"/>
    <x v="49"/>
    <x v="6"/>
    <x v="1"/>
    <x v="0"/>
  </r>
  <r>
    <x v="21"/>
    <n v="76.430000000000007"/>
    <n v="2675.05"/>
    <x v="233"/>
    <x v="0"/>
    <n v="4"/>
    <n v="11"/>
    <n v="2004"/>
    <x v="4"/>
    <n v="68"/>
    <n v="8.4300000000000068"/>
    <x v="810"/>
    <x v="0"/>
    <x v="69"/>
    <x v="12"/>
    <x v="1"/>
    <x v="0"/>
  </r>
  <r>
    <x v="3"/>
    <n v="96.92"/>
    <n v="4361.3999999999996"/>
    <x v="58"/>
    <x v="0"/>
    <n v="4"/>
    <n v="11"/>
    <n v="2004"/>
    <x v="4"/>
    <n v="68"/>
    <n v="28.92"/>
    <x v="812"/>
    <x v="0"/>
    <x v="29"/>
    <x v="11"/>
    <x v="3"/>
    <x v="1"/>
  </r>
  <r>
    <x v="1"/>
    <n v="59.37"/>
    <n v="2018.58"/>
    <x v="195"/>
    <x v="0"/>
    <n v="4"/>
    <n v="12"/>
    <n v="2004"/>
    <x v="4"/>
    <n v="68"/>
    <n v="-8.6300000000000026"/>
    <x v="813"/>
    <x v="1"/>
    <x v="41"/>
    <x v="6"/>
    <x v="1"/>
    <x v="0"/>
  </r>
  <r>
    <x v="18"/>
    <n v="100"/>
    <n v="2600"/>
    <x v="21"/>
    <x v="0"/>
    <n v="4"/>
    <n v="12"/>
    <n v="2004"/>
    <x v="4"/>
    <n v="68"/>
    <n v="32"/>
    <x v="664"/>
    <x v="0"/>
    <x v="17"/>
    <x v="3"/>
    <x v="2"/>
    <x v="1"/>
  </r>
  <r>
    <x v="25"/>
    <n v="73"/>
    <n v="2847"/>
    <x v="84"/>
    <x v="0"/>
    <n v="1"/>
    <n v="1"/>
    <n v="2005"/>
    <x v="4"/>
    <n v="68"/>
    <n v="5"/>
    <x v="814"/>
    <x v="0"/>
    <x v="50"/>
    <x v="4"/>
    <x v="1"/>
    <x v="0"/>
  </r>
  <r>
    <x v="2"/>
    <n v="73.319999999999993"/>
    <n v="3006.12"/>
    <x v="196"/>
    <x v="5"/>
    <n v="1"/>
    <n v="3"/>
    <n v="2005"/>
    <x v="4"/>
    <n v="68"/>
    <n v="5.3199999999999932"/>
    <x v="815"/>
    <x v="0"/>
    <x v="20"/>
    <x v="7"/>
    <x v="1"/>
    <x v="1"/>
  </r>
  <r>
    <x v="2"/>
    <n v="68.239999999999995"/>
    <n v="2797.8399999999997"/>
    <x v="197"/>
    <x v="0"/>
    <n v="1"/>
    <n v="3"/>
    <n v="2005"/>
    <x v="4"/>
    <n v="68"/>
    <n v="0.23999999999999488"/>
    <x v="816"/>
    <x v="2"/>
    <x v="1"/>
    <x v="1"/>
    <x v="1"/>
    <x v="0"/>
  </r>
  <r>
    <x v="33"/>
    <n v="60.05"/>
    <n v="3843.2"/>
    <x v="213"/>
    <x v="4"/>
    <n v="2"/>
    <n v="4"/>
    <n v="2005"/>
    <x v="4"/>
    <n v="68"/>
    <n v="-7.9500000000000028"/>
    <x v="806"/>
    <x v="1"/>
    <x v="9"/>
    <x v="0"/>
    <x v="0"/>
    <x v="1"/>
  </r>
  <r>
    <x v="52"/>
    <n v="75.06"/>
    <n v="1351.08"/>
    <x v="198"/>
    <x v="0"/>
    <n v="2"/>
    <n v="5"/>
    <n v="2005"/>
    <x v="4"/>
    <n v="68"/>
    <n v="7.0600000000000023"/>
    <x v="807"/>
    <x v="0"/>
    <x v="57"/>
    <x v="12"/>
    <x v="1"/>
    <x v="0"/>
  </r>
  <r>
    <x v="4"/>
    <n v="34.47"/>
    <n v="1689.03"/>
    <x v="199"/>
    <x v="0"/>
    <n v="1"/>
    <n v="1"/>
    <n v="2003"/>
    <x v="3"/>
    <n v="41"/>
    <n v="-6.5300000000000011"/>
    <x v="817"/>
    <x v="6"/>
    <x v="34"/>
    <x v="0"/>
    <x v="0"/>
    <x v="0"/>
  </r>
  <r>
    <x v="7"/>
    <n v="34.47"/>
    <n v="1654.56"/>
    <x v="178"/>
    <x v="0"/>
    <n v="1"/>
    <n v="3"/>
    <n v="2003"/>
    <x v="3"/>
    <n v="41"/>
    <n v="-6.5300000000000011"/>
    <x v="817"/>
    <x v="6"/>
    <x v="61"/>
    <x v="6"/>
    <x v="1"/>
    <x v="0"/>
  </r>
  <r>
    <x v="12"/>
    <n v="33.229999999999997"/>
    <n v="1528.58"/>
    <x v="166"/>
    <x v="0"/>
    <n v="2"/>
    <n v="5"/>
    <n v="2003"/>
    <x v="3"/>
    <n v="41"/>
    <n v="-7.7700000000000031"/>
    <x v="818"/>
    <x v="6"/>
    <x v="67"/>
    <x v="0"/>
    <x v="0"/>
    <x v="0"/>
  </r>
  <r>
    <x v="18"/>
    <n v="38.979999999999997"/>
    <n v="1013.4799999999999"/>
    <x v="168"/>
    <x v="0"/>
    <n v="3"/>
    <n v="9"/>
    <n v="2003"/>
    <x v="3"/>
    <n v="41"/>
    <n v="-2.0200000000000031"/>
    <x v="819"/>
    <x v="4"/>
    <x v="65"/>
    <x v="0"/>
    <x v="0"/>
    <x v="0"/>
  </r>
  <r>
    <x v="9"/>
    <n v="38.979999999999997"/>
    <n v="1442.26"/>
    <x v="169"/>
    <x v="0"/>
    <n v="4"/>
    <n v="10"/>
    <n v="2003"/>
    <x v="3"/>
    <n v="41"/>
    <n v="-2.0200000000000031"/>
    <x v="819"/>
    <x v="4"/>
    <x v="4"/>
    <x v="0"/>
    <x v="0"/>
    <x v="0"/>
  </r>
  <r>
    <x v="21"/>
    <n v="33.229999999999997"/>
    <n v="1163.05"/>
    <x v="155"/>
    <x v="0"/>
    <n v="4"/>
    <n v="11"/>
    <n v="2003"/>
    <x v="3"/>
    <n v="41"/>
    <n v="-7.7700000000000031"/>
    <x v="818"/>
    <x v="6"/>
    <x v="69"/>
    <x v="12"/>
    <x v="1"/>
    <x v="0"/>
  </r>
  <r>
    <x v="10"/>
    <n v="42.26"/>
    <n v="971.9799999999999"/>
    <x v="103"/>
    <x v="0"/>
    <n v="4"/>
    <n v="11"/>
    <n v="2003"/>
    <x v="3"/>
    <n v="41"/>
    <n v="1.259999999999998"/>
    <x v="820"/>
    <x v="0"/>
    <x v="33"/>
    <x v="0"/>
    <x v="0"/>
    <x v="0"/>
  </r>
  <r>
    <x v="8"/>
    <n v="41.03"/>
    <n v="902.66000000000008"/>
    <x v="170"/>
    <x v="0"/>
    <n v="4"/>
    <n v="11"/>
    <n v="2003"/>
    <x v="3"/>
    <n v="41"/>
    <n v="3.0000000000001137E-2"/>
    <x v="821"/>
    <x v="2"/>
    <x v="70"/>
    <x v="3"/>
    <x v="2"/>
    <x v="0"/>
  </r>
  <r>
    <x v="25"/>
    <n v="33.229999999999997"/>
    <n v="1295.9699999999998"/>
    <x v="105"/>
    <x v="0"/>
    <n v="4"/>
    <n v="12"/>
    <n v="2003"/>
    <x v="3"/>
    <n v="41"/>
    <n v="-7.7700000000000031"/>
    <x v="818"/>
    <x v="6"/>
    <x v="0"/>
    <x v="0"/>
    <x v="0"/>
    <x v="0"/>
  </r>
  <r>
    <x v="27"/>
    <n v="34.880000000000003"/>
    <n v="1534.72"/>
    <x v="200"/>
    <x v="0"/>
    <n v="1"/>
    <n v="1"/>
    <n v="2004"/>
    <x v="3"/>
    <n v="41"/>
    <n v="-6.1199999999999974"/>
    <x v="822"/>
    <x v="1"/>
    <x v="20"/>
    <x v="7"/>
    <x v="1"/>
    <x v="0"/>
  </r>
  <r>
    <x v="26"/>
    <n v="43.9"/>
    <n v="1185.3"/>
    <x v="172"/>
    <x v="0"/>
    <n v="1"/>
    <n v="3"/>
    <n v="2004"/>
    <x v="3"/>
    <n v="41"/>
    <n v="2.8999999999999986"/>
    <x v="823"/>
    <x v="0"/>
    <x v="25"/>
    <x v="1"/>
    <x v="1"/>
    <x v="0"/>
  </r>
  <r>
    <x v="12"/>
    <n v="36.93"/>
    <n v="1698.78"/>
    <x v="245"/>
    <x v="0"/>
    <n v="2"/>
    <n v="4"/>
    <n v="2004"/>
    <x v="3"/>
    <n v="41"/>
    <n v="-4.07"/>
    <x v="824"/>
    <x v="3"/>
    <x v="0"/>
    <x v="0"/>
    <x v="0"/>
    <x v="0"/>
  </r>
  <r>
    <x v="29"/>
    <n v="41.85"/>
    <n v="1381.05"/>
    <x v="41"/>
    <x v="0"/>
    <n v="3"/>
    <n v="8"/>
    <n v="2004"/>
    <x v="3"/>
    <n v="41"/>
    <n v="0.85000000000000142"/>
    <x v="825"/>
    <x v="0"/>
    <x v="30"/>
    <x v="12"/>
    <x v="1"/>
    <x v="0"/>
  </r>
  <r>
    <x v="29"/>
    <n v="40.619999999999997"/>
    <n v="1340.4599999999998"/>
    <x v="182"/>
    <x v="0"/>
    <n v="3"/>
    <n v="9"/>
    <n v="2004"/>
    <x v="3"/>
    <n v="41"/>
    <n v="-0.38000000000000256"/>
    <x v="826"/>
    <x v="4"/>
    <x v="22"/>
    <x v="9"/>
    <x v="2"/>
    <x v="0"/>
  </r>
  <r>
    <x v="16"/>
    <n v="40.21"/>
    <n v="965.04"/>
    <x v="204"/>
    <x v="0"/>
    <n v="4"/>
    <n v="10"/>
    <n v="2004"/>
    <x v="3"/>
    <n v="41"/>
    <n v="-0.78999999999999915"/>
    <x v="827"/>
    <x v="4"/>
    <x v="64"/>
    <x v="7"/>
    <x v="1"/>
    <x v="0"/>
  </r>
  <r>
    <x v="28"/>
    <n v="35.29"/>
    <n v="1093.99"/>
    <x v="44"/>
    <x v="0"/>
    <n v="4"/>
    <n v="10"/>
    <n v="2004"/>
    <x v="3"/>
    <n v="41"/>
    <n v="-5.7100000000000009"/>
    <x v="828"/>
    <x v="1"/>
    <x v="33"/>
    <x v="0"/>
    <x v="0"/>
    <x v="0"/>
  </r>
  <r>
    <x v="2"/>
    <n v="77.239999999999995"/>
    <n v="3166.8399999999997"/>
    <x v="159"/>
    <x v="0"/>
    <n v="4"/>
    <n v="11"/>
    <n v="2004"/>
    <x v="3"/>
    <n v="41"/>
    <n v="36.239999999999995"/>
    <x v="829"/>
    <x v="0"/>
    <x v="61"/>
    <x v="6"/>
    <x v="1"/>
    <x v="1"/>
  </r>
  <r>
    <x v="8"/>
    <n v="97.44"/>
    <n v="2143.6799999999998"/>
    <x v="47"/>
    <x v="0"/>
    <n v="4"/>
    <n v="11"/>
    <n v="2004"/>
    <x v="3"/>
    <n v="41"/>
    <n v="56.44"/>
    <x v="830"/>
    <x v="0"/>
    <x v="67"/>
    <x v="0"/>
    <x v="0"/>
    <x v="0"/>
  </r>
  <r>
    <x v="12"/>
    <n v="37.340000000000003"/>
    <n v="1717.64"/>
    <x v="241"/>
    <x v="0"/>
    <n v="1"/>
    <n v="1"/>
    <n v="2005"/>
    <x v="3"/>
    <n v="41"/>
    <n v="-3.6599999999999966"/>
    <x v="831"/>
    <x v="3"/>
    <x v="33"/>
    <x v="0"/>
    <x v="0"/>
    <x v="0"/>
  </r>
  <r>
    <x v="30"/>
    <n v="95.03"/>
    <n v="4086.29"/>
    <x v="176"/>
    <x v="0"/>
    <n v="1"/>
    <n v="2"/>
    <n v="2005"/>
    <x v="3"/>
    <n v="41"/>
    <n v="54.03"/>
    <x v="832"/>
    <x v="0"/>
    <x v="20"/>
    <x v="7"/>
    <x v="1"/>
    <x v="1"/>
  </r>
  <r>
    <x v="45"/>
    <n v="36.93"/>
    <n v="553.95000000000005"/>
    <x v="185"/>
    <x v="0"/>
    <n v="2"/>
    <n v="4"/>
    <n v="2005"/>
    <x v="3"/>
    <n v="41"/>
    <n v="-4.07"/>
    <x v="824"/>
    <x v="3"/>
    <x v="29"/>
    <x v="11"/>
    <x v="3"/>
    <x v="0"/>
  </r>
  <r>
    <x v="45"/>
    <n v="43.49"/>
    <n v="652.35"/>
    <x v="202"/>
    <x v="2"/>
    <n v="2"/>
    <n v="5"/>
    <n v="2005"/>
    <x v="3"/>
    <n v="41"/>
    <n v="2.490000000000002"/>
    <x v="833"/>
    <x v="0"/>
    <x v="17"/>
    <x v="3"/>
    <x v="2"/>
    <x v="0"/>
  </r>
  <r>
    <x v="18"/>
    <n v="100"/>
    <n v="2600"/>
    <x v="134"/>
    <x v="0"/>
    <n v="1"/>
    <n v="1"/>
    <n v="2003"/>
    <x v="1"/>
    <n v="118"/>
    <n v="-18"/>
    <x v="15"/>
    <x v="1"/>
    <x v="20"/>
    <x v="7"/>
    <x v="1"/>
    <x v="0"/>
  </r>
  <r>
    <x v="27"/>
    <n v="100"/>
    <n v="4400"/>
    <x v="143"/>
    <x v="0"/>
    <n v="2"/>
    <n v="4"/>
    <n v="2003"/>
    <x v="1"/>
    <n v="118"/>
    <n v="-18"/>
    <x v="15"/>
    <x v="1"/>
    <x v="0"/>
    <x v="0"/>
    <x v="0"/>
    <x v="1"/>
  </r>
  <r>
    <x v="14"/>
    <n v="96.99"/>
    <n v="1939.8"/>
    <x v="118"/>
    <x v="0"/>
    <n v="2"/>
    <n v="6"/>
    <n v="2003"/>
    <x v="1"/>
    <n v="118"/>
    <n v="-21.010000000000005"/>
    <x v="834"/>
    <x v="6"/>
    <x v="0"/>
    <x v="0"/>
    <x v="0"/>
    <x v="0"/>
  </r>
  <r>
    <x v="23"/>
    <n v="94.62"/>
    <n v="3784.8"/>
    <x v="144"/>
    <x v="0"/>
    <n v="3"/>
    <n v="8"/>
    <n v="2003"/>
    <x v="1"/>
    <n v="118"/>
    <n v="-23.379999999999995"/>
    <x v="835"/>
    <x v="6"/>
    <x v="59"/>
    <x v="4"/>
    <x v="1"/>
    <x v="1"/>
  </r>
  <r>
    <x v="10"/>
    <n v="100"/>
    <n v="2300"/>
    <x v="235"/>
    <x v="0"/>
    <n v="3"/>
    <n v="9"/>
    <n v="2003"/>
    <x v="1"/>
    <n v="118"/>
    <n v="-18"/>
    <x v="15"/>
    <x v="1"/>
    <x v="23"/>
    <x v="3"/>
    <x v="2"/>
    <x v="0"/>
  </r>
  <r>
    <x v="16"/>
    <n v="99.36"/>
    <n v="2384.64"/>
    <x v="121"/>
    <x v="0"/>
    <n v="4"/>
    <n v="10"/>
    <n v="2003"/>
    <x v="1"/>
    <n v="118"/>
    <n v="-18.64"/>
    <x v="836"/>
    <x v="6"/>
    <x v="22"/>
    <x v="9"/>
    <x v="2"/>
    <x v="0"/>
  </r>
  <r>
    <x v="6"/>
    <n v="100"/>
    <n v="2900"/>
    <x v="32"/>
    <x v="0"/>
    <n v="4"/>
    <n v="11"/>
    <n v="2003"/>
    <x v="1"/>
    <n v="118"/>
    <n v="-18"/>
    <x v="15"/>
    <x v="1"/>
    <x v="57"/>
    <x v="12"/>
    <x v="1"/>
    <x v="0"/>
  </r>
  <r>
    <x v="4"/>
    <n v="100"/>
    <n v="4900"/>
    <x v="69"/>
    <x v="0"/>
    <n v="4"/>
    <n v="11"/>
    <n v="2003"/>
    <x v="1"/>
    <n v="118"/>
    <n v="-18"/>
    <x v="15"/>
    <x v="1"/>
    <x v="64"/>
    <x v="7"/>
    <x v="1"/>
    <x v="1"/>
  </r>
  <r>
    <x v="1"/>
    <n v="100"/>
    <n v="3400"/>
    <x v="34"/>
    <x v="0"/>
    <n v="4"/>
    <n v="11"/>
    <n v="2003"/>
    <x v="1"/>
    <n v="118"/>
    <n v="-18"/>
    <x v="15"/>
    <x v="1"/>
    <x v="39"/>
    <x v="0"/>
    <x v="0"/>
    <x v="1"/>
  </r>
  <r>
    <x v="11"/>
    <n v="100"/>
    <n v="2800"/>
    <x v="91"/>
    <x v="0"/>
    <n v="4"/>
    <n v="12"/>
    <n v="2003"/>
    <x v="1"/>
    <n v="118"/>
    <n v="-18"/>
    <x v="15"/>
    <x v="1"/>
    <x v="48"/>
    <x v="0"/>
    <x v="0"/>
    <x v="0"/>
  </r>
  <r>
    <x v="9"/>
    <n v="100"/>
    <n v="3700"/>
    <x v="123"/>
    <x v="0"/>
    <n v="1"/>
    <n v="2"/>
    <n v="2004"/>
    <x v="1"/>
    <n v="118"/>
    <n v="-18"/>
    <x v="15"/>
    <x v="1"/>
    <x v="60"/>
    <x v="18"/>
    <x v="1"/>
    <x v="1"/>
  </r>
  <r>
    <x v="3"/>
    <n v="100"/>
    <n v="4500"/>
    <x v="135"/>
    <x v="0"/>
    <n v="1"/>
    <n v="3"/>
    <n v="2004"/>
    <x v="1"/>
    <n v="118"/>
    <n v="-18"/>
    <x v="15"/>
    <x v="1"/>
    <x v="58"/>
    <x v="16"/>
    <x v="1"/>
    <x v="1"/>
  </r>
  <r>
    <x v="12"/>
    <n v="100"/>
    <n v="4600"/>
    <x v="125"/>
    <x v="0"/>
    <n v="2"/>
    <n v="5"/>
    <n v="2004"/>
    <x v="1"/>
    <n v="118"/>
    <n v="-18"/>
    <x v="15"/>
    <x v="1"/>
    <x v="20"/>
    <x v="7"/>
    <x v="1"/>
    <x v="1"/>
  </r>
  <r>
    <x v="8"/>
    <n v="100"/>
    <n v="2200"/>
    <x v="126"/>
    <x v="0"/>
    <n v="3"/>
    <n v="7"/>
    <n v="2004"/>
    <x v="1"/>
    <n v="118"/>
    <n v="-18"/>
    <x v="15"/>
    <x v="1"/>
    <x v="33"/>
    <x v="0"/>
    <x v="0"/>
    <x v="1"/>
  </r>
  <r>
    <x v="25"/>
    <n v="100"/>
    <n v="3900"/>
    <x v="76"/>
    <x v="0"/>
    <n v="3"/>
    <n v="8"/>
    <n v="2004"/>
    <x v="1"/>
    <n v="118"/>
    <n v="-18"/>
    <x v="15"/>
    <x v="1"/>
    <x v="33"/>
    <x v="0"/>
    <x v="0"/>
    <x v="1"/>
  </r>
  <r>
    <x v="26"/>
    <n v="100"/>
    <n v="2700"/>
    <x v="42"/>
    <x v="0"/>
    <n v="3"/>
    <n v="9"/>
    <n v="2004"/>
    <x v="1"/>
    <n v="118"/>
    <n v="-18"/>
    <x v="15"/>
    <x v="1"/>
    <x v="0"/>
    <x v="0"/>
    <x v="0"/>
    <x v="1"/>
  </r>
  <r>
    <x v="5"/>
    <n v="100"/>
    <n v="3600"/>
    <x v="95"/>
    <x v="0"/>
    <n v="4"/>
    <n v="10"/>
    <n v="2004"/>
    <x v="1"/>
    <n v="118"/>
    <n v="-18"/>
    <x v="15"/>
    <x v="1"/>
    <x v="12"/>
    <x v="0"/>
    <x v="0"/>
    <x v="1"/>
  </r>
  <r>
    <x v="19"/>
    <n v="100"/>
    <n v="3800"/>
    <x v="96"/>
    <x v="0"/>
    <n v="4"/>
    <n v="10"/>
    <n v="2004"/>
    <x v="1"/>
    <n v="118"/>
    <n v="-18"/>
    <x v="15"/>
    <x v="1"/>
    <x v="62"/>
    <x v="13"/>
    <x v="1"/>
    <x v="1"/>
  </r>
  <r>
    <x v="27"/>
    <n v="100"/>
    <n v="4400"/>
    <x v="80"/>
    <x v="0"/>
    <n v="4"/>
    <n v="11"/>
    <n v="2004"/>
    <x v="1"/>
    <n v="118"/>
    <n v="-18"/>
    <x v="15"/>
    <x v="1"/>
    <x v="14"/>
    <x v="2"/>
    <x v="1"/>
    <x v="1"/>
  </r>
  <r>
    <x v="28"/>
    <n v="100"/>
    <n v="3100"/>
    <x v="128"/>
    <x v="0"/>
    <n v="4"/>
    <n v="11"/>
    <n v="2004"/>
    <x v="1"/>
    <n v="118"/>
    <n v="-18"/>
    <x v="15"/>
    <x v="1"/>
    <x v="2"/>
    <x v="1"/>
    <x v="1"/>
    <x v="1"/>
  </r>
  <r>
    <x v="10"/>
    <n v="100"/>
    <n v="2300"/>
    <x v="140"/>
    <x v="0"/>
    <n v="4"/>
    <n v="12"/>
    <n v="2004"/>
    <x v="1"/>
    <n v="118"/>
    <n v="-18"/>
    <x v="15"/>
    <x v="1"/>
    <x v="0"/>
    <x v="0"/>
    <x v="0"/>
    <x v="1"/>
  </r>
  <r>
    <x v="8"/>
    <n v="100"/>
    <n v="2200"/>
    <x v="83"/>
    <x v="0"/>
    <n v="4"/>
    <n v="12"/>
    <n v="2004"/>
    <x v="1"/>
    <n v="118"/>
    <n v="-18"/>
    <x v="15"/>
    <x v="1"/>
    <x v="1"/>
    <x v="1"/>
    <x v="1"/>
    <x v="0"/>
  </r>
  <r>
    <x v="11"/>
    <n v="50.32"/>
    <n v="1408.96"/>
    <x v="129"/>
    <x v="0"/>
    <n v="1"/>
    <n v="1"/>
    <n v="2005"/>
    <x v="1"/>
    <n v="118"/>
    <n v="-67.680000000000007"/>
    <x v="837"/>
    <x v="5"/>
    <x v="33"/>
    <x v="0"/>
    <x v="0"/>
    <x v="0"/>
  </r>
  <r>
    <x v="15"/>
    <n v="93.91"/>
    <n v="1972.11"/>
    <x v="205"/>
    <x v="0"/>
    <n v="1"/>
    <n v="2"/>
    <n v="2005"/>
    <x v="1"/>
    <n v="118"/>
    <n v="-24.090000000000003"/>
    <x v="838"/>
    <x v="6"/>
    <x v="20"/>
    <x v="7"/>
    <x v="1"/>
    <x v="0"/>
  </r>
  <r>
    <x v="9"/>
    <n v="100"/>
    <n v="3700"/>
    <x v="222"/>
    <x v="0"/>
    <n v="1"/>
    <n v="3"/>
    <n v="2005"/>
    <x v="1"/>
    <n v="118"/>
    <n v="-18"/>
    <x v="15"/>
    <x v="1"/>
    <x v="20"/>
    <x v="7"/>
    <x v="1"/>
    <x v="1"/>
  </r>
  <r>
    <x v="28"/>
    <n v="100"/>
    <n v="3100"/>
    <x v="147"/>
    <x v="0"/>
    <n v="2"/>
    <n v="5"/>
    <n v="2005"/>
    <x v="1"/>
    <n v="118"/>
    <n v="-18"/>
    <x v="15"/>
    <x v="1"/>
    <x v="20"/>
    <x v="7"/>
    <x v="1"/>
    <x v="1"/>
  </r>
  <r>
    <x v="32"/>
    <n v="100"/>
    <n v="2500"/>
    <x v="26"/>
    <x v="0"/>
    <n v="1"/>
    <n v="1"/>
    <n v="2003"/>
    <x v="3"/>
    <n v="97"/>
    <n v="3"/>
    <x v="839"/>
    <x v="0"/>
    <x v="14"/>
    <x v="2"/>
    <x v="1"/>
    <x v="0"/>
  </r>
  <r>
    <x v="18"/>
    <n v="86.68"/>
    <n v="2253.6800000000003"/>
    <x v="165"/>
    <x v="0"/>
    <n v="1"/>
    <n v="3"/>
    <n v="2003"/>
    <x v="3"/>
    <n v="97"/>
    <n v="-10.319999999999993"/>
    <x v="840"/>
    <x v="1"/>
    <x v="4"/>
    <x v="0"/>
    <x v="0"/>
    <x v="0"/>
  </r>
  <r>
    <x v="1"/>
    <n v="100"/>
    <n v="3400"/>
    <x v="28"/>
    <x v="0"/>
    <n v="2"/>
    <n v="5"/>
    <n v="2003"/>
    <x v="3"/>
    <n v="97"/>
    <n v="3"/>
    <x v="839"/>
    <x v="0"/>
    <x v="20"/>
    <x v="7"/>
    <x v="1"/>
    <x v="1"/>
  </r>
  <r>
    <x v="6"/>
    <n v="100"/>
    <n v="2900"/>
    <x v="167"/>
    <x v="0"/>
    <n v="3"/>
    <n v="7"/>
    <n v="2003"/>
    <x v="3"/>
    <n v="97"/>
    <n v="3"/>
    <x v="839"/>
    <x v="0"/>
    <x v="17"/>
    <x v="3"/>
    <x v="2"/>
    <x v="1"/>
  </r>
  <r>
    <x v="14"/>
    <n v="90.57"/>
    <n v="1811.3999999999999"/>
    <x v="168"/>
    <x v="0"/>
    <n v="3"/>
    <n v="9"/>
    <n v="2003"/>
    <x v="3"/>
    <n v="97"/>
    <n v="-6.4300000000000068"/>
    <x v="841"/>
    <x v="3"/>
    <x v="65"/>
    <x v="0"/>
    <x v="0"/>
    <x v="0"/>
  </r>
  <r>
    <x v="13"/>
    <n v="91.55"/>
    <n v="3845.1"/>
    <x v="31"/>
    <x v="0"/>
    <n v="4"/>
    <n v="10"/>
    <n v="2003"/>
    <x v="3"/>
    <n v="97"/>
    <n v="-5.4500000000000028"/>
    <x v="842"/>
    <x v="3"/>
    <x v="0"/>
    <x v="0"/>
    <x v="0"/>
    <x v="1"/>
  </r>
  <r>
    <x v="8"/>
    <n v="100"/>
    <n v="2200"/>
    <x v="155"/>
    <x v="0"/>
    <n v="4"/>
    <n v="11"/>
    <n v="2003"/>
    <x v="3"/>
    <n v="97"/>
    <n v="3"/>
    <x v="839"/>
    <x v="0"/>
    <x v="69"/>
    <x v="12"/>
    <x v="1"/>
    <x v="0"/>
  </r>
  <r>
    <x v="20"/>
    <n v="100"/>
    <n v="4700"/>
    <x v="33"/>
    <x v="0"/>
    <n v="4"/>
    <n v="11"/>
    <n v="2003"/>
    <x v="3"/>
    <n v="97"/>
    <n v="3"/>
    <x v="839"/>
    <x v="0"/>
    <x v="24"/>
    <x v="0"/>
    <x v="0"/>
    <x v="1"/>
  </r>
  <r>
    <x v="14"/>
    <n v="100"/>
    <n v="2000"/>
    <x v="170"/>
    <x v="0"/>
    <n v="4"/>
    <n v="11"/>
    <n v="2003"/>
    <x v="3"/>
    <n v="97"/>
    <n v="3"/>
    <x v="839"/>
    <x v="0"/>
    <x v="70"/>
    <x v="3"/>
    <x v="2"/>
    <x v="0"/>
  </r>
  <r>
    <x v="29"/>
    <n v="97.39"/>
    <n v="3213.87"/>
    <x v="35"/>
    <x v="0"/>
    <n v="4"/>
    <n v="12"/>
    <n v="2003"/>
    <x v="3"/>
    <n v="97"/>
    <n v="0.39000000000000057"/>
    <x v="843"/>
    <x v="2"/>
    <x v="26"/>
    <x v="10"/>
    <x v="0"/>
    <x v="1"/>
  </r>
  <r>
    <x v="25"/>
    <n v="90.57"/>
    <n v="3532.2299999999996"/>
    <x v="36"/>
    <x v="0"/>
    <n v="1"/>
    <n v="1"/>
    <n v="2004"/>
    <x v="3"/>
    <n v="97"/>
    <n v="-6.4300000000000068"/>
    <x v="841"/>
    <x v="3"/>
    <x v="27"/>
    <x v="0"/>
    <x v="0"/>
    <x v="1"/>
  </r>
  <r>
    <x v="29"/>
    <n v="100"/>
    <n v="3300"/>
    <x v="37"/>
    <x v="0"/>
    <n v="1"/>
    <n v="3"/>
    <n v="2004"/>
    <x v="3"/>
    <n v="97"/>
    <n v="3"/>
    <x v="839"/>
    <x v="0"/>
    <x v="12"/>
    <x v="0"/>
    <x v="0"/>
    <x v="1"/>
  </r>
  <r>
    <x v="23"/>
    <n v="86.68"/>
    <n v="3467.2000000000003"/>
    <x v="173"/>
    <x v="0"/>
    <n v="2"/>
    <n v="4"/>
    <n v="2004"/>
    <x v="3"/>
    <n v="97"/>
    <n v="-10.319999999999993"/>
    <x v="840"/>
    <x v="1"/>
    <x v="20"/>
    <x v="7"/>
    <x v="1"/>
    <x v="1"/>
  </r>
  <r>
    <x v="12"/>
    <n v="78.89"/>
    <n v="3628.94"/>
    <x v="215"/>
    <x v="0"/>
    <n v="2"/>
    <n v="6"/>
    <n v="2004"/>
    <x v="3"/>
    <n v="97"/>
    <n v="-18.11"/>
    <x v="844"/>
    <x v="6"/>
    <x v="51"/>
    <x v="0"/>
    <x v="0"/>
    <x v="1"/>
  </r>
  <r>
    <x v="7"/>
    <n v="97.39"/>
    <n v="4674.72"/>
    <x v="216"/>
    <x v="0"/>
    <n v="3"/>
    <n v="7"/>
    <n v="2004"/>
    <x v="3"/>
    <n v="97"/>
    <n v="0.39000000000000057"/>
    <x v="843"/>
    <x v="2"/>
    <x v="16"/>
    <x v="5"/>
    <x v="1"/>
    <x v="1"/>
  </r>
  <r>
    <x v="15"/>
    <n v="78.89"/>
    <n v="1656.69"/>
    <x v="41"/>
    <x v="0"/>
    <n v="3"/>
    <n v="8"/>
    <n v="2004"/>
    <x v="3"/>
    <n v="97"/>
    <n v="-18.11"/>
    <x v="844"/>
    <x v="6"/>
    <x v="30"/>
    <x v="12"/>
    <x v="1"/>
    <x v="0"/>
  </r>
  <r>
    <x v="3"/>
    <n v="100"/>
    <n v="4500"/>
    <x v="226"/>
    <x v="0"/>
    <n v="3"/>
    <n v="9"/>
    <n v="2004"/>
    <x v="3"/>
    <n v="97"/>
    <n v="3"/>
    <x v="839"/>
    <x v="0"/>
    <x v="35"/>
    <x v="0"/>
    <x v="0"/>
    <x v="1"/>
  </r>
  <r>
    <x v="29"/>
    <n v="100"/>
    <n v="3300"/>
    <x v="43"/>
    <x v="0"/>
    <n v="4"/>
    <n v="10"/>
    <n v="2004"/>
    <x v="3"/>
    <n v="97"/>
    <n v="3"/>
    <x v="839"/>
    <x v="0"/>
    <x v="32"/>
    <x v="1"/>
    <x v="1"/>
    <x v="1"/>
  </r>
  <r>
    <x v="27"/>
    <n v="100"/>
    <n v="4400"/>
    <x v="44"/>
    <x v="0"/>
    <n v="4"/>
    <n v="10"/>
    <n v="2004"/>
    <x v="3"/>
    <n v="97"/>
    <n v="3"/>
    <x v="839"/>
    <x v="0"/>
    <x v="33"/>
    <x v="0"/>
    <x v="0"/>
    <x v="1"/>
  </r>
  <r>
    <x v="29"/>
    <n v="100"/>
    <n v="3300"/>
    <x v="80"/>
    <x v="0"/>
    <n v="4"/>
    <n v="11"/>
    <n v="2004"/>
    <x v="3"/>
    <n v="97"/>
    <n v="3"/>
    <x v="839"/>
    <x v="0"/>
    <x v="0"/>
    <x v="0"/>
    <x v="0"/>
    <x v="1"/>
  </r>
  <r>
    <x v="25"/>
    <n v="100"/>
    <n v="3900"/>
    <x v="46"/>
    <x v="0"/>
    <n v="4"/>
    <n v="11"/>
    <n v="2004"/>
    <x v="3"/>
    <n v="97"/>
    <n v="3"/>
    <x v="839"/>
    <x v="0"/>
    <x v="4"/>
    <x v="0"/>
    <x v="0"/>
    <x v="1"/>
  </r>
  <r>
    <x v="25"/>
    <n v="50.31"/>
    <n v="1962.0900000000001"/>
    <x v="79"/>
    <x v="0"/>
    <n v="4"/>
    <n v="11"/>
    <n v="2004"/>
    <x v="3"/>
    <n v="97"/>
    <n v="-46.69"/>
    <x v="845"/>
    <x v="5"/>
    <x v="20"/>
    <x v="7"/>
    <x v="1"/>
    <x v="0"/>
  </r>
  <r>
    <x v="2"/>
    <n v="100"/>
    <n v="4100"/>
    <x v="48"/>
    <x v="0"/>
    <n v="4"/>
    <n v="12"/>
    <n v="2004"/>
    <x v="3"/>
    <n v="97"/>
    <n v="3"/>
    <x v="839"/>
    <x v="0"/>
    <x v="20"/>
    <x v="7"/>
    <x v="1"/>
    <x v="1"/>
  </r>
  <r>
    <x v="23"/>
    <n v="86.92"/>
    <n v="3476.8"/>
    <x v="49"/>
    <x v="0"/>
    <n v="1"/>
    <n v="1"/>
    <n v="2005"/>
    <x v="3"/>
    <n v="97"/>
    <n v="-10.079999999999998"/>
    <x v="846"/>
    <x v="3"/>
    <x v="35"/>
    <x v="0"/>
    <x v="0"/>
    <x v="1"/>
  </r>
  <r>
    <x v="29"/>
    <n v="100"/>
    <n v="3300"/>
    <x v="50"/>
    <x v="0"/>
    <n v="1"/>
    <n v="2"/>
    <n v="2005"/>
    <x v="3"/>
    <n v="97"/>
    <n v="3"/>
    <x v="839"/>
    <x v="0"/>
    <x v="33"/>
    <x v="0"/>
    <x v="0"/>
    <x v="1"/>
  </r>
  <r>
    <x v="11"/>
    <n v="78.89"/>
    <n v="2208.92"/>
    <x v="177"/>
    <x v="2"/>
    <n v="2"/>
    <n v="5"/>
    <n v="2005"/>
    <x v="3"/>
    <n v="97"/>
    <n v="-18.11"/>
    <x v="844"/>
    <x v="6"/>
    <x v="46"/>
    <x v="14"/>
    <x v="1"/>
    <x v="0"/>
  </r>
  <r>
    <x v="18"/>
    <n v="63.76"/>
    <n v="1657.76"/>
    <x v="186"/>
    <x v="0"/>
    <n v="1"/>
    <n v="2"/>
    <n v="2003"/>
    <x v="4"/>
    <n v="72"/>
    <n v="-8.240000000000002"/>
    <x v="847"/>
    <x v="1"/>
    <x v="69"/>
    <x v="12"/>
    <x v="1"/>
    <x v="0"/>
  </r>
  <r>
    <x v="6"/>
    <n v="85.49"/>
    <n v="2479.21"/>
    <x v="54"/>
    <x v="0"/>
    <n v="2"/>
    <n v="4"/>
    <n v="2003"/>
    <x v="4"/>
    <n v="72"/>
    <n v="13.489999999999995"/>
    <x v="848"/>
    <x v="0"/>
    <x v="8"/>
    <x v="3"/>
    <x v="2"/>
    <x v="0"/>
  </r>
  <r>
    <x v="12"/>
    <n v="77.52"/>
    <n v="3565.9199999999996"/>
    <x v="209"/>
    <x v="0"/>
    <n v="2"/>
    <n v="6"/>
    <n v="2003"/>
    <x v="4"/>
    <n v="72"/>
    <n v="5.519999999999996"/>
    <x v="849"/>
    <x v="0"/>
    <x v="20"/>
    <x v="7"/>
    <x v="1"/>
    <x v="1"/>
  </r>
  <r>
    <x v="29"/>
    <n v="84.77"/>
    <n v="2797.41"/>
    <x v="3"/>
    <x v="0"/>
    <n v="3"/>
    <n v="8"/>
    <n v="2003"/>
    <x v="4"/>
    <n v="72"/>
    <n v="12.769999999999996"/>
    <x v="850"/>
    <x v="0"/>
    <x v="3"/>
    <x v="0"/>
    <x v="0"/>
    <x v="0"/>
  </r>
  <r>
    <x v="7"/>
    <n v="78.25"/>
    <n v="3756"/>
    <x v="5"/>
    <x v="0"/>
    <n v="4"/>
    <n v="10"/>
    <n v="2003"/>
    <x v="4"/>
    <n v="72"/>
    <n v="6.25"/>
    <x v="851"/>
    <x v="0"/>
    <x v="5"/>
    <x v="0"/>
    <x v="0"/>
    <x v="1"/>
  </r>
  <r>
    <x v="23"/>
    <n v="71"/>
    <n v="2840"/>
    <x v="55"/>
    <x v="0"/>
    <n v="1"/>
    <n v="1"/>
    <n v="2004"/>
    <x v="4"/>
    <n v="72"/>
    <n v="-1"/>
    <x v="852"/>
    <x v="4"/>
    <x v="38"/>
    <x v="11"/>
    <x v="3"/>
    <x v="0"/>
  </r>
  <r>
    <x v="10"/>
    <n v="74.62"/>
    <n v="1716.2600000000002"/>
    <x v="10"/>
    <x v="0"/>
    <n v="1"/>
    <n v="2"/>
    <n v="2004"/>
    <x v="4"/>
    <n v="72"/>
    <n v="2.6200000000000045"/>
    <x v="853"/>
    <x v="0"/>
    <x v="8"/>
    <x v="3"/>
    <x v="2"/>
    <x v="0"/>
  </r>
  <r>
    <x v="23"/>
    <n v="81.14"/>
    <n v="3245.6"/>
    <x v="210"/>
    <x v="0"/>
    <n v="2"/>
    <n v="4"/>
    <n v="2004"/>
    <x v="4"/>
    <n v="72"/>
    <n v="9.14"/>
    <x v="854"/>
    <x v="0"/>
    <x v="47"/>
    <x v="10"/>
    <x v="0"/>
    <x v="1"/>
  </r>
  <r>
    <x v="9"/>
    <n v="74.62"/>
    <n v="2760.94"/>
    <x v="189"/>
    <x v="0"/>
    <n v="2"/>
    <n v="5"/>
    <n v="2004"/>
    <x v="4"/>
    <n v="72"/>
    <n v="2.6200000000000045"/>
    <x v="853"/>
    <x v="0"/>
    <x v="51"/>
    <x v="0"/>
    <x v="0"/>
    <x v="0"/>
  </r>
  <r>
    <x v="16"/>
    <n v="75.349999999999994"/>
    <n v="1808.3999999999999"/>
    <x v="13"/>
    <x v="0"/>
    <n v="2"/>
    <n v="6"/>
    <n v="2004"/>
    <x v="4"/>
    <n v="72"/>
    <n v="3.3499999999999943"/>
    <x v="855"/>
    <x v="0"/>
    <x v="10"/>
    <x v="0"/>
    <x v="0"/>
    <x v="0"/>
  </r>
  <r>
    <x v="26"/>
    <n v="62.31"/>
    <n v="1682.3700000000001"/>
    <x v="14"/>
    <x v="0"/>
    <n v="3"/>
    <n v="7"/>
    <n v="2004"/>
    <x v="4"/>
    <n v="72"/>
    <n v="-9.6899999999999977"/>
    <x v="856"/>
    <x v="1"/>
    <x v="11"/>
    <x v="1"/>
    <x v="1"/>
    <x v="0"/>
  </r>
  <r>
    <x v="15"/>
    <n v="71"/>
    <n v="1491"/>
    <x v="191"/>
    <x v="0"/>
    <n v="3"/>
    <n v="8"/>
    <n v="2004"/>
    <x v="4"/>
    <n v="72"/>
    <n v="-1"/>
    <x v="852"/>
    <x v="4"/>
    <x v="68"/>
    <x v="2"/>
    <x v="1"/>
    <x v="0"/>
  </r>
  <r>
    <x v="10"/>
    <n v="72.45"/>
    <n v="1666.3500000000001"/>
    <x v="211"/>
    <x v="0"/>
    <n v="3"/>
    <n v="9"/>
    <n v="2004"/>
    <x v="4"/>
    <n v="72"/>
    <n v="0.45000000000000284"/>
    <x v="857"/>
    <x v="0"/>
    <x v="60"/>
    <x v="18"/>
    <x v="1"/>
    <x v="0"/>
  </r>
  <r>
    <x v="27"/>
    <n v="83.32"/>
    <n v="3666.08"/>
    <x v="17"/>
    <x v="0"/>
    <n v="4"/>
    <n v="10"/>
    <n v="2004"/>
    <x v="4"/>
    <n v="72"/>
    <n v="11.319999999999993"/>
    <x v="858"/>
    <x v="0"/>
    <x v="39"/>
    <x v="0"/>
    <x v="0"/>
    <x v="1"/>
  </r>
  <r>
    <x v="21"/>
    <n v="83.32"/>
    <n v="2916.2"/>
    <x v="18"/>
    <x v="0"/>
    <n v="4"/>
    <n v="11"/>
    <n v="2004"/>
    <x v="4"/>
    <n v="72"/>
    <n v="11.319999999999993"/>
    <x v="858"/>
    <x v="0"/>
    <x v="5"/>
    <x v="0"/>
    <x v="0"/>
    <x v="0"/>
  </r>
  <r>
    <x v="30"/>
    <n v="60.86"/>
    <n v="2616.98"/>
    <x v="233"/>
    <x v="0"/>
    <n v="4"/>
    <n v="11"/>
    <n v="2004"/>
    <x v="4"/>
    <n v="72"/>
    <n v="-11.14"/>
    <x v="859"/>
    <x v="1"/>
    <x v="69"/>
    <x v="12"/>
    <x v="1"/>
    <x v="0"/>
  </r>
  <r>
    <x v="23"/>
    <n v="84.77"/>
    <n v="3390.7999999999997"/>
    <x v="20"/>
    <x v="0"/>
    <n v="4"/>
    <n v="11"/>
    <n v="2004"/>
    <x v="4"/>
    <n v="72"/>
    <n v="12.769999999999996"/>
    <x v="850"/>
    <x v="0"/>
    <x v="43"/>
    <x v="7"/>
    <x v="1"/>
    <x v="1"/>
  </r>
  <r>
    <x v="21"/>
    <n v="89.9"/>
    <n v="3146.5"/>
    <x v="212"/>
    <x v="0"/>
    <n v="4"/>
    <n v="12"/>
    <n v="2004"/>
    <x v="4"/>
    <n v="72"/>
    <n v="17.900000000000006"/>
    <x v="860"/>
    <x v="0"/>
    <x v="63"/>
    <x v="0"/>
    <x v="0"/>
    <x v="1"/>
  </r>
  <r>
    <x v="32"/>
    <n v="62.46"/>
    <n v="1561.5"/>
    <x v="21"/>
    <x v="0"/>
    <n v="4"/>
    <n v="12"/>
    <n v="2004"/>
    <x v="4"/>
    <n v="72"/>
    <n v="-9.5399999999999991"/>
    <x v="861"/>
    <x v="1"/>
    <x v="17"/>
    <x v="3"/>
    <x v="2"/>
    <x v="0"/>
  </r>
  <r>
    <x v="30"/>
    <n v="100"/>
    <n v="4300"/>
    <x v="22"/>
    <x v="0"/>
    <n v="1"/>
    <n v="2"/>
    <n v="2005"/>
    <x v="4"/>
    <n v="72"/>
    <n v="28"/>
    <x v="862"/>
    <x v="0"/>
    <x v="11"/>
    <x v="1"/>
    <x v="1"/>
    <x v="2"/>
  </r>
  <r>
    <x v="24"/>
    <n v="63.34"/>
    <n v="3167"/>
    <x v="196"/>
    <x v="5"/>
    <n v="1"/>
    <n v="3"/>
    <n v="2005"/>
    <x v="4"/>
    <n v="72"/>
    <n v="-8.6599999999999966"/>
    <x v="863"/>
    <x v="1"/>
    <x v="20"/>
    <x v="7"/>
    <x v="1"/>
    <x v="1"/>
  </r>
  <r>
    <x v="3"/>
    <n v="78.25"/>
    <n v="3521.25"/>
    <x v="197"/>
    <x v="0"/>
    <n v="1"/>
    <n v="3"/>
    <n v="2005"/>
    <x v="4"/>
    <n v="72"/>
    <n v="6.25"/>
    <x v="851"/>
    <x v="0"/>
    <x v="1"/>
    <x v="1"/>
    <x v="1"/>
    <x v="1"/>
  </r>
  <r>
    <x v="53"/>
    <n v="81.14"/>
    <n v="4219.28"/>
    <x v="213"/>
    <x v="4"/>
    <n v="2"/>
    <n v="4"/>
    <n v="2005"/>
    <x v="4"/>
    <n v="72"/>
    <n v="9.14"/>
    <x v="854"/>
    <x v="0"/>
    <x v="9"/>
    <x v="0"/>
    <x v="0"/>
    <x v="1"/>
  </r>
  <r>
    <x v="7"/>
    <n v="74.62"/>
    <n v="3581.76"/>
    <x v="198"/>
    <x v="0"/>
    <n v="2"/>
    <n v="5"/>
    <n v="2005"/>
    <x v="4"/>
    <n v="72"/>
    <n v="2.6200000000000045"/>
    <x v="853"/>
    <x v="0"/>
    <x v="57"/>
    <x v="12"/>
    <x v="1"/>
    <x v="1"/>
  </r>
  <r>
    <x v="28"/>
    <n v="68.709999999999994"/>
    <n v="2130.0099999999998"/>
    <x v="98"/>
    <x v="0"/>
    <n v="1"/>
    <n v="3"/>
    <n v="2003"/>
    <x v="1"/>
    <n v="80"/>
    <n v="-11.290000000000006"/>
    <x v="864"/>
    <x v="1"/>
    <x v="53"/>
    <x v="15"/>
    <x v="2"/>
    <x v="0"/>
  </r>
  <r>
    <x v="6"/>
    <n v="71.14"/>
    <n v="2063.06"/>
    <x v="99"/>
    <x v="0"/>
    <n v="2"/>
    <n v="5"/>
    <n v="2003"/>
    <x v="1"/>
    <n v="80"/>
    <n v="-8.86"/>
    <x v="865"/>
    <x v="1"/>
    <x v="54"/>
    <x v="1"/>
    <x v="1"/>
    <x v="0"/>
  </r>
  <r>
    <x v="10"/>
    <n v="87.31"/>
    <n v="2008.13"/>
    <x v="100"/>
    <x v="0"/>
    <n v="3"/>
    <n v="7"/>
    <n v="2003"/>
    <x v="1"/>
    <n v="80"/>
    <n v="7.3100000000000023"/>
    <x v="866"/>
    <x v="0"/>
    <x v="33"/>
    <x v="0"/>
    <x v="0"/>
    <x v="0"/>
  </r>
  <r>
    <x v="28"/>
    <n v="64.67"/>
    <n v="2004.77"/>
    <x v="101"/>
    <x v="0"/>
    <n v="3"/>
    <n v="9"/>
    <n v="2003"/>
    <x v="1"/>
    <n v="80"/>
    <n v="-15.329999999999998"/>
    <x v="867"/>
    <x v="6"/>
    <x v="35"/>
    <x v="0"/>
    <x v="0"/>
    <x v="0"/>
  </r>
  <r>
    <x v="10"/>
    <n v="67.099999999999994"/>
    <n v="1543.3"/>
    <x v="4"/>
    <x v="0"/>
    <n v="4"/>
    <n v="10"/>
    <n v="2003"/>
    <x v="1"/>
    <n v="80"/>
    <n v="-12.900000000000006"/>
    <x v="868"/>
    <x v="6"/>
    <x v="4"/>
    <x v="0"/>
    <x v="0"/>
    <x v="0"/>
  </r>
  <r>
    <x v="16"/>
    <n v="94.58"/>
    <n v="2269.92"/>
    <x v="102"/>
    <x v="0"/>
    <n v="4"/>
    <n v="11"/>
    <n v="2003"/>
    <x v="1"/>
    <n v="80"/>
    <n v="14.579999999999998"/>
    <x v="869"/>
    <x v="0"/>
    <x v="36"/>
    <x v="3"/>
    <x v="2"/>
    <x v="0"/>
  </r>
  <r>
    <x v="11"/>
    <n v="71.14"/>
    <n v="1991.92"/>
    <x v="6"/>
    <x v="0"/>
    <n v="4"/>
    <n v="11"/>
    <n v="2003"/>
    <x v="1"/>
    <n v="80"/>
    <n v="-8.86"/>
    <x v="865"/>
    <x v="1"/>
    <x v="6"/>
    <x v="1"/>
    <x v="1"/>
    <x v="0"/>
  </r>
  <r>
    <x v="27"/>
    <n v="66.290000000000006"/>
    <n v="2916.76"/>
    <x v="104"/>
    <x v="0"/>
    <n v="4"/>
    <n v="11"/>
    <n v="2003"/>
    <x v="1"/>
    <n v="80"/>
    <n v="-13.709999999999994"/>
    <x v="870"/>
    <x v="6"/>
    <x v="55"/>
    <x v="16"/>
    <x v="1"/>
    <x v="0"/>
  </r>
  <r>
    <x v="8"/>
    <n v="92.16"/>
    <n v="2027.52"/>
    <x v="9"/>
    <x v="0"/>
    <n v="1"/>
    <n v="1"/>
    <n v="2004"/>
    <x v="1"/>
    <n v="80"/>
    <n v="12.159999999999997"/>
    <x v="871"/>
    <x v="0"/>
    <x v="2"/>
    <x v="1"/>
    <x v="1"/>
    <x v="0"/>
  </r>
  <r>
    <x v="12"/>
    <n v="70.33"/>
    <n v="3235.18"/>
    <x v="106"/>
    <x v="0"/>
    <n v="1"/>
    <n v="2"/>
    <n v="2004"/>
    <x v="1"/>
    <n v="80"/>
    <n v="-9.6700000000000017"/>
    <x v="872"/>
    <x v="1"/>
    <x v="56"/>
    <x v="17"/>
    <x v="1"/>
    <x v="1"/>
  </r>
  <r>
    <x v="8"/>
    <n v="93.77"/>
    <n v="2062.94"/>
    <x v="107"/>
    <x v="0"/>
    <n v="2"/>
    <n v="4"/>
    <n v="2004"/>
    <x v="1"/>
    <n v="80"/>
    <n v="13.769999999999996"/>
    <x v="873"/>
    <x v="0"/>
    <x v="40"/>
    <x v="13"/>
    <x v="1"/>
    <x v="0"/>
  </r>
  <r>
    <x v="19"/>
    <n v="87.31"/>
    <n v="3317.78"/>
    <x v="224"/>
    <x v="0"/>
    <n v="2"/>
    <n v="5"/>
    <n v="2004"/>
    <x v="1"/>
    <n v="80"/>
    <n v="7.3100000000000023"/>
    <x v="866"/>
    <x v="0"/>
    <x v="2"/>
    <x v="1"/>
    <x v="1"/>
    <x v="1"/>
  </r>
  <r>
    <x v="20"/>
    <n v="83.27"/>
    <n v="3913.6899999999996"/>
    <x v="230"/>
    <x v="0"/>
    <n v="2"/>
    <n v="6"/>
    <n v="2004"/>
    <x v="1"/>
    <n v="80"/>
    <n v="3.269999999999996"/>
    <x v="874"/>
    <x v="0"/>
    <x v="48"/>
    <x v="0"/>
    <x v="0"/>
    <x v="1"/>
  </r>
  <r>
    <x v="7"/>
    <n v="75.180000000000007"/>
    <n v="3608.6400000000003"/>
    <x v="110"/>
    <x v="0"/>
    <n v="3"/>
    <n v="8"/>
    <n v="2004"/>
    <x v="1"/>
    <n v="80"/>
    <n v="-4.8199999999999932"/>
    <x v="875"/>
    <x v="3"/>
    <x v="35"/>
    <x v="0"/>
    <x v="0"/>
    <x v="1"/>
  </r>
  <r>
    <x v="23"/>
    <n v="88.12"/>
    <n v="3524.8"/>
    <x v="111"/>
    <x v="0"/>
    <n v="3"/>
    <n v="8"/>
    <n v="2004"/>
    <x v="1"/>
    <n v="80"/>
    <n v="8.1200000000000045"/>
    <x v="876"/>
    <x v="0"/>
    <x v="56"/>
    <x v="17"/>
    <x v="1"/>
    <x v="1"/>
  </r>
  <r>
    <x v="22"/>
    <n v="80.84"/>
    <n v="2586.88"/>
    <x v="16"/>
    <x v="0"/>
    <n v="3"/>
    <n v="9"/>
    <n v="2004"/>
    <x v="1"/>
    <n v="80"/>
    <n v="0.84000000000000341"/>
    <x v="877"/>
    <x v="0"/>
    <x v="13"/>
    <x v="4"/>
    <x v="1"/>
    <x v="0"/>
  </r>
  <r>
    <x v="4"/>
    <n v="97.01"/>
    <n v="4753.4900000000007"/>
    <x v="113"/>
    <x v="0"/>
    <n v="4"/>
    <n v="10"/>
    <n v="2004"/>
    <x v="1"/>
    <n v="80"/>
    <n v="17.010000000000005"/>
    <x v="878"/>
    <x v="0"/>
    <x v="55"/>
    <x v="16"/>
    <x v="1"/>
    <x v="1"/>
  </r>
  <r>
    <x v="30"/>
    <n v="85.69"/>
    <n v="3684.67"/>
    <x v="114"/>
    <x v="0"/>
    <n v="4"/>
    <n v="11"/>
    <n v="2004"/>
    <x v="1"/>
    <n v="80"/>
    <n v="5.6899999999999977"/>
    <x v="879"/>
    <x v="0"/>
    <x v="0"/>
    <x v="0"/>
    <x v="0"/>
    <x v="1"/>
  </r>
  <r>
    <x v="2"/>
    <n v="100"/>
    <n v="4100"/>
    <x v="159"/>
    <x v="0"/>
    <n v="4"/>
    <n v="11"/>
    <n v="2004"/>
    <x v="1"/>
    <n v="80"/>
    <n v="20"/>
    <x v="346"/>
    <x v="0"/>
    <x v="24"/>
    <x v="0"/>
    <x v="0"/>
    <x v="1"/>
  </r>
  <r>
    <x v="0"/>
    <n v="100"/>
    <n v="3000"/>
    <x v="20"/>
    <x v="0"/>
    <n v="4"/>
    <n v="11"/>
    <n v="2004"/>
    <x v="1"/>
    <n v="80"/>
    <n v="20"/>
    <x v="346"/>
    <x v="0"/>
    <x v="1"/>
    <x v="1"/>
    <x v="1"/>
    <x v="1"/>
  </r>
  <r>
    <x v="11"/>
    <n v="95.39"/>
    <n v="2670.92"/>
    <x v="228"/>
    <x v="0"/>
    <n v="4"/>
    <n v="12"/>
    <n v="2004"/>
    <x v="1"/>
    <n v="80"/>
    <n v="15.39"/>
    <x v="880"/>
    <x v="0"/>
    <x v="20"/>
    <x v="7"/>
    <x v="1"/>
    <x v="0"/>
  </r>
  <r>
    <x v="30"/>
    <n v="100"/>
    <n v="4300"/>
    <x v="115"/>
    <x v="0"/>
    <n v="1"/>
    <n v="1"/>
    <n v="2005"/>
    <x v="1"/>
    <n v="80"/>
    <n v="20"/>
    <x v="346"/>
    <x v="0"/>
    <x v="59"/>
    <x v="4"/>
    <x v="1"/>
    <x v="1"/>
  </r>
  <r>
    <x v="2"/>
    <n v="100"/>
    <n v="4100"/>
    <x v="184"/>
    <x v="0"/>
    <n v="1"/>
    <n v="2"/>
    <n v="2005"/>
    <x v="1"/>
    <n v="80"/>
    <n v="20"/>
    <x v="346"/>
    <x v="0"/>
    <x v="20"/>
    <x v="7"/>
    <x v="1"/>
    <x v="1"/>
  </r>
  <r>
    <x v="0"/>
    <n v="82.42"/>
    <n v="2472.6"/>
    <x v="162"/>
    <x v="0"/>
    <n v="1"/>
    <n v="3"/>
    <n v="2005"/>
    <x v="1"/>
    <n v="80"/>
    <n v="2.4200000000000017"/>
    <x v="881"/>
    <x v="0"/>
    <x v="33"/>
    <x v="0"/>
    <x v="0"/>
    <x v="0"/>
  </r>
  <r>
    <x v="28"/>
    <n v="100"/>
    <n v="3100"/>
    <x v="26"/>
    <x v="0"/>
    <n v="1"/>
    <n v="1"/>
    <n v="2003"/>
    <x v="2"/>
    <n v="96"/>
    <n v="4"/>
    <x v="882"/>
    <x v="0"/>
    <x v="14"/>
    <x v="2"/>
    <x v="1"/>
    <x v="1"/>
  </r>
  <r>
    <x v="22"/>
    <n v="100"/>
    <n v="3200"/>
    <x v="89"/>
    <x v="0"/>
    <n v="2"/>
    <n v="4"/>
    <n v="2003"/>
    <x v="2"/>
    <n v="96"/>
    <n v="4"/>
    <x v="882"/>
    <x v="0"/>
    <x v="2"/>
    <x v="1"/>
    <x v="1"/>
    <x v="1"/>
  </r>
  <r>
    <x v="30"/>
    <n v="96.31"/>
    <n v="4141.33"/>
    <x v="28"/>
    <x v="0"/>
    <n v="2"/>
    <n v="5"/>
    <n v="2003"/>
    <x v="2"/>
    <n v="96"/>
    <n v="0.31000000000000227"/>
    <x v="883"/>
    <x v="2"/>
    <x v="20"/>
    <x v="7"/>
    <x v="1"/>
    <x v="1"/>
  </r>
  <r>
    <x v="18"/>
    <n v="100"/>
    <n v="2600"/>
    <x v="29"/>
    <x v="0"/>
    <n v="3"/>
    <n v="7"/>
    <n v="2003"/>
    <x v="2"/>
    <n v="96"/>
    <n v="4"/>
    <x v="882"/>
    <x v="0"/>
    <x v="5"/>
    <x v="0"/>
    <x v="0"/>
    <x v="0"/>
  </r>
  <r>
    <x v="26"/>
    <n v="100"/>
    <n v="2700"/>
    <x v="145"/>
    <x v="0"/>
    <n v="3"/>
    <n v="9"/>
    <n v="2003"/>
    <x v="2"/>
    <n v="96"/>
    <n v="4"/>
    <x v="882"/>
    <x v="0"/>
    <x v="50"/>
    <x v="4"/>
    <x v="1"/>
    <x v="1"/>
  </r>
  <r>
    <x v="16"/>
    <n v="100"/>
    <n v="2400"/>
    <x v="90"/>
    <x v="5"/>
    <n v="4"/>
    <n v="10"/>
    <n v="2003"/>
    <x v="2"/>
    <n v="96"/>
    <n v="4"/>
    <x v="882"/>
    <x v="0"/>
    <x v="52"/>
    <x v="5"/>
    <x v="1"/>
    <x v="0"/>
  </r>
  <r>
    <x v="8"/>
    <n v="100"/>
    <n v="2200"/>
    <x v="32"/>
    <x v="0"/>
    <n v="4"/>
    <n v="11"/>
    <n v="2003"/>
    <x v="2"/>
    <n v="96"/>
    <n v="4"/>
    <x v="882"/>
    <x v="0"/>
    <x v="41"/>
    <x v="6"/>
    <x v="1"/>
    <x v="0"/>
  </r>
  <r>
    <x v="12"/>
    <n v="100"/>
    <n v="4600"/>
    <x v="69"/>
    <x v="0"/>
    <n v="4"/>
    <n v="11"/>
    <n v="2003"/>
    <x v="2"/>
    <n v="96"/>
    <n v="4"/>
    <x v="882"/>
    <x v="0"/>
    <x v="64"/>
    <x v="7"/>
    <x v="1"/>
    <x v="1"/>
  </r>
  <r>
    <x v="9"/>
    <n v="97.27"/>
    <n v="3598.99"/>
    <x v="34"/>
    <x v="0"/>
    <n v="4"/>
    <n v="11"/>
    <n v="2003"/>
    <x v="2"/>
    <n v="96"/>
    <n v="1.269999999999996"/>
    <x v="884"/>
    <x v="0"/>
    <x v="25"/>
    <x v="1"/>
    <x v="1"/>
    <x v="1"/>
  </r>
  <r>
    <x v="4"/>
    <n v="80.900000000000006"/>
    <n v="3964.1000000000004"/>
    <x v="91"/>
    <x v="0"/>
    <n v="4"/>
    <n v="12"/>
    <n v="2003"/>
    <x v="2"/>
    <n v="96"/>
    <n v="-15.099999999999994"/>
    <x v="885"/>
    <x v="6"/>
    <x v="48"/>
    <x v="0"/>
    <x v="0"/>
    <x v="1"/>
  </r>
  <r>
    <x v="15"/>
    <n v="100"/>
    <n v="2100"/>
    <x v="92"/>
    <x v="0"/>
    <n v="1"/>
    <n v="2"/>
    <n v="2004"/>
    <x v="2"/>
    <n v="96"/>
    <n v="4"/>
    <x v="882"/>
    <x v="0"/>
    <x v="22"/>
    <x v="9"/>
    <x v="2"/>
    <x v="0"/>
  </r>
  <r>
    <x v="32"/>
    <n v="100"/>
    <n v="2500"/>
    <x v="93"/>
    <x v="0"/>
    <n v="1"/>
    <n v="3"/>
    <n v="2004"/>
    <x v="2"/>
    <n v="96"/>
    <n v="4"/>
    <x v="882"/>
    <x v="0"/>
    <x v="33"/>
    <x v="0"/>
    <x v="0"/>
    <x v="0"/>
  </r>
  <r>
    <x v="9"/>
    <n v="100"/>
    <n v="3700"/>
    <x v="38"/>
    <x v="0"/>
    <n v="2"/>
    <n v="5"/>
    <n v="2004"/>
    <x v="2"/>
    <n v="96"/>
    <n v="4"/>
    <x v="882"/>
    <x v="0"/>
    <x v="28"/>
    <x v="0"/>
    <x v="0"/>
    <x v="1"/>
  </r>
  <r>
    <x v="3"/>
    <n v="86.68"/>
    <n v="3900.6000000000004"/>
    <x v="39"/>
    <x v="0"/>
    <n v="2"/>
    <n v="6"/>
    <n v="2004"/>
    <x v="2"/>
    <n v="96"/>
    <n v="-9.3199999999999932"/>
    <x v="886"/>
    <x v="3"/>
    <x v="22"/>
    <x v="9"/>
    <x v="2"/>
    <x v="1"/>
  </r>
  <r>
    <x v="22"/>
    <n v="85.72"/>
    <n v="2743.04"/>
    <x v="40"/>
    <x v="0"/>
    <n v="3"/>
    <n v="7"/>
    <n v="2004"/>
    <x v="2"/>
    <n v="96"/>
    <n v="-10.280000000000001"/>
    <x v="887"/>
    <x v="1"/>
    <x v="17"/>
    <x v="3"/>
    <x v="2"/>
    <x v="0"/>
  </r>
  <r>
    <x v="6"/>
    <n v="82.83"/>
    <n v="2402.0700000000002"/>
    <x v="94"/>
    <x v="0"/>
    <n v="3"/>
    <n v="8"/>
    <n v="2004"/>
    <x v="2"/>
    <n v="96"/>
    <n v="-13.170000000000002"/>
    <x v="888"/>
    <x v="1"/>
    <x v="15"/>
    <x v="0"/>
    <x v="0"/>
    <x v="0"/>
  </r>
  <r>
    <x v="18"/>
    <n v="83.79"/>
    <n v="2178.54"/>
    <x v="42"/>
    <x v="0"/>
    <n v="3"/>
    <n v="9"/>
    <n v="2004"/>
    <x v="2"/>
    <n v="96"/>
    <n v="-12.209999999999994"/>
    <x v="889"/>
    <x v="1"/>
    <x v="31"/>
    <x v="8"/>
    <x v="1"/>
    <x v="0"/>
  </r>
  <r>
    <x v="11"/>
    <n v="100"/>
    <n v="2800"/>
    <x v="95"/>
    <x v="0"/>
    <n v="4"/>
    <n v="10"/>
    <n v="2004"/>
    <x v="2"/>
    <n v="96"/>
    <n v="4"/>
    <x v="882"/>
    <x v="0"/>
    <x v="12"/>
    <x v="0"/>
    <x v="0"/>
    <x v="1"/>
  </r>
  <r>
    <x v="26"/>
    <n v="87.64"/>
    <n v="2366.2800000000002"/>
    <x v="96"/>
    <x v="0"/>
    <n v="4"/>
    <n v="10"/>
    <n v="2004"/>
    <x v="2"/>
    <n v="96"/>
    <n v="-8.36"/>
    <x v="890"/>
    <x v="3"/>
    <x v="26"/>
    <x v="10"/>
    <x v="0"/>
    <x v="0"/>
  </r>
  <r>
    <x v="14"/>
    <n v="98.18"/>
    <n v="1963.6000000000001"/>
    <x v="80"/>
    <x v="0"/>
    <n v="4"/>
    <n v="11"/>
    <n v="2004"/>
    <x v="2"/>
    <n v="96"/>
    <n v="2.1800000000000068"/>
    <x v="891"/>
    <x v="0"/>
    <x v="0"/>
    <x v="0"/>
    <x v="0"/>
    <x v="0"/>
  </r>
  <r>
    <x v="27"/>
    <n v="100"/>
    <n v="4400"/>
    <x v="97"/>
    <x v="0"/>
    <n v="4"/>
    <n v="11"/>
    <n v="2004"/>
    <x v="2"/>
    <n v="96"/>
    <n v="4"/>
    <x v="882"/>
    <x v="0"/>
    <x v="33"/>
    <x v="0"/>
    <x v="0"/>
    <x v="1"/>
  </r>
  <r>
    <x v="13"/>
    <n v="100"/>
    <n v="4200"/>
    <x v="79"/>
    <x v="0"/>
    <n v="4"/>
    <n v="11"/>
    <n v="2004"/>
    <x v="2"/>
    <n v="96"/>
    <n v="4"/>
    <x v="882"/>
    <x v="0"/>
    <x v="20"/>
    <x v="7"/>
    <x v="1"/>
    <x v="1"/>
  </r>
  <r>
    <x v="2"/>
    <n v="100"/>
    <n v="4100"/>
    <x v="48"/>
    <x v="0"/>
    <n v="4"/>
    <n v="12"/>
    <n v="2004"/>
    <x v="2"/>
    <n v="96"/>
    <n v="4"/>
    <x v="882"/>
    <x v="0"/>
    <x v="20"/>
    <x v="7"/>
    <x v="1"/>
    <x v="1"/>
  </r>
  <r>
    <x v="18"/>
    <n v="100"/>
    <n v="2600"/>
    <x v="129"/>
    <x v="0"/>
    <n v="1"/>
    <n v="1"/>
    <n v="2005"/>
    <x v="2"/>
    <n v="96"/>
    <n v="4"/>
    <x v="882"/>
    <x v="0"/>
    <x v="33"/>
    <x v="0"/>
    <x v="0"/>
    <x v="1"/>
  </r>
  <r>
    <x v="18"/>
    <n v="100"/>
    <n v="2600"/>
    <x v="50"/>
    <x v="0"/>
    <n v="1"/>
    <n v="2"/>
    <n v="2005"/>
    <x v="2"/>
    <n v="96"/>
    <n v="4"/>
    <x v="882"/>
    <x v="0"/>
    <x v="33"/>
    <x v="0"/>
    <x v="0"/>
    <x v="0"/>
  </r>
  <r>
    <x v="18"/>
    <n v="100"/>
    <n v="2600"/>
    <x v="52"/>
    <x v="0"/>
    <n v="2"/>
    <n v="5"/>
    <n v="2005"/>
    <x v="2"/>
    <n v="96"/>
    <n v="4"/>
    <x v="882"/>
    <x v="0"/>
    <x v="37"/>
    <x v="10"/>
    <x v="0"/>
    <x v="0"/>
  </r>
  <r>
    <x v="2"/>
    <n v="86.68"/>
    <n v="3553.88"/>
    <x v="53"/>
    <x v="2"/>
    <n v="2"/>
    <n v="5"/>
    <n v="2005"/>
    <x v="2"/>
    <n v="96"/>
    <n v="-9.3199999999999932"/>
    <x v="886"/>
    <x v="3"/>
    <x v="11"/>
    <x v="1"/>
    <x v="1"/>
    <x v="1"/>
  </r>
  <r>
    <x v="14"/>
    <n v="92.9"/>
    <n v="1858"/>
    <x v="0"/>
    <x v="0"/>
    <n v="1"/>
    <n v="2"/>
    <n v="2003"/>
    <x v="0"/>
    <n v="99"/>
    <n v="-6.0999999999999943"/>
    <x v="892"/>
    <x v="3"/>
    <x v="0"/>
    <x v="0"/>
    <x v="0"/>
    <x v="0"/>
  </r>
  <r>
    <x v="8"/>
    <n v="100"/>
    <n v="2200"/>
    <x v="54"/>
    <x v="0"/>
    <n v="2"/>
    <n v="4"/>
    <n v="2003"/>
    <x v="0"/>
    <n v="99"/>
    <n v="1"/>
    <x v="347"/>
    <x v="0"/>
    <x v="8"/>
    <x v="3"/>
    <x v="2"/>
    <x v="0"/>
  </r>
  <r>
    <x v="10"/>
    <n v="100"/>
    <n v="2300"/>
    <x v="209"/>
    <x v="0"/>
    <n v="2"/>
    <n v="6"/>
    <n v="2003"/>
    <x v="0"/>
    <n v="99"/>
    <n v="1"/>
    <x v="347"/>
    <x v="0"/>
    <x v="20"/>
    <x v="7"/>
    <x v="1"/>
    <x v="0"/>
  </r>
  <r>
    <x v="29"/>
    <n v="93.9"/>
    <n v="3098.7000000000003"/>
    <x v="3"/>
    <x v="0"/>
    <n v="3"/>
    <n v="8"/>
    <n v="2003"/>
    <x v="0"/>
    <n v="99"/>
    <n v="-5.0999999999999943"/>
    <x v="893"/>
    <x v="4"/>
    <x v="3"/>
    <x v="0"/>
    <x v="0"/>
    <x v="1"/>
  </r>
  <r>
    <x v="11"/>
    <n v="100"/>
    <n v="2800"/>
    <x v="5"/>
    <x v="0"/>
    <n v="4"/>
    <n v="10"/>
    <n v="2003"/>
    <x v="0"/>
    <n v="99"/>
    <n v="1"/>
    <x v="347"/>
    <x v="0"/>
    <x v="5"/>
    <x v="0"/>
    <x v="0"/>
    <x v="1"/>
  </r>
  <r>
    <x v="27"/>
    <n v="98.89"/>
    <n v="4351.16"/>
    <x v="7"/>
    <x v="0"/>
    <n v="4"/>
    <n v="11"/>
    <n v="2003"/>
    <x v="0"/>
    <n v="99"/>
    <n v="-0.10999999999999943"/>
    <x v="894"/>
    <x v="2"/>
    <x v="7"/>
    <x v="2"/>
    <x v="1"/>
    <x v="1"/>
  </r>
  <r>
    <x v="12"/>
    <n v="79.91"/>
    <n v="3675.8599999999997"/>
    <x v="55"/>
    <x v="0"/>
    <n v="1"/>
    <n v="1"/>
    <n v="2004"/>
    <x v="0"/>
    <n v="99"/>
    <n v="-19.090000000000003"/>
    <x v="895"/>
    <x v="6"/>
    <x v="38"/>
    <x v="11"/>
    <x v="3"/>
    <x v="1"/>
  </r>
  <r>
    <x v="15"/>
    <n v="100"/>
    <n v="2100"/>
    <x v="10"/>
    <x v="0"/>
    <n v="1"/>
    <n v="2"/>
    <n v="2004"/>
    <x v="0"/>
    <n v="99"/>
    <n v="1"/>
    <x v="347"/>
    <x v="0"/>
    <x v="8"/>
    <x v="3"/>
    <x v="2"/>
    <x v="0"/>
  </r>
  <r>
    <x v="2"/>
    <n v="100"/>
    <n v="4100"/>
    <x v="210"/>
    <x v="0"/>
    <n v="2"/>
    <n v="4"/>
    <n v="2004"/>
    <x v="0"/>
    <n v="99"/>
    <n v="1"/>
    <x v="347"/>
    <x v="0"/>
    <x v="47"/>
    <x v="10"/>
    <x v="0"/>
    <x v="1"/>
  </r>
  <r>
    <x v="28"/>
    <n v="100"/>
    <n v="3100"/>
    <x v="189"/>
    <x v="0"/>
    <n v="2"/>
    <n v="5"/>
    <n v="2004"/>
    <x v="0"/>
    <n v="99"/>
    <n v="1"/>
    <x v="347"/>
    <x v="0"/>
    <x v="51"/>
    <x v="0"/>
    <x v="0"/>
    <x v="1"/>
  </r>
  <r>
    <x v="28"/>
    <n v="79.91"/>
    <n v="2477.21"/>
    <x v="13"/>
    <x v="0"/>
    <n v="2"/>
    <n v="6"/>
    <n v="2004"/>
    <x v="0"/>
    <n v="99"/>
    <n v="-19.090000000000003"/>
    <x v="895"/>
    <x v="6"/>
    <x v="10"/>
    <x v="0"/>
    <x v="0"/>
    <x v="0"/>
  </r>
  <r>
    <x v="10"/>
    <n v="81.91"/>
    <n v="1883.9299999999998"/>
    <x v="14"/>
    <x v="0"/>
    <n v="3"/>
    <n v="7"/>
    <n v="2004"/>
    <x v="0"/>
    <n v="99"/>
    <n v="-17.090000000000003"/>
    <x v="896"/>
    <x v="6"/>
    <x v="11"/>
    <x v="1"/>
    <x v="1"/>
    <x v="0"/>
  </r>
  <r>
    <x v="9"/>
    <n v="98.89"/>
    <n v="3658.93"/>
    <x v="15"/>
    <x v="0"/>
    <n v="3"/>
    <n v="8"/>
    <n v="2004"/>
    <x v="0"/>
    <n v="99"/>
    <n v="-0.10999999999999943"/>
    <x v="894"/>
    <x v="2"/>
    <x v="12"/>
    <x v="0"/>
    <x v="0"/>
    <x v="1"/>
  </r>
  <r>
    <x v="18"/>
    <n v="100"/>
    <n v="2600"/>
    <x v="211"/>
    <x v="0"/>
    <n v="3"/>
    <n v="9"/>
    <n v="2004"/>
    <x v="0"/>
    <n v="99"/>
    <n v="1"/>
    <x v="347"/>
    <x v="0"/>
    <x v="60"/>
    <x v="18"/>
    <x v="1"/>
    <x v="0"/>
  </r>
  <r>
    <x v="16"/>
    <n v="79.91"/>
    <n v="1917.84"/>
    <x v="17"/>
    <x v="0"/>
    <n v="4"/>
    <n v="10"/>
    <n v="2004"/>
    <x v="0"/>
    <n v="99"/>
    <n v="-19.090000000000003"/>
    <x v="895"/>
    <x v="6"/>
    <x v="39"/>
    <x v="0"/>
    <x v="0"/>
    <x v="0"/>
  </r>
  <r>
    <x v="20"/>
    <n v="100"/>
    <n v="4700"/>
    <x v="18"/>
    <x v="0"/>
    <n v="4"/>
    <n v="11"/>
    <n v="2004"/>
    <x v="0"/>
    <n v="99"/>
    <n v="1"/>
    <x v="347"/>
    <x v="0"/>
    <x v="15"/>
    <x v="0"/>
    <x v="0"/>
    <x v="1"/>
  </r>
  <r>
    <x v="3"/>
    <n v="63.91"/>
    <n v="2875.95"/>
    <x v="19"/>
    <x v="0"/>
    <n v="4"/>
    <n v="11"/>
    <n v="2004"/>
    <x v="0"/>
    <n v="99"/>
    <n v="-35.090000000000003"/>
    <x v="897"/>
    <x v="5"/>
    <x v="0"/>
    <x v="0"/>
    <x v="0"/>
    <x v="0"/>
  </r>
  <r>
    <x v="36"/>
    <n v="100"/>
    <n v="5500"/>
    <x v="20"/>
    <x v="0"/>
    <n v="4"/>
    <n v="11"/>
    <n v="2004"/>
    <x v="0"/>
    <n v="99"/>
    <n v="1"/>
    <x v="347"/>
    <x v="0"/>
    <x v="43"/>
    <x v="7"/>
    <x v="1"/>
    <x v="1"/>
  </r>
  <r>
    <x v="12"/>
    <n v="81.17"/>
    <n v="3733.82"/>
    <x v="212"/>
    <x v="0"/>
    <n v="4"/>
    <n v="12"/>
    <n v="2004"/>
    <x v="0"/>
    <n v="99"/>
    <n v="-17.829999999999998"/>
    <x v="898"/>
    <x v="6"/>
    <x v="63"/>
    <x v="0"/>
    <x v="0"/>
    <x v="1"/>
  </r>
  <r>
    <x v="24"/>
    <n v="100"/>
    <n v="5000"/>
    <x v="115"/>
    <x v="0"/>
    <n v="1"/>
    <n v="1"/>
    <n v="2005"/>
    <x v="0"/>
    <n v="99"/>
    <n v="1"/>
    <x v="347"/>
    <x v="0"/>
    <x v="59"/>
    <x v="4"/>
    <x v="1"/>
    <x v="1"/>
  </r>
  <r>
    <x v="9"/>
    <n v="100"/>
    <n v="3700"/>
    <x v="22"/>
    <x v="0"/>
    <n v="1"/>
    <n v="2"/>
    <n v="2005"/>
    <x v="0"/>
    <n v="99"/>
    <n v="1"/>
    <x v="347"/>
    <x v="0"/>
    <x v="11"/>
    <x v="1"/>
    <x v="1"/>
    <x v="1"/>
  </r>
  <r>
    <x v="27"/>
    <n v="94.9"/>
    <n v="4175.6000000000004"/>
    <x v="246"/>
    <x v="0"/>
    <n v="1"/>
    <n v="3"/>
    <n v="2005"/>
    <x v="0"/>
    <n v="99"/>
    <n v="-4.0999999999999943"/>
    <x v="899"/>
    <x v="4"/>
    <x v="22"/>
    <x v="9"/>
    <x v="2"/>
    <x v="1"/>
  </r>
  <r>
    <x v="4"/>
    <n v="100"/>
    <n v="4900"/>
    <x v="213"/>
    <x v="4"/>
    <n v="2"/>
    <n v="4"/>
    <n v="2005"/>
    <x v="0"/>
    <n v="99"/>
    <n v="1"/>
    <x v="347"/>
    <x v="0"/>
    <x v="9"/>
    <x v="0"/>
    <x v="0"/>
    <x v="1"/>
  </r>
  <r>
    <x v="3"/>
    <n v="100"/>
    <n v="4500"/>
    <x v="198"/>
    <x v="0"/>
    <n v="2"/>
    <n v="5"/>
    <n v="2005"/>
    <x v="0"/>
    <n v="99"/>
    <n v="1"/>
    <x v="347"/>
    <x v="0"/>
    <x v="57"/>
    <x v="12"/>
    <x v="1"/>
    <x v="1"/>
  </r>
  <r>
    <x v="26"/>
    <n v="43.45"/>
    <n v="1173.1500000000001"/>
    <x v="98"/>
    <x v="0"/>
    <n v="1"/>
    <n v="3"/>
    <n v="2003"/>
    <x v="0"/>
    <n v="40"/>
    <n v="3.4500000000000028"/>
    <x v="900"/>
    <x v="0"/>
    <x v="53"/>
    <x v="15"/>
    <x v="2"/>
    <x v="0"/>
  </r>
  <r>
    <x v="28"/>
    <n v="44.66"/>
    <n v="1384.4599999999998"/>
    <x v="99"/>
    <x v="0"/>
    <n v="2"/>
    <n v="5"/>
    <n v="2003"/>
    <x v="0"/>
    <n v="40"/>
    <n v="4.6599999999999966"/>
    <x v="901"/>
    <x v="0"/>
    <x v="54"/>
    <x v="1"/>
    <x v="1"/>
    <x v="0"/>
  </r>
  <r>
    <x v="29"/>
    <n v="40.229999999999997"/>
    <n v="1327.59"/>
    <x v="100"/>
    <x v="0"/>
    <n v="3"/>
    <n v="7"/>
    <n v="2003"/>
    <x v="0"/>
    <n v="40"/>
    <n v="0.22999999999999687"/>
    <x v="902"/>
    <x v="0"/>
    <x v="33"/>
    <x v="0"/>
    <x v="0"/>
    <x v="0"/>
  </r>
  <r>
    <x v="28"/>
    <n v="35.799999999999997"/>
    <n v="1109.8"/>
    <x v="3"/>
    <x v="0"/>
    <n v="3"/>
    <n v="8"/>
    <n v="2003"/>
    <x v="0"/>
    <n v="40"/>
    <n v="-4.2000000000000028"/>
    <x v="903"/>
    <x v="1"/>
    <x v="3"/>
    <x v="0"/>
    <x v="0"/>
    <x v="0"/>
  </r>
  <r>
    <x v="21"/>
    <n v="35.4"/>
    <n v="1239"/>
    <x v="4"/>
    <x v="0"/>
    <n v="4"/>
    <n v="10"/>
    <n v="2003"/>
    <x v="0"/>
    <n v="40"/>
    <n v="-4.6000000000000014"/>
    <x v="904"/>
    <x v="1"/>
    <x v="4"/>
    <x v="0"/>
    <x v="0"/>
    <x v="0"/>
  </r>
  <r>
    <x v="18"/>
    <n v="39.83"/>
    <n v="1035.58"/>
    <x v="102"/>
    <x v="0"/>
    <n v="4"/>
    <n v="11"/>
    <n v="2003"/>
    <x v="0"/>
    <n v="40"/>
    <n v="-0.17000000000000171"/>
    <x v="905"/>
    <x v="2"/>
    <x v="36"/>
    <x v="3"/>
    <x v="2"/>
    <x v="0"/>
  </r>
  <r>
    <x v="1"/>
    <n v="45.46"/>
    <n v="1545.64"/>
    <x v="6"/>
    <x v="0"/>
    <n v="4"/>
    <n v="11"/>
    <n v="2003"/>
    <x v="0"/>
    <n v="40"/>
    <n v="5.4600000000000009"/>
    <x v="906"/>
    <x v="0"/>
    <x v="6"/>
    <x v="1"/>
    <x v="1"/>
    <x v="0"/>
  </r>
  <r>
    <x v="12"/>
    <n v="32.99"/>
    <n v="1517.5400000000002"/>
    <x v="240"/>
    <x v="0"/>
    <n v="4"/>
    <n v="11"/>
    <n v="2003"/>
    <x v="0"/>
    <n v="40"/>
    <n v="-7.009999999999998"/>
    <x v="907"/>
    <x v="6"/>
    <x v="20"/>
    <x v="7"/>
    <x v="1"/>
    <x v="0"/>
  </r>
  <r>
    <x v="2"/>
    <n v="42.24"/>
    <n v="1731.8400000000001"/>
    <x v="9"/>
    <x v="0"/>
    <n v="1"/>
    <n v="1"/>
    <n v="2004"/>
    <x v="0"/>
    <n v="40"/>
    <n v="2.240000000000002"/>
    <x v="908"/>
    <x v="0"/>
    <x v="2"/>
    <x v="1"/>
    <x v="1"/>
    <x v="0"/>
  </r>
  <r>
    <x v="30"/>
    <n v="39.43"/>
    <n v="1695.49"/>
    <x v="133"/>
    <x v="0"/>
    <n v="1"/>
    <n v="2"/>
    <n v="2004"/>
    <x v="0"/>
    <n v="40"/>
    <n v="-0.57000000000000028"/>
    <x v="909"/>
    <x v="4"/>
    <x v="6"/>
    <x v="1"/>
    <x v="1"/>
    <x v="0"/>
  </r>
  <r>
    <x v="18"/>
    <n v="40.229999999999997"/>
    <n v="1045.98"/>
    <x v="11"/>
    <x v="0"/>
    <n v="2"/>
    <n v="4"/>
    <n v="2004"/>
    <x v="0"/>
    <n v="40"/>
    <n v="0.22999999999999687"/>
    <x v="902"/>
    <x v="0"/>
    <x v="0"/>
    <x v="0"/>
    <x v="0"/>
    <x v="0"/>
  </r>
  <r>
    <x v="5"/>
    <n v="48.28"/>
    <n v="1738.08"/>
    <x v="224"/>
    <x v="0"/>
    <n v="2"/>
    <n v="5"/>
    <n v="2004"/>
    <x v="0"/>
    <n v="40"/>
    <n v="8.2800000000000011"/>
    <x v="910"/>
    <x v="0"/>
    <x v="2"/>
    <x v="1"/>
    <x v="1"/>
    <x v="0"/>
  </r>
  <r>
    <x v="14"/>
    <n v="32.590000000000003"/>
    <n v="651.80000000000007"/>
    <x v="230"/>
    <x v="0"/>
    <n v="2"/>
    <n v="6"/>
    <n v="2004"/>
    <x v="0"/>
    <n v="40"/>
    <n v="-7.4099999999999966"/>
    <x v="911"/>
    <x v="6"/>
    <x v="48"/>
    <x v="0"/>
    <x v="0"/>
    <x v="0"/>
  </r>
  <r>
    <x v="26"/>
    <n v="36.61"/>
    <n v="988.47"/>
    <x v="110"/>
    <x v="0"/>
    <n v="3"/>
    <n v="8"/>
    <n v="2004"/>
    <x v="0"/>
    <n v="40"/>
    <n v="-3.3900000000000006"/>
    <x v="912"/>
    <x v="3"/>
    <x v="35"/>
    <x v="0"/>
    <x v="0"/>
    <x v="0"/>
  </r>
  <r>
    <x v="9"/>
    <n v="41.03"/>
    <n v="1518.1100000000001"/>
    <x v="15"/>
    <x v="0"/>
    <n v="3"/>
    <n v="8"/>
    <n v="2004"/>
    <x v="0"/>
    <n v="40"/>
    <n v="1.0300000000000011"/>
    <x v="913"/>
    <x v="0"/>
    <x v="12"/>
    <x v="0"/>
    <x v="0"/>
    <x v="0"/>
  </r>
  <r>
    <x v="16"/>
    <n v="42.24"/>
    <n v="1013.76"/>
    <x v="16"/>
    <x v="0"/>
    <n v="3"/>
    <n v="9"/>
    <n v="2004"/>
    <x v="0"/>
    <n v="40"/>
    <n v="2.240000000000002"/>
    <x v="908"/>
    <x v="0"/>
    <x v="13"/>
    <x v="4"/>
    <x v="1"/>
    <x v="0"/>
  </r>
  <r>
    <x v="5"/>
    <n v="43.05"/>
    <n v="1549.8"/>
    <x v="113"/>
    <x v="0"/>
    <n v="4"/>
    <n v="10"/>
    <n v="2004"/>
    <x v="0"/>
    <n v="40"/>
    <n v="3.0499999999999972"/>
    <x v="694"/>
    <x v="0"/>
    <x v="55"/>
    <x v="16"/>
    <x v="1"/>
    <x v="0"/>
  </r>
  <r>
    <x v="6"/>
    <n v="38.22"/>
    <n v="1108.3799999999999"/>
    <x v="114"/>
    <x v="0"/>
    <n v="4"/>
    <n v="11"/>
    <n v="2004"/>
    <x v="0"/>
    <n v="40"/>
    <n v="-1.7800000000000011"/>
    <x v="914"/>
    <x v="4"/>
    <x v="0"/>
    <x v="0"/>
    <x v="0"/>
    <x v="0"/>
  </r>
  <r>
    <x v="11"/>
    <n v="100"/>
    <n v="2800"/>
    <x v="159"/>
    <x v="0"/>
    <n v="4"/>
    <n v="11"/>
    <n v="2004"/>
    <x v="0"/>
    <n v="40"/>
    <n v="60"/>
    <x v="915"/>
    <x v="0"/>
    <x v="24"/>
    <x v="0"/>
    <x v="0"/>
    <x v="1"/>
  </r>
  <r>
    <x v="6"/>
    <n v="100"/>
    <n v="2900"/>
    <x v="20"/>
    <x v="0"/>
    <n v="4"/>
    <n v="11"/>
    <n v="2004"/>
    <x v="0"/>
    <n v="40"/>
    <n v="60"/>
    <x v="915"/>
    <x v="0"/>
    <x v="1"/>
    <x v="1"/>
    <x v="1"/>
    <x v="1"/>
  </r>
  <r>
    <x v="19"/>
    <n v="39.83"/>
    <n v="1513.54"/>
    <x v="228"/>
    <x v="0"/>
    <n v="4"/>
    <n v="12"/>
    <n v="2004"/>
    <x v="0"/>
    <n v="40"/>
    <n v="-0.17000000000000171"/>
    <x v="905"/>
    <x v="2"/>
    <x v="20"/>
    <x v="7"/>
    <x v="1"/>
    <x v="0"/>
  </r>
  <r>
    <x v="7"/>
    <n v="48.28"/>
    <n v="2317.44"/>
    <x v="115"/>
    <x v="0"/>
    <n v="1"/>
    <n v="1"/>
    <n v="2005"/>
    <x v="0"/>
    <n v="40"/>
    <n v="8.2800000000000011"/>
    <x v="910"/>
    <x v="0"/>
    <x v="54"/>
    <x v="1"/>
    <x v="1"/>
    <x v="0"/>
  </r>
  <r>
    <x v="23"/>
    <n v="82.46"/>
    <n v="3298.3999999999996"/>
    <x v="184"/>
    <x v="0"/>
    <n v="1"/>
    <n v="2"/>
    <n v="2005"/>
    <x v="0"/>
    <n v="40"/>
    <n v="42.459999999999994"/>
    <x v="916"/>
    <x v="0"/>
    <x v="20"/>
    <x v="7"/>
    <x v="1"/>
    <x v="1"/>
  </r>
  <r>
    <x v="2"/>
    <n v="44.56"/>
    <n v="1826.96"/>
    <x v="162"/>
    <x v="0"/>
    <n v="1"/>
    <n v="3"/>
    <n v="2005"/>
    <x v="0"/>
    <n v="40"/>
    <n v="4.5600000000000023"/>
    <x v="917"/>
    <x v="0"/>
    <x v="33"/>
    <x v="0"/>
    <x v="0"/>
    <x v="0"/>
  </r>
  <r>
    <x v="0"/>
    <n v="40.229999999999997"/>
    <n v="1206.8999999999999"/>
    <x v="24"/>
    <x v="0"/>
    <n v="2"/>
    <n v="4"/>
    <n v="2005"/>
    <x v="0"/>
    <n v="40"/>
    <n v="0.22999999999999687"/>
    <x v="902"/>
    <x v="0"/>
    <x v="19"/>
    <x v="6"/>
    <x v="1"/>
    <x v="0"/>
  </r>
  <r>
    <x v="21"/>
    <n v="47.62"/>
    <n v="1666.6999999999998"/>
    <x v="134"/>
    <x v="0"/>
    <n v="1"/>
    <n v="1"/>
    <n v="2003"/>
    <x v="2"/>
    <n v="54"/>
    <n v="-6.3800000000000026"/>
    <x v="918"/>
    <x v="1"/>
    <x v="20"/>
    <x v="7"/>
    <x v="1"/>
    <x v="0"/>
  </r>
  <r>
    <x v="11"/>
    <n v="55.73"/>
    <n v="1560.4399999999998"/>
    <x v="89"/>
    <x v="0"/>
    <n v="2"/>
    <n v="4"/>
    <n v="2003"/>
    <x v="2"/>
    <n v="54"/>
    <n v="1.7299999999999969"/>
    <x v="919"/>
    <x v="0"/>
    <x v="2"/>
    <x v="1"/>
    <x v="1"/>
    <x v="0"/>
  </r>
  <r>
    <x v="3"/>
    <n v="51.95"/>
    <n v="2337.75"/>
    <x v="118"/>
    <x v="0"/>
    <n v="2"/>
    <n v="6"/>
    <n v="2003"/>
    <x v="2"/>
    <n v="54"/>
    <n v="-2.0499999999999972"/>
    <x v="920"/>
    <x v="4"/>
    <x v="0"/>
    <x v="0"/>
    <x v="0"/>
    <x v="0"/>
  </r>
  <r>
    <x v="16"/>
    <n v="45.99"/>
    <n v="1103.76"/>
    <x v="144"/>
    <x v="0"/>
    <n v="3"/>
    <n v="8"/>
    <n v="2003"/>
    <x v="2"/>
    <n v="54"/>
    <n v="-8.009999999999998"/>
    <x v="921"/>
    <x v="1"/>
    <x v="59"/>
    <x v="4"/>
    <x v="1"/>
    <x v="0"/>
  </r>
  <r>
    <x v="2"/>
    <n v="63.85"/>
    <n v="2617.85"/>
    <x v="145"/>
    <x v="0"/>
    <n v="3"/>
    <n v="9"/>
    <n v="2003"/>
    <x v="2"/>
    <n v="54"/>
    <n v="9.8500000000000014"/>
    <x v="922"/>
    <x v="0"/>
    <x v="50"/>
    <x v="4"/>
    <x v="1"/>
    <x v="0"/>
  </r>
  <r>
    <x v="7"/>
    <n v="45.99"/>
    <n v="2207.52"/>
    <x v="121"/>
    <x v="0"/>
    <n v="4"/>
    <n v="10"/>
    <n v="2003"/>
    <x v="2"/>
    <n v="54"/>
    <n v="-8.009999999999998"/>
    <x v="921"/>
    <x v="1"/>
    <x v="22"/>
    <x v="9"/>
    <x v="2"/>
    <x v="0"/>
  </r>
  <r>
    <x v="24"/>
    <n v="63.31"/>
    <n v="3165.5"/>
    <x v="32"/>
    <x v="0"/>
    <n v="4"/>
    <n v="11"/>
    <n v="2003"/>
    <x v="2"/>
    <n v="54"/>
    <n v="9.3100000000000023"/>
    <x v="923"/>
    <x v="0"/>
    <x v="41"/>
    <x v="6"/>
    <x v="1"/>
    <x v="1"/>
  </r>
  <r>
    <x v="29"/>
    <n v="62.77"/>
    <n v="2071.4100000000003"/>
    <x v="69"/>
    <x v="0"/>
    <n v="4"/>
    <n v="11"/>
    <n v="2003"/>
    <x v="2"/>
    <n v="54"/>
    <n v="8.7700000000000031"/>
    <x v="924"/>
    <x v="0"/>
    <x v="64"/>
    <x v="7"/>
    <x v="1"/>
    <x v="0"/>
  </r>
  <r>
    <x v="22"/>
    <n v="43.29"/>
    <n v="1385.28"/>
    <x v="34"/>
    <x v="0"/>
    <n v="4"/>
    <n v="11"/>
    <n v="2003"/>
    <x v="2"/>
    <n v="54"/>
    <n v="-10.71"/>
    <x v="925"/>
    <x v="6"/>
    <x v="39"/>
    <x v="0"/>
    <x v="0"/>
    <x v="0"/>
  </r>
  <r>
    <x v="26"/>
    <n v="60.06"/>
    <n v="1621.6200000000001"/>
    <x v="91"/>
    <x v="0"/>
    <n v="4"/>
    <n v="12"/>
    <n v="2003"/>
    <x v="2"/>
    <n v="54"/>
    <n v="6.0600000000000023"/>
    <x v="926"/>
    <x v="0"/>
    <x v="48"/>
    <x v="0"/>
    <x v="0"/>
    <x v="0"/>
  </r>
  <r>
    <x v="21"/>
    <n v="55.19"/>
    <n v="1931.6499999999999"/>
    <x v="146"/>
    <x v="0"/>
    <n v="1"/>
    <n v="2"/>
    <n v="2004"/>
    <x v="2"/>
    <n v="54"/>
    <n v="1.1899999999999977"/>
    <x v="927"/>
    <x v="0"/>
    <x v="65"/>
    <x v="0"/>
    <x v="0"/>
    <x v="0"/>
  </r>
  <r>
    <x v="10"/>
    <n v="54.11"/>
    <n v="1244.53"/>
    <x v="93"/>
    <x v="0"/>
    <n v="1"/>
    <n v="3"/>
    <n v="2004"/>
    <x v="2"/>
    <n v="54"/>
    <n v="0.10999999999999943"/>
    <x v="928"/>
    <x v="2"/>
    <x v="33"/>
    <x v="0"/>
    <x v="0"/>
    <x v="0"/>
  </r>
  <r>
    <x v="21"/>
    <n v="48.7"/>
    <n v="1704.5"/>
    <x v="125"/>
    <x v="0"/>
    <n v="2"/>
    <n v="5"/>
    <n v="2004"/>
    <x v="2"/>
    <n v="54"/>
    <n v="-5.2999999999999972"/>
    <x v="929"/>
    <x v="3"/>
    <x v="20"/>
    <x v="7"/>
    <x v="1"/>
    <x v="0"/>
  </r>
  <r>
    <x v="23"/>
    <n v="43.83"/>
    <n v="1753.1999999999998"/>
    <x v="39"/>
    <x v="0"/>
    <n v="2"/>
    <n v="6"/>
    <n v="2004"/>
    <x v="2"/>
    <n v="54"/>
    <n v="-10.170000000000002"/>
    <x v="930"/>
    <x v="6"/>
    <x v="22"/>
    <x v="9"/>
    <x v="2"/>
    <x v="0"/>
  </r>
  <r>
    <x v="21"/>
    <n v="47.62"/>
    <n v="1666.6999999999998"/>
    <x v="126"/>
    <x v="0"/>
    <n v="3"/>
    <n v="7"/>
    <n v="2004"/>
    <x v="2"/>
    <n v="54"/>
    <n v="-6.3800000000000026"/>
    <x v="918"/>
    <x v="1"/>
    <x v="33"/>
    <x v="0"/>
    <x v="0"/>
    <x v="0"/>
  </r>
  <r>
    <x v="28"/>
    <n v="55.19"/>
    <n v="1710.8899999999999"/>
    <x v="94"/>
    <x v="0"/>
    <n v="3"/>
    <n v="8"/>
    <n v="2004"/>
    <x v="2"/>
    <n v="54"/>
    <n v="1.1899999999999977"/>
    <x v="927"/>
    <x v="0"/>
    <x v="15"/>
    <x v="0"/>
    <x v="0"/>
    <x v="0"/>
  </r>
  <r>
    <x v="24"/>
    <n v="46.53"/>
    <n v="2326.5"/>
    <x v="42"/>
    <x v="0"/>
    <n v="3"/>
    <n v="9"/>
    <n v="2004"/>
    <x v="2"/>
    <n v="54"/>
    <n v="-7.4699999999999989"/>
    <x v="931"/>
    <x v="1"/>
    <x v="0"/>
    <x v="0"/>
    <x v="0"/>
    <x v="0"/>
  </r>
  <r>
    <x v="23"/>
    <n v="57.9"/>
    <n v="2316"/>
    <x v="95"/>
    <x v="0"/>
    <n v="4"/>
    <n v="10"/>
    <n v="2004"/>
    <x v="2"/>
    <n v="54"/>
    <n v="3.8999999999999986"/>
    <x v="932"/>
    <x v="0"/>
    <x v="12"/>
    <x v="0"/>
    <x v="0"/>
    <x v="0"/>
  </r>
  <r>
    <x v="19"/>
    <n v="45.45"/>
    <n v="1727.1000000000001"/>
    <x v="96"/>
    <x v="0"/>
    <n v="4"/>
    <n v="10"/>
    <n v="2004"/>
    <x v="2"/>
    <n v="54"/>
    <n v="-8.5499999999999972"/>
    <x v="933"/>
    <x v="6"/>
    <x v="26"/>
    <x v="10"/>
    <x v="0"/>
    <x v="0"/>
  </r>
  <r>
    <x v="19"/>
    <n v="100"/>
    <n v="3800"/>
    <x v="80"/>
    <x v="0"/>
    <n v="4"/>
    <n v="11"/>
    <n v="2004"/>
    <x v="2"/>
    <n v="54"/>
    <n v="46"/>
    <x v="934"/>
    <x v="0"/>
    <x v="14"/>
    <x v="2"/>
    <x v="1"/>
    <x v="2"/>
  </r>
  <r>
    <x v="23"/>
    <n v="60.6"/>
    <n v="2424"/>
    <x v="97"/>
    <x v="0"/>
    <n v="4"/>
    <n v="11"/>
    <n v="2004"/>
    <x v="2"/>
    <n v="54"/>
    <n v="6.6000000000000014"/>
    <x v="935"/>
    <x v="0"/>
    <x v="33"/>
    <x v="0"/>
    <x v="0"/>
    <x v="0"/>
  </r>
  <r>
    <x v="29"/>
    <n v="46.53"/>
    <n v="1535.49"/>
    <x v="140"/>
    <x v="0"/>
    <n v="4"/>
    <n v="12"/>
    <n v="2004"/>
    <x v="2"/>
    <n v="54"/>
    <n v="-7.4699999999999989"/>
    <x v="931"/>
    <x v="1"/>
    <x v="0"/>
    <x v="0"/>
    <x v="0"/>
    <x v="0"/>
  </r>
  <r>
    <x v="5"/>
    <n v="100"/>
    <n v="3600"/>
    <x v="83"/>
    <x v="0"/>
    <n v="4"/>
    <n v="12"/>
    <n v="2004"/>
    <x v="2"/>
    <n v="54"/>
    <n v="46"/>
    <x v="934"/>
    <x v="0"/>
    <x v="1"/>
    <x v="1"/>
    <x v="1"/>
    <x v="1"/>
  </r>
  <r>
    <x v="14"/>
    <n v="66.47"/>
    <n v="1329.4"/>
    <x v="129"/>
    <x v="0"/>
    <n v="1"/>
    <n v="1"/>
    <n v="2005"/>
    <x v="2"/>
    <n v="54"/>
    <n v="12.469999999999999"/>
    <x v="936"/>
    <x v="0"/>
    <x v="33"/>
    <x v="0"/>
    <x v="0"/>
    <x v="0"/>
  </r>
  <r>
    <x v="22"/>
    <n v="53.18"/>
    <n v="1701.76"/>
    <x v="205"/>
    <x v="0"/>
    <n v="1"/>
    <n v="2"/>
    <n v="2005"/>
    <x v="2"/>
    <n v="54"/>
    <n v="-0.82000000000000028"/>
    <x v="937"/>
    <x v="4"/>
    <x v="20"/>
    <x v="7"/>
    <x v="1"/>
    <x v="0"/>
  </r>
  <r>
    <x v="5"/>
    <n v="62.77"/>
    <n v="2259.7200000000003"/>
    <x v="222"/>
    <x v="0"/>
    <n v="1"/>
    <n v="3"/>
    <n v="2005"/>
    <x v="2"/>
    <n v="54"/>
    <n v="8.7700000000000031"/>
    <x v="924"/>
    <x v="0"/>
    <x v="20"/>
    <x v="7"/>
    <x v="1"/>
    <x v="0"/>
  </r>
  <r>
    <x v="34"/>
    <n v="48.7"/>
    <n v="925.30000000000007"/>
    <x v="147"/>
    <x v="0"/>
    <n v="2"/>
    <n v="5"/>
    <n v="2005"/>
    <x v="2"/>
    <n v="54"/>
    <n v="-5.2999999999999972"/>
    <x v="929"/>
    <x v="3"/>
    <x v="20"/>
    <x v="7"/>
    <x v="1"/>
    <x v="0"/>
  </r>
  <r>
    <x v="54"/>
    <n v="43.83"/>
    <n v="482.13"/>
    <x v="53"/>
    <x v="2"/>
    <n v="2"/>
    <n v="5"/>
    <n v="2005"/>
    <x v="2"/>
    <n v="54"/>
    <n v="-10.170000000000002"/>
    <x v="930"/>
    <x v="6"/>
    <x v="11"/>
    <x v="1"/>
    <x v="1"/>
    <x v="0"/>
  </r>
  <r>
    <x v="4"/>
    <n v="65.87"/>
    <n v="3227.63"/>
    <x v="134"/>
    <x v="0"/>
    <n v="1"/>
    <n v="1"/>
    <n v="2003"/>
    <x v="6"/>
    <n v="62"/>
    <n v="3.8700000000000045"/>
    <x v="938"/>
    <x v="0"/>
    <x v="20"/>
    <x v="7"/>
    <x v="1"/>
    <x v="1"/>
  </r>
  <r>
    <x v="26"/>
    <n v="63.38"/>
    <n v="1711.26"/>
    <x v="247"/>
    <x v="0"/>
    <n v="2"/>
    <n v="4"/>
    <n v="2003"/>
    <x v="6"/>
    <n v="62"/>
    <n v="1.3800000000000026"/>
    <x v="939"/>
    <x v="0"/>
    <x v="72"/>
    <x v="14"/>
    <x v="1"/>
    <x v="0"/>
  </r>
  <r>
    <x v="6"/>
    <n v="70.84"/>
    <n v="2054.36"/>
    <x v="118"/>
    <x v="0"/>
    <n v="2"/>
    <n v="6"/>
    <n v="2003"/>
    <x v="6"/>
    <n v="62"/>
    <n v="8.8400000000000034"/>
    <x v="940"/>
    <x v="0"/>
    <x v="0"/>
    <x v="0"/>
    <x v="0"/>
    <x v="0"/>
  </r>
  <r>
    <x v="13"/>
    <n v="74.569999999999993"/>
    <n v="3131.9399999999996"/>
    <x v="119"/>
    <x v="0"/>
    <n v="3"/>
    <n v="8"/>
    <n v="2003"/>
    <x v="6"/>
    <n v="62"/>
    <n v="12.569999999999993"/>
    <x v="941"/>
    <x v="0"/>
    <x v="33"/>
    <x v="0"/>
    <x v="0"/>
    <x v="1"/>
  </r>
  <r>
    <x v="29"/>
    <n v="50.95"/>
    <n v="1681.3500000000001"/>
    <x v="235"/>
    <x v="0"/>
    <n v="3"/>
    <n v="9"/>
    <n v="2003"/>
    <x v="6"/>
    <n v="62"/>
    <n v="-11.049999999999997"/>
    <x v="942"/>
    <x v="6"/>
    <x v="23"/>
    <x v="3"/>
    <x v="2"/>
    <x v="0"/>
  </r>
  <r>
    <x v="27"/>
    <n v="53.44"/>
    <n v="2351.3599999999997"/>
    <x v="121"/>
    <x v="0"/>
    <n v="4"/>
    <n v="10"/>
    <n v="2003"/>
    <x v="6"/>
    <n v="62"/>
    <n v="-8.5600000000000023"/>
    <x v="943"/>
    <x v="1"/>
    <x v="22"/>
    <x v="9"/>
    <x v="2"/>
    <x v="0"/>
  </r>
  <r>
    <x v="8"/>
    <n v="64"/>
    <n v="1408"/>
    <x v="32"/>
    <x v="0"/>
    <n v="4"/>
    <n v="11"/>
    <n v="2003"/>
    <x v="6"/>
    <n v="62"/>
    <n v="2"/>
    <x v="944"/>
    <x v="0"/>
    <x v="57"/>
    <x v="12"/>
    <x v="1"/>
    <x v="0"/>
  </r>
  <r>
    <x v="7"/>
    <n v="50.95"/>
    <n v="2445.6000000000004"/>
    <x v="69"/>
    <x v="0"/>
    <n v="4"/>
    <n v="11"/>
    <n v="2003"/>
    <x v="6"/>
    <n v="62"/>
    <n v="-11.049999999999997"/>
    <x v="942"/>
    <x v="6"/>
    <x v="64"/>
    <x v="7"/>
    <x v="1"/>
    <x v="0"/>
  </r>
  <r>
    <x v="29"/>
    <n v="54.68"/>
    <n v="1804.44"/>
    <x v="34"/>
    <x v="0"/>
    <n v="4"/>
    <n v="11"/>
    <n v="2003"/>
    <x v="6"/>
    <n v="62"/>
    <n v="-7.32"/>
    <x v="945"/>
    <x v="1"/>
    <x v="39"/>
    <x v="0"/>
    <x v="0"/>
    <x v="0"/>
  </r>
  <r>
    <x v="3"/>
    <n v="56.55"/>
    <n v="2544.75"/>
    <x v="91"/>
    <x v="0"/>
    <n v="4"/>
    <n v="12"/>
    <n v="2003"/>
    <x v="6"/>
    <n v="62"/>
    <n v="-5.4500000000000028"/>
    <x v="946"/>
    <x v="3"/>
    <x v="48"/>
    <x v="0"/>
    <x v="0"/>
    <x v="0"/>
  </r>
  <r>
    <x v="14"/>
    <n v="52.82"/>
    <n v="1056.4000000000001"/>
    <x v="123"/>
    <x v="0"/>
    <n v="1"/>
    <n v="2"/>
    <n v="2004"/>
    <x v="6"/>
    <n v="62"/>
    <n v="-9.18"/>
    <x v="947"/>
    <x v="1"/>
    <x v="60"/>
    <x v="18"/>
    <x v="1"/>
    <x v="0"/>
  </r>
  <r>
    <x v="12"/>
    <n v="60.9"/>
    <n v="2801.4"/>
    <x v="135"/>
    <x v="0"/>
    <n v="1"/>
    <n v="3"/>
    <n v="2004"/>
    <x v="6"/>
    <n v="62"/>
    <n v="-1.1000000000000014"/>
    <x v="948"/>
    <x v="4"/>
    <x v="58"/>
    <x v="16"/>
    <x v="1"/>
    <x v="0"/>
  </r>
  <r>
    <x v="23"/>
    <n v="49.71"/>
    <n v="1988.4"/>
    <x v="125"/>
    <x v="0"/>
    <n v="2"/>
    <n v="5"/>
    <n v="2004"/>
    <x v="6"/>
    <n v="62"/>
    <n v="-12.29"/>
    <x v="949"/>
    <x v="6"/>
    <x v="59"/>
    <x v="4"/>
    <x v="1"/>
    <x v="0"/>
  </r>
  <r>
    <x v="3"/>
    <n v="64.63"/>
    <n v="2908.35"/>
    <x v="126"/>
    <x v="0"/>
    <n v="3"/>
    <n v="7"/>
    <n v="2004"/>
    <x v="6"/>
    <n v="62"/>
    <n v="2.6299999999999955"/>
    <x v="950"/>
    <x v="0"/>
    <x v="15"/>
    <x v="0"/>
    <x v="0"/>
    <x v="0"/>
  </r>
  <r>
    <x v="5"/>
    <n v="59.65"/>
    <n v="2147.4"/>
    <x v="76"/>
    <x v="0"/>
    <n v="3"/>
    <n v="8"/>
    <n v="2004"/>
    <x v="6"/>
    <n v="62"/>
    <n v="-2.3500000000000014"/>
    <x v="951"/>
    <x v="4"/>
    <x v="33"/>
    <x v="0"/>
    <x v="0"/>
    <x v="0"/>
  </r>
  <r>
    <x v="28"/>
    <n v="67.73"/>
    <n v="2099.63"/>
    <x v="42"/>
    <x v="0"/>
    <n v="3"/>
    <n v="9"/>
    <n v="2004"/>
    <x v="6"/>
    <n v="62"/>
    <n v="5.730000000000004"/>
    <x v="952"/>
    <x v="0"/>
    <x v="0"/>
    <x v="0"/>
    <x v="0"/>
    <x v="0"/>
  </r>
  <r>
    <x v="12"/>
    <n v="50.33"/>
    <n v="2315.1799999999998"/>
    <x v="78"/>
    <x v="0"/>
    <n v="4"/>
    <n v="10"/>
    <n v="2004"/>
    <x v="6"/>
    <n v="62"/>
    <n v="-11.670000000000002"/>
    <x v="953"/>
    <x v="6"/>
    <x v="61"/>
    <x v="6"/>
    <x v="1"/>
    <x v="0"/>
  </r>
  <r>
    <x v="21"/>
    <n v="66.489999999999995"/>
    <n v="2327.1499999999996"/>
    <x v="96"/>
    <x v="0"/>
    <n v="4"/>
    <n v="10"/>
    <n v="2004"/>
    <x v="6"/>
    <n v="62"/>
    <n v="4.4899999999999949"/>
    <x v="954"/>
    <x v="0"/>
    <x v="62"/>
    <x v="13"/>
    <x v="1"/>
    <x v="0"/>
  </r>
  <r>
    <x v="11"/>
    <n v="100"/>
    <n v="2800"/>
    <x v="80"/>
    <x v="0"/>
    <n v="4"/>
    <n v="11"/>
    <n v="2004"/>
    <x v="6"/>
    <n v="62"/>
    <n v="38"/>
    <x v="281"/>
    <x v="0"/>
    <x v="14"/>
    <x v="2"/>
    <x v="1"/>
    <x v="1"/>
  </r>
  <r>
    <x v="28"/>
    <n v="84.71"/>
    <n v="2626.0099999999998"/>
    <x v="128"/>
    <x v="0"/>
    <n v="4"/>
    <n v="11"/>
    <n v="2004"/>
    <x v="6"/>
    <n v="62"/>
    <n v="22.709999999999994"/>
    <x v="955"/>
    <x v="0"/>
    <x v="2"/>
    <x v="1"/>
    <x v="1"/>
    <x v="0"/>
  </r>
  <r>
    <x v="26"/>
    <n v="100"/>
    <n v="2700"/>
    <x v="82"/>
    <x v="0"/>
    <n v="4"/>
    <n v="12"/>
    <n v="2004"/>
    <x v="6"/>
    <n v="62"/>
    <n v="38"/>
    <x v="281"/>
    <x v="0"/>
    <x v="20"/>
    <x v="7"/>
    <x v="1"/>
    <x v="1"/>
  </r>
  <r>
    <x v="8"/>
    <n v="100"/>
    <n v="2200"/>
    <x v="83"/>
    <x v="0"/>
    <n v="4"/>
    <n v="12"/>
    <n v="2004"/>
    <x v="6"/>
    <n v="62"/>
    <n v="38"/>
    <x v="281"/>
    <x v="0"/>
    <x v="1"/>
    <x v="1"/>
    <x v="1"/>
    <x v="1"/>
  </r>
  <r>
    <x v="0"/>
    <n v="99.55"/>
    <n v="2986.5"/>
    <x v="129"/>
    <x v="0"/>
    <n v="1"/>
    <n v="1"/>
    <n v="2005"/>
    <x v="6"/>
    <n v="62"/>
    <n v="37.549999999999997"/>
    <x v="956"/>
    <x v="0"/>
    <x v="33"/>
    <x v="0"/>
    <x v="0"/>
    <x v="0"/>
  </r>
  <r>
    <x v="27"/>
    <n v="36.07"/>
    <n v="1587.08"/>
    <x v="205"/>
    <x v="0"/>
    <n v="1"/>
    <n v="2"/>
    <n v="2005"/>
    <x v="6"/>
    <n v="62"/>
    <n v="-25.93"/>
    <x v="957"/>
    <x v="5"/>
    <x v="20"/>
    <x v="7"/>
    <x v="1"/>
    <x v="0"/>
  </r>
  <r>
    <x v="0"/>
    <n v="60.28"/>
    <n v="1808.4"/>
    <x v="222"/>
    <x v="0"/>
    <n v="1"/>
    <n v="3"/>
    <n v="2005"/>
    <x v="6"/>
    <n v="62"/>
    <n v="-1.7199999999999989"/>
    <x v="958"/>
    <x v="4"/>
    <x v="20"/>
    <x v="7"/>
    <x v="1"/>
    <x v="0"/>
  </r>
  <r>
    <x v="16"/>
    <n v="49.71"/>
    <n v="1193.04"/>
    <x v="130"/>
    <x v="0"/>
    <n v="2"/>
    <n v="5"/>
    <n v="2005"/>
    <x v="6"/>
    <n v="62"/>
    <n v="-12.29"/>
    <x v="949"/>
    <x v="6"/>
    <x v="10"/>
    <x v="0"/>
    <x v="0"/>
    <x v="0"/>
  </r>
  <r>
    <x v="3"/>
    <n v="75.63"/>
    <n v="3403.35"/>
    <x v="26"/>
    <x v="0"/>
    <n v="1"/>
    <n v="1"/>
    <n v="2003"/>
    <x v="2"/>
    <n v="64"/>
    <n v="11.629999999999995"/>
    <x v="959"/>
    <x v="0"/>
    <x v="14"/>
    <x v="2"/>
    <x v="1"/>
    <x v="1"/>
  </r>
  <r>
    <x v="10"/>
    <n v="68.52"/>
    <n v="1575.9599999999998"/>
    <x v="131"/>
    <x v="0"/>
    <n v="1"/>
    <n v="3"/>
    <n v="2003"/>
    <x v="2"/>
    <n v="64"/>
    <n v="4.519999999999996"/>
    <x v="960"/>
    <x v="0"/>
    <x v="33"/>
    <x v="0"/>
    <x v="0"/>
    <x v="0"/>
  </r>
  <r>
    <x v="18"/>
    <n v="62.7"/>
    <n v="1630.2"/>
    <x v="28"/>
    <x v="0"/>
    <n v="2"/>
    <n v="5"/>
    <n v="2003"/>
    <x v="2"/>
    <n v="64"/>
    <n v="-1.2999999999999972"/>
    <x v="961"/>
    <x v="4"/>
    <x v="20"/>
    <x v="7"/>
    <x v="1"/>
    <x v="0"/>
  </r>
  <r>
    <x v="11"/>
    <n v="60.76"/>
    <n v="1701.28"/>
    <x v="29"/>
    <x v="0"/>
    <n v="3"/>
    <n v="7"/>
    <n v="2003"/>
    <x v="2"/>
    <n v="64"/>
    <n v="-3.240000000000002"/>
    <x v="962"/>
    <x v="4"/>
    <x v="5"/>
    <x v="0"/>
    <x v="0"/>
    <x v="0"/>
  </r>
  <r>
    <x v="4"/>
    <n v="58.18"/>
    <n v="2850.82"/>
    <x v="30"/>
    <x v="0"/>
    <n v="3"/>
    <n v="9"/>
    <n v="2003"/>
    <x v="2"/>
    <n v="64"/>
    <n v="-5.82"/>
    <x v="963"/>
    <x v="3"/>
    <x v="22"/>
    <x v="9"/>
    <x v="2"/>
    <x v="0"/>
  </r>
  <r>
    <x v="4"/>
    <n v="54.94"/>
    <n v="2692.06"/>
    <x v="90"/>
    <x v="5"/>
    <n v="4"/>
    <n v="10"/>
    <n v="2003"/>
    <x v="2"/>
    <n v="64"/>
    <n v="-9.0600000000000023"/>
    <x v="964"/>
    <x v="1"/>
    <x v="52"/>
    <x v="5"/>
    <x v="1"/>
    <x v="0"/>
  </r>
  <r>
    <x v="6"/>
    <n v="74.98"/>
    <n v="2174.42"/>
    <x v="32"/>
    <x v="0"/>
    <n v="4"/>
    <n v="11"/>
    <n v="2003"/>
    <x v="2"/>
    <n v="64"/>
    <n v="10.980000000000004"/>
    <x v="965"/>
    <x v="0"/>
    <x v="41"/>
    <x v="6"/>
    <x v="1"/>
    <x v="0"/>
  </r>
  <r>
    <x v="4"/>
    <n v="64.64"/>
    <n v="3167.36"/>
    <x v="33"/>
    <x v="0"/>
    <n v="4"/>
    <n v="11"/>
    <n v="2003"/>
    <x v="2"/>
    <n v="64"/>
    <n v="0.64000000000000057"/>
    <x v="966"/>
    <x v="0"/>
    <x v="24"/>
    <x v="0"/>
    <x v="0"/>
    <x v="1"/>
  </r>
  <r>
    <x v="25"/>
    <n v="54.94"/>
    <n v="2142.66"/>
    <x v="34"/>
    <x v="0"/>
    <n v="4"/>
    <n v="11"/>
    <n v="2003"/>
    <x v="2"/>
    <n v="64"/>
    <n v="-9.0600000000000023"/>
    <x v="964"/>
    <x v="1"/>
    <x v="25"/>
    <x v="1"/>
    <x v="1"/>
    <x v="0"/>
  </r>
  <r>
    <x v="5"/>
    <n v="58.82"/>
    <n v="2117.52"/>
    <x v="35"/>
    <x v="0"/>
    <n v="4"/>
    <n v="12"/>
    <n v="2003"/>
    <x v="2"/>
    <n v="64"/>
    <n v="-5.18"/>
    <x v="967"/>
    <x v="3"/>
    <x v="26"/>
    <x v="10"/>
    <x v="0"/>
    <x v="0"/>
  </r>
  <r>
    <x v="25"/>
    <n v="62.05"/>
    <n v="2419.9499999999998"/>
    <x v="92"/>
    <x v="0"/>
    <n v="1"/>
    <n v="2"/>
    <n v="2004"/>
    <x v="2"/>
    <n v="64"/>
    <n v="-1.9500000000000028"/>
    <x v="968"/>
    <x v="4"/>
    <x v="22"/>
    <x v="9"/>
    <x v="2"/>
    <x v="0"/>
  </r>
  <r>
    <x v="0"/>
    <n v="73.040000000000006"/>
    <n v="2191.2000000000003"/>
    <x v="93"/>
    <x v="0"/>
    <n v="1"/>
    <n v="3"/>
    <n v="2004"/>
    <x v="2"/>
    <n v="64"/>
    <n v="9.0400000000000063"/>
    <x v="969"/>
    <x v="0"/>
    <x v="33"/>
    <x v="0"/>
    <x v="0"/>
    <x v="0"/>
  </r>
  <r>
    <x v="27"/>
    <n v="69.16"/>
    <n v="3043.04"/>
    <x v="38"/>
    <x v="0"/>
    <n v="2"/>
    <n v="5"/>
    <n v="2004"/>
    <x v="2"/>
    <n v="64"/>
    <n v="5.1599999999999966"/>
    <x v="970"/>
    <x v="0"/>
    <x v="28"/>
    <x v="0"/>
    <x v="0"/>
    <x v="1"/>
  </r>
  <r>
    <x v="14"/>
    <n v="61.41"/>
    <n v="1228.1999999999998"/>
    <x v="39"/>
    <x v="0"/>
    <n v="2"/>
    <n v="6"/>
    <n v="2004"/>
    <x v="2"/>
    <n v="64"/>
    <n v="-2.5900000000000034"/>
    <x v="971"/>
    <x v="4"/>
    <x v="29"/>
    <x v="11"/>
    <x v="3"/>
    <x v="0"/>
  </r>
  <r>
    <x v="15"/>
    <n v="63.35"/>
    <n v="1330.3500000000001"/>
    <x v="40"/>
    <x v="0"/>
    <n v="3"/>
    <n v="7"/>
    <n v="2004"/>
    <x v="2"/>
    <n v="64"/>
    <n v="-0.64999999999999858"/>
    <x v="972"/>
    <x v="4"/>
    <x v="17"/>
    <x v="3"/>
    <x v="2"/>
    <x v="0"/>
  </r>
  <r>
    <x v="5"/>
    <n v="77.569999999999993"/>
    <n v="2792.5199999999995"/>
    <x v="94"/>
    <x v="0"/>
    <n v="3"/>
    <n v="8"/>
    <n v="2004"/>
    <x v="2"/>
    <n v="64"/>
    <n v="13.569999999999993"/>
    <x v="973"/>
    <x v="0"/>
    <x v="15"/>
    <x v="0"/>
    <x v="0"/>
    <x v="0"/>
  </r>
  <r>
    <x v="22"/>
    <n v="71.75"/>
    <n v="2296"/>
    <x v="42"/>
    <x v="0"/>
    <n v="3"/>
    <n v="9"/>
    <n v="2004"/>
    <x v="2"/>
    <n v="64"/>
    <n v="7.75"/>
    <x v="974"/>
    <x v="0"/>
    <x v="31"/>
    <x v="8"/>
    <x v="1"/>
    <x v="0"/>
  </r>
  <r>
    <x v="5"/>
    <n v="73.040000000000006"/>
    <n v="2629.44"/>
    <x v="43"/>
    <x v="0"/>
    <n v="4"/>
    <n v="10"/>
    <n v="2004"/>
    <x v="2"/>
    <n v="64"/>
    <n v="9.0400000000000063"/>
    <x v="969"/>
    <x v="0"/>
    <x v="32"/>
    <x v="1"/>
    <x v="1"/>
    <x v="0"/>
  </r>
  <r>
    <x v="1"/>
    <n v="56.24"/>
    <n v="1912.16"/>
    <x v="96"/>
    <x v="0"/>
    <n v="4"/>
    <n v="10"/>
    <n v="2004"/>
    <x v="2"/>
    <n v="64"/>
    <n v="-7.759999999999998"/>
    <x v="975"/>
    <x v="1"/>
    <x v="26"/>
    <x v="10"/>
    <x v="0"/>
    <x v="0"/>
  </r>
  <r>
    <x v="7"/>
    <n v="100"/>
    <n v="4800"/>
    <x v="80"/>
    <x v="0"/>
    <n v="4"/>
    <n v="11"/>
    <n v="2004"/>
    <x v="2"/>
    <n v="64"/>
    <n v="36"/>
    <x v="976"/>
    <x v="0"/>
    <x v="0"/>
    <x v="0"/>
    <x v="0"/>
    <x v="2"/>
  </r>
  <r>
    <x v="29"/>
    <n v="73.69"/>
    <n v="2431.77"/>
    <x v="46"/>
    <x v="0"/>
    <n v="4"/>
    <n v="11"/>
    <n v="2004"/>
    <x v="2"/>
    <n v="64"/>
    <n v="9.6899999999999977"/>
    <x v="977"/>
    <x v="0"/>
    <x v="4"/>
    <x v="0"/>
    <x v="0"/>
    <x v="0"/>
  </r>
  <r>
    <x v="28"/>
    <n v="100"/>
    <n v="3100"/>
    <x v="79"/>
    <x v="0"/>
    <n v="4"/>
    <n v="11"/>
    <n v="2004"/>
    <x v="2"/>
    <n v="64"/>
    <n v="36"/>
    <x v="976"/>
    <x v="0"/>
    <x v="20"/>
    <x v="7"/>
    <x v="1"/>
    <x v="1"/>
  </r>
  <r>
    <x v="5"/>
    <n v="100"/>
    <n v="3600"/>
    <x v="48"/>
    <x v="0"/>
    <n v="4"/>
    <n v="12"/>
    <n v="2004"/>
    <x v="2"/>
    <n v="64"/>
    <n v="36"/>
    <x v="976"/>
    <x v="0"/>
    <x v="20"/>
    <x v="7"/>
    <x v="1"/>
    <x v="1"/>
  </r>
  <r>
    <x v="32"/>
    <n v="100"/>
    <n v="2500"/>
    <x v="49"/>
    <x v="0"/>
    <n v="1"/>
    <n v="1"/>
    <n v="2005"/>
    <x v="2"/>
    <n v="64"/>
    <n v="36"/>
    <x v="976"/>
    <x v="0"/>
    <x v="36"/>
    <x v="3"/>
    <x v="2"/>
    <x v="1"/>
  </r>
  <r>
    <x v="7"/>
    <n v="100"/>
    <n v="4800"/>
    <x v="50"/>
    <x v="0"/>
    <n v="1"/>
    <n v="2"/>
    <n v="2005"/>
    <x v="2"/>
    <n v="64"/>
    <n v="36"/>
    <x v="976"/>
    <x v="0"/>
    <x v="33"/>
    <x v="0"/>
    <x v="0"/>
    <x v="1"/>
  </r>
  <r>
    <x v="26"/>
    <n v="69.16"/>
    <n v="1867.32"/>
    <x v="52"/>
    <x v="0"/>
    <n v="2"/>
    <n v="5"/>
    <n v="2005"/>
    <x v="2"/>
    <n v="64"/>
    <n v="5.1599999999999966"/>
    <x v="970"/>
    <x v="0"/>
    <x v="37"/>
    <x v="10"/>
    <x v="0"/>
    <x v="0"/>
  </r>
  <r>
    <x v="27"/>
    <n v="61.41"/>
    <n v="2702.04"/>
    <x v="53"/>
    <x v="2"/>
    <n v="2"/>
    <n v="5"/>
    <n v="2005"/>
    <x v="2"/>
    <n v="64"/>
    <n v="-2.5900000000000034"/>
    <x v="971"/>
    <x v="4"/>
    <x v="20"/>
    <x v="7"/>
    <x v="1"/>
    <x v="0"/>
  </r>
  <r>
    <x v="29"/>
    <n v="72.92"/>
    <n v="2406.36"/>
    <x v="186"/>
    <x v="0"/>
    <n v="1"/>
    <n v="2"/>
    <n v="2003"/>
    <x v="3"/>
    <n v="68"/>
    <n v="4.9200000000000017"/>
    <x v="978"/>
    <x v="0"/>
    <x v="69"/>
    <x v="12"/>
    <x v="1"/>
    <x v="0"/>
  </r>
  <r>
    <x v="6"/>
    <n v="72.23"/>
    <n v="2094.67"/>
    <x v="54"/>
    <x v="0"/>
    <n v="2"/>
    <n v="4"/>
    <n v="2003"/>
    <x v="3"/>
    <n v="68"/>
    <n v="4.230000000000004"/>
    <x v="979"/>
    <x v="0"/>
    <x v="8"/>
    <x v="3"/>
    <x v="2"/>
    <x v="0"/>
  </r>
  <r>
    <x v="4"/>
    <n v="57.1"/>
    <n v="2797.9"/>
    <x v="209"/>
    <x v="0"/>
    <n v="2"/>
    <n v="6"/>
    <n v="2003"/>
    <x v="3"/>
    <n v="68"/>
    <n v="-10.899999999999999"/>
    <x v="980"/>
    <x v="6"/>
    <x v="20"/>
    <x v="7"/>
    <x v="1"/>
    <x v="0"/>
  </r>
  <r>
    <x v="14"/>
    <n v="81.86"/>
    <n v="1637.2"/>
    <x v="248"/>
    <x v="0"/>
    <n v="3"/>
    <n v="8"/>
    <n v="2003"/>
    <x v="3"/>
    <n v="68"/>
    <n v="13.86"/>
    <x v="981"/>
    <x v="0"/>
    <x v="72"/>
    <x v="14"/>
    <x v="1"/>
    <x v="0"/>
  </r>
  <r>
    <x v="28"/>
    <n v="73.61"/>
    <n v="2281.91"/>
    <x v="5"/>
    <x v="0"/>
    <n v="4"/>
    <n v="10"/>
    <n v="2003"/>
    <x v="3"/>
    <n v="68"/>
    <n v="5.6099999999999994"/>
    <x v="982"/>
    <x v="0"/>
    <x v="5"/>
    <x v="0"/>
    <x v="0"/>
    <x v="0"/>
  </r>
  <r>
    <x v="25"/>
    <n v="59.16"/>
    <n v="2307.2399999999998"/>
    <x v="55"/>
    <x v="0"/>
    <n v="1"/>
    <n v="1"/>
    <n v="2004"/>
    <x v="3"/>
    <n v="68"/>
    <n v="-8.8400000000000034"/>
    <x v="151"/>
    <x v="1"/>
    <x v="38"/>
    <x v="11"/>
    <x v="3"/>
    <x v="0"/>
  </r>
  <r>
    <x v="14"/>
    <n v="66.040000000000006"/>
    <n v="1320.8000000000002"/>
    <x v="10"/>
    <x v="0"/>
    <n v="1"/>
    <n v="2"/>
    <n v="2004"/>
    <x v="3"/>
    <n v="68"/>
    <n v="-1.9599999999999937"/>
    <x v="983"/>
    <x v="4"/>
    <x v="8"/>
    <x v="3"/>
    <x v="2"/>
    <x v="0"/>
  </r>
  <r>
    <x v="1"/>
    <n v="77.73"/>
    <n v="2642.82"/>
    <x v="210"/>
    <x v="0"/>
    <n v="2"/>
    <n v="4"/>
    <n v="2004"/>
    <x v="3"/>
    <n v="68"/>
    <n v="9.730000000000004"/>
    <x v="984"/>
    <x v="0"/>
    <x v="47"/>
    <x v="10"/>
    <x v="0"/>
    <x v="0"/>
  </r>
  <r>
    <x v="24"/>
    <n v="61.22"/>
    <n v="3061"/>
    <x v="189"/>
    <x v="0"/>
    <n v="2"/>
    <n v="5"/>
    <n v="2004"/>
    <x v="3"/>
    <n v="68"/>
    <n v="-6.7800000000000011"/>
    <x v="985"/>
    <x v="3"/>
    <x v="51"/>
    <x v="0"/>
    <x v="0"/>
    <x v="1"/>
  </r>
  <r>
    <x v="23"/>
    <n v="79.11"/>
    <n v="3164.4"/>
    <x v="190"/>
    <x v="3"/>
    <n v="2"/>
    <n v="6"/>
    <n v="2004"/>
    <x v="3"/>
    <n v="68"/>
    <n v="11.11"/>
    <x v="986"/>
    <x v="0"/>
    <x v="20"/>
    <x v="7"/>
    <x v="1"/>
    <x v="1"/>
  </r>
  <r>
    <x v="11"/>
    <n v="63.97"/>
    <n v="1791.1599999999999"/>
    <x v="14"/>
    <x v="0"/>
    <n v="3"/>
    <n v="7"/>
    <n v="2004"/>
    <x v="3"/>
    <n v="68"/>
    <n v="-4.0300000000000011"/>
    <x v="987"/>
    <x v="3"/>
    <x v="11"/>
    <x v="1"/>
    <x v="1"/>
    <x v="0"/>
  </r>
  <r>
    <x v="24"/>
    <n v="81.86"/>
    <n v="4093"/>
    <x v="191"/>
    <x v="0"/>
    <n v="3"/>
    <n v="8"/>
    <n v="2004"/>
    <x v="3"/>
    <n v="68"/>
    <n v="13.86"/>
    <x v="981"/>
    <x v="0"/>
    <x v="68"/>
    <x v="2"/>
    <x v="1"/>
    <x v="1"/>
  </r>
  <r>
    <x v="11"/>
    <n v="79.8"/>
    <n v="2234.4"/>
    <x v="211"/>
    <x v="0"/>
    <n v="3"/>
    <n v="9"/>
    <n v="2004"/>
    <x v="3"/>
    <n v="68"/>
    <n v="11.799999999999997"/>
    <x v="988"/>
    <x v="0"/>
    <x v="60"/>
    <x v="18"/>
    <x v="1"/>
    <x v="0"/>
  </r>
  <r>
    <x v="12"/>
    <n v="66.040000000000006"/>
    <n v="3037.84"/>
    <x v="17"/>
    <x v="0"/>
    <n v="4"/>
    <n v="10"/>
    <n v="2004"/>
    <x v="3"/>
    <n v="68"/>
    <n v="-1.9599999999999937"/>
    <x v="983"/>
    <x v="4"/>
    <x v="39"/>
    <x v="0"/>
    <x v="0"/>
    <x v="1"/>
  </r>
  <r>
    <x v="16"/>
    <n v="59.16"/>
    <n v="1419.84"/>
    <x v="79"/>
    <x v="0"/>
    <n v="4"/>
    <n v="11"/>
    <n v="2004"/>
    <x v="3"/>
    <n v="68"/>
    <n v="-8.8400000000000034"/>
    <x v="151"/>
    <x v="1"/>
    <x v="49"/>
    <x v="6"/>
    <x v="1"/>
    <x v="0"/>
  </r>
  <r>
    <x v="16"/>
    <n v="81.17"/>
    <n v="1948.08"/>
    <x v="233"/>
    <x v="0"/>
    <n v="4"/>
    <n v="11"/>
    <n v="2004"/>
    <x v="3"/>
    <n v="68"/>
    <n v="13.170000000000002"/>
    <x v="989"/>
    <x v="0"/>
    <x v="69"/>
    <x v="12"/>
    <x v="1"/>
    <x v="0"/>
  </r>
  <r>
    <x v="25"/>
    <n v="59.16"/>
    <n v="2307.2399999999998"/>
    <x v="20"/>
    <x v="0"/>
    <n v="4"/>
    <n v="11"/>
    <n v="2004"/>
    <x v="3"/>
    <n v="68"/>
    <n v="-8.8400000000000034"/>
    <x v="151"/>
    <x v="1"/>
    <x v="43"/>
    <x v="7"/>
    <x v="1"/>
    <x v="0"/>
  </r>
  <r>
    <x v="23"/>
    <n v="44.51"/>
    <n v="1780.3999999999999"/>
    <x v="212"/>
    <x v="0"/>
    <n v="4"/>
    <n v="12"/>
    <n v="2004"/>
    <x v="3"/>
    <n v="68"/>
    <n v="-23.490000000000002"/>
    <x v="990"/>
    <x v="5"/>
    <x v="63"/>
    <x v="0"/>
    <x v="0"/>
    <x v="0"/>
  </r>
  <r>
    <x v="4"/>
    <n v="72.33"/>
    <n v="3544.17"/>
    <x v="21"/>
    <x v="0"/>
    <n v="4"/>
    <n v="12"/>
    <n v="2004"/>
    <x v="3"/>
    <n v="68"/>
    <n v="4.3299999999999983"/>
    <x v="803"/>
    <x v="0"/>
    <x v="17"/>
    <x v="3"/>
    <x v="2"/>
    <x v="1"/>
  </r>
  <r>
    <x v="27"/>
    <n v="82.26"/>
    <n v="3619.44"/>
    <x v="22"/>
    <x v="0"/>
    <n v="1"/>
    <n v="2"/>
    <n v="2005"/>
    <x v="3"/>
    <n v="68"/>
    <n v="14.260000000000005"/>
    <x v="991"/>
    <x v="0"/>
    <x v="11"/>
    <x v="1"/>
    <x v="1"/>
    <x v="1"/>
  </r>
  <r>
    <x v="21"/>
    <n v="100"/>
    <n v="3500"/>
    <x v="23"/>
    <x v="0"/>
    <n v="1"/>
    <n v="3"/>
    <n v="2005"/>
    <x v="3"/>
    <n v="68"/>
    <n v="32"/>
    <x v="664"/>
    <x v="0"/>
    <x v="18"/>
    <x v="0"/>
    <x v="0"/>
    <x v="1"/>
  </r>
  <r>
    <x v="8"/>
    <n v="67.41"/>
    <n v="1483.02"/>
    <x v="197"/>
    <x v="0"/>
    <n v="1"/>
    <n v="3"/>
    <n v="2005"/>
    <x v="3"/>
    <n v="68"/>
    <n v="-0.59000000000000341"/>
    <x v="992"/>
    <x v="4"/>
    <x v="1"/>
    <x v="1"/>
    <x v="1"/>
    <x v="0"/>
  </r>
  <r>
    <x v="55"/>
    <n v="77.73"/>
    <n v="4819.26"/>
    <x v="213"/>
    <x v="4"/>
    <n v="2"/>
    <n v="4"/>
    <n v="2005"/>
    <x v="3"/>
    <n v="68"/>
    <n v="9.730000000000004"/>
    <x v="984"/>
    <x v="0"/>
    <x v="9"/>
    <x v="0"/>
    <x v="0"/>
    <x v="1"/>
  </r>
  <r>
    <x v="18"/>
    <n v="61.22"/>
    <n v="1591.72"/>
    <x v="198"/>
    <x v="0"/>
    <n v="2"/>
    <n v="5"/>
    <n v="2005"/>
    <x v="3"/>
    <n v="68"/>
    <n v="-6.7800000000000011"/>
    <x v="985"/>
    <x v="3"/>
    <x v="57"/>
    <x v="12"/>
    <x v="1"/>
    <x v="0"/>
  </r>
  <r>
    <x v="28"/>
    <n v="100"/>
    <n v="3100"/>
    <x v="98"/>
    <x v="0"/>
    <n v="1"/>
    <n v="3"/>
    <n v="2003"/>
    <x v="0"/>
    <n v="102"/>
    <n v="-2"/>
    <x v="102"/>
    <x v="4"/>
    <x v="53"/>
    <x v="15"/>
    <x v="2"/>
    <x v="1"/>
  </r>
  <r>
    <x v="32"/>
    <n v="86.74"/>
    <n v="2168.5"/>
    <x v="1"/>
    <x v="0"/>
    <n v="2"/>
    <n v="5"/>
    <n v="2003"/>
    <x v="0"/>
    <n v="102"/>
    <n v="-15.260000000000005"/>
    <x v="993"/>
    <x v="1"/>
    <x v="1"/>
    <x v="1"/>
    <x v="1"/>
    <x v="0"/>
  </r>
  <r>
    <x v="0"/>
    <n v="89.8"/>
    <n v="2694"/>
    <x v="100"/>
    <x v="0"/>
    <n v="3"/>
    <n v="7"/>
    <n v="2003"/>
    <x v="0"/>
    <n v="102"/>
    <n v="-12.200000000000003"/>
    <x v="994"/>
    <x v="1"/>
    <x v="33"/>
    <x v="0"/>
    <x v="0"/>
    <x v="0"/>
  </r>
  <r>
    <x v="26"/>
    <n v="100"/>
    <n v="2700"/>
    <x v="3"/>
    <x v="0"/>
    <n v="3"/>
    <n v="8"/>
    <n v="2003"/>
    <x v="0"/>
    <n v="102"/>
    <n v="-2"/>
    <x v="102"/>
    <x v="4"/>
    <x v="3"/>
    <x v="0"/>
    <x v="0"/>
    <x v="1"/>
  </r>
  <r>
    <x v="10"/>
    <n v="100"/>
    <n v="2300"/>
    <x v="4"/>
    <x v="0"/>
    <n v="4"/>
    <n v="10"/>
    <n v="2003"/>
    <x v="0"/>
    <n v="102"/>
    <n v="-2"/>
    <x v="102"/>
    <x v="4"/>
    <x v="4"/>
    <x v="0"/>
    <x v="0"/>
    <x v="0"/>
  </r>
  <r>
    <x v="1"/>
    <n v="100"/>
    <n v="3400"/>
    <x v="102"/>
    <x v="0"/>
    <n v="4"/>
    <n v="11"/>
    <n v="2003"/>
    <x v="0"/>
    <n v="102"/>
    <n v="-2"/>
    <x v="102"/>
    <x v="4"/>
    <x v="36"/>
    <x v="3"/>
    <x v="2"/>
    <x v="1"/>
  </r>
  <r>
    <x v="8"/>
    <n v="100"/>
    <n v="2200"/>
    <x v="6"/>
    <x v="0"/>
    <n v="4"/>
    <n v="11"/>
    <n v="2003"/>
    <x v="0"/>
    <n v="102"/>
    <n v="-2"/>
    <x v="102"/>
    <x v="4"/>
    <x v="6"/>
    <x v="1"/>
    <x v="1"/>
    <x v="0"/>
  </r>
  <r>
    <x v="13"/>
    <n v="85.72"/>
    <n v="3600.24"/>
    <x v="240"/>
    <x v="0"/>
    <n v="4"/>
    <n v="11"/>
    <n v="2003"/>
    <x v="0"/>
    <n v="102"/>
    <n v="-16.28"/>
    <x v="995"/>
    <x v="6"/>
    <x v="20"/>
    <x v="7"/>
    <x v="1"/>
    <x v="1"/>
  </r>
  <r>
    <x v="9"/>
    <n v="100"/>
    <n v="3700"/>
    <x v="9"/>
    <x v="0"/>
    <n v="1"/>
    <n v="1"/>
    <n v="2004"/>
    <x v="0"/>
    <n v="102"/>
    <n v="-2"/>
    <x v="102"/>
    <x v="4"/>
    <x v="2"/>
    <x v="1"/>
    <x v="1"/>
    <x v="1"/>
  </r>
  <r>
    <x v="0"/>
    <n v="100"/>
    <n v="3000"/>
    <x v="133"/>
    <x v="0"/>
    <n v="1"/>
    <n v="2"/>
    <n v="2004"/>
    <x v="0"/>
    <n v="102"/>
    <n v="-2"/>
    <x v="102"/>
    <x v="4"/>
    <x v="6"/>
    <x v="1"/>
    <x v="1"/>
    <x v="1"/>
  </r>
  <r>
    <x v="26"/>
    <n v="100"/>
    <n v="2700"/>
    <x v="11"/>
    <x v="0"/>
    <n v="2"/>
    <n v="4"/>
    <n v="2004"/>
    <x v="0"/>
    <n v="102"/>
    <n v="-2"/>
    <x v="102"/>
    <x v="4"/>
    <x v="0"/>
    <x v="0"/>
    <x v="0"/>
    <x v="1"/>
  </r>
  <r>
    <x v="32"/>
    <n v="100"/>
    <n v="2500"/>
    <x v="224"/>
    <x v="0"/>
    <n v="2"/>
    <n v="5"/>
    <n v="2004"/>
    <x v="0"/>
    <n v="102"/>
    <n v="-2"/>
    <x v="102"/>
    <x v="4"/>
    <x v="2"/>
    <x v="1"/>
    <x v="1"/>
    <x v="0"/>
  </r>
  <r>
    <x v="1"/>
    <n v="97.97"/>
    <n v="3330.98"/>
    <x v="230"/>
    <x v="0"/>
    <n v="2"/>
    <n v="6"/>
    <n v="2004"/>
    <x v="0"/>
    <n v="102"/>
    <n v="-4.0300000000000011"/>
    <x v="996"/>
    <x v="4"/>
    <x v="48"/>
    <x v="0"/>
    <x v="0"/>
    <x v="1"/>
  </r>
  <r>
    <x v="19"/>
    <n v="100"/>
    <n v="3800"/>
    <x v="110"/>
    <x v="0"/>
    <n v="3"/>
    <n v="8"/>
    <n v="2004"/>
    <x v="0"/>
    <n v="102"/>
    <n v="-2"/>
    <x v="102"/>
    <x v="4"/>
    <x v="35"/>
    <x v="0"/>
    <x v="0"/>
    <x v="1"/>
  </r>
  <r>
    <x v="18"/>
    <n v="100"/>
    <n v="2600"/>
    <x v="15"/>
    <x v="0"/>
    <n v="3"/>
    <n v="8"/>
    <n v="2004"/>
    <x v="0"/>
    <n v="102"/>
    <n v="-2"/>
    <x v="102"/>
    <x v="4"/>
    <x v="12"/>
    <x v="0"/>
    <x v="0"/>
    <x v="0"/>
  </r>
  <r>
    <x v="19"/>
    <n v="100"/>
    <n v="3800"/>
    <x v="16"/>
    <x v="0"/>
    <n v="3"/>
    <n v="9"/>
    <n v="2004"/>
    <x v="0"/>
    <n v="102"/>
    <n v="-2"/>
    <x v="102"/>
    <x v="4"/>
    <x v="13"/>
    <x v="4"/>
    <x v="1"/>
    <x v="1"/>
  </r>
  <r>
    <x v="24"/>
    <n v="84.7"/>
    <n v="4235"/>
    <x v="17"/>
    <x v="0"/>
    <n v="4"/>
    <n v="10"/>
    <n v="2004"/>
    <x v="0"/>
    <n v="102"/>
    <n v="-17.299999999999997"/>
    <x v="997"/>
    <x v="6"/>
    <x v="14"/>
    <x v="2"/>
    <x v="1"/>
    <x v="1"/>
  </r>
  <r>
    <x v="8"/>
    <n v="100"/>
    <n v="2200"/>
    <x v="114"/>
    <x v="0"/>
    <n v="4"/>
    <n v="11"/>
    <n v="2004"/>
    <x v="0"/>
    <n v="102"/>
    <n v="-2"/>
    <x v="102"/>
    <x v="4"/>
    <x v="0"/>
    <x v="0"/>
    <x v="0"/>
    <x v="0"/>
  </r>
  <r>
    <x v="22"/>
    <n v="100"/>
    <n v="3200"/>
    <x v="159"/>
    <x v="0"/>
    <n v="4"/>
    <n v="11"/>
    <n v="2004"/>
    <x v="0"/>
    <n v="102"/>
    <n v="-2"/>
    <x v="102"/>
    <x v="4"/>
    <x v="24"/>
    <x v="0"/>
    <x v="0"/>
    <x v="1"/>
  </r>
  <r>
    <x v="28"/>
    <n v="71.02"/>
    <n v="2201.62"/>
    <x v="20"/>
    <x v="0"/>
    <n v="4"/>
    <n v="11"/>
    <n v="2004"/>
    <x v="0"/>
    <n v="102"/>
    <n v="-30.980000000000004"/>
    <x v="998"/>
    <x v="5"/>
    <x v="16"/>
    <x v="5"/>
    <x v="1"/>
    <x v="0"/>
  </r>
  <r>
    <x v="23"/>
    <n v="100"/>
    <n v="4000"/>
    <x v="228"/>
    <x v="0"/>
    <n v="4"/>
    <n v="12"/>
    <n v="2004"/>
    <x v="0"/>
    <n v="102"/>
    <n v="-2"/>
    <x v="102"/>
    <x v="4"/>
    <x v="20"/>
    <x v="7"/>
    <x v="1"/>
    <x v="1"/>
  </r>
  <r>
    <x v="8"/>
    <n v="100"/>
    <n v="2200"/>
    <x v="161"/>
    <x v="0"/>
    <n v="1"/>
    <n v="1"/>
    <n v="2005"/>
    <x v="0"/>
    <n v="102"/>
    <n v="-2"/>
    <x v="102"/>
    <x v="4"/>
    <x v="18"/>
    <x v="0"/>
    <x v="0"/>
    <x v="1"/>
  </r>
  <r>
    <x v="2"/>
    <n v="100"/>
    <n v="4100"/>
    <x v="22"/>
    <x v="0"/>
    <n v="1"/>
    <n v="2"/>
    <n v="2005"/>
    <x v="0"/>
    <n v="102"/>
    <n v="-2"/>
    <x v="102"/>
    <x v="4"/>
    <x v="11"/>
    <x v="1"/>
    <x v="1"/>
    <x v="1"/>
  </r>
  <r>
    <x v="3"/>
    <n v="48.98"/>
    <n v="2204.1"/>
    <x v="162"/>
    <x v="0"/>
    <n v="1"/>
    <n v="3"/>
    <n v="2005"/>
    <x v="0"/>
    <n v="102"/>
    <n v="-53.02"/>
    <x v="999"/>
    <x v="5"/>
    <x v="33"/>
    <x v="0"/>
    <x v="0"/>
    <x v="0"/>
  </r>
  <r>
    <x v="3"/>
    <n v="100"/>
    <n v="4500"/>
    <x v="24"/>
    <x v="0"/>
    <n v="2"/>
    <n v="4"/>
    <n v="2005"/>
    <x v="0"/>
    <n v="102"/>
    <n v="-2"/>
    <x v="102"/>
    <x v="4"/>
    <x v="19"/>
    <x v="6"/>
    <x v="1"/>
    <x v="1"/>
  </r>
  <r>
    <x v="25"/>
    <n v="40.15"/>
    <n v="1565.85"/>
    <x v="186"/>
    <x v="0"/>
    <n v="1"/>
    <n v="2"/>
    <n v="2003"/>
    <x v="3"/>
    <n v="43"/>
    <n v="-2.8500000000000014"/>
    <x v="1000"/>
    <x v="3"/>
    <x v="69"/>
    <x v="12"/>
    <x v="1"/>
    <x v="0"/>
  </r>
  <r>
    <x v="4"/>
    <n v="50.62"/>
    <n v="2480.3799999999997"/>
    <x v="54"/>
    <x v="0"/>
    <n v="2"/>
    <n v="4"/>
    <n v="2003"/>
    <x v="3"/>
    <n v="43"/>
    <n v="7.6199999999999974"/>
    <x v="1001"/>
    <x v="0"/>
    <x v="8"/>
    <x v="3"/>
    <x v="2"/>
    <x v="0"/>
  </r>
  <r>
    <x v="26"/>
    <n v="50.19"/>
    <n v="1355.1299999999999"/>
    <x v="209"/>
    <x v="0"/>
    <n v="2"/>
    <n v="6"/>
    <n v="2003"/>
    <x v="3"/>
    <n v="43"/>
    <n v="7.1899999999999977"/>
    <x v="1002"/>
    <x v="0"/>
    <x v="20"/>
    <x v="7"/>
    <x v="1"/>
    <x v="0"/>
  </r>
  <r>
    <x v="1"/>
    <n v="36.659999999999997"/>
    <n v="1246.4399999999998"/>
    <x v="65"/>
    <x v="0"/>
    <n v="3"/>
    <n v="8"/>
    <n v="2003"/>
    <x v="3"/>
    <n v="43"/>
    <n v="-6.3400000000000034"/>
    <x v="1003"/>
    <x v="1"/>
    <x v="18"/>
    <x v="0"/>
    <x v="0"/>
    <x v="0"/>
  </r>
  <r>
    <x v="14"/>
    <n v="41.02"/>
    <n v="820.40000000000009"/>
    <x v="249"/>
    <x v="0"/>
    <n v="4"/>
    <n v="10"/>
    <n v="2003"/>
    <x v="3"/>
    <n v="43"/>
    <n v="-1.9799999999999969"/>
    <x v="1004"/>
    <x v="4"/>
    <x v="20"/>
    <x v="7"/>
    <x v="1"/>
    <x v="0"/>
  </r>
  <r>
    <x v="7"/>
    <n v="51.93"/>
    <n v="2492.64"/>
    <x v="5"/>
    <x v="0"/>
    <n v="4"/>
    <n v="10"/>
    <n v="2003"/>
    <x v="3"/>
    <n v="43"/>
    <n v="8.93"/>
    <x v="1005"/>
    <x v="0"/>
    <x v="5"/>
    <x v="0"/>
    <x v="0"/>
    <x v="0"/>
  </r>
  <r>
    <x v="6"/>
    <n v="38.4"/>
    <n v="1113.5999999999999"/>
    <x v="8"/>
    <x v="0"/>
    <n v="4"/>
    <n v="12"/>
    <n v="2003"/>
    <x v="3"/>
    <n v="43"/>
    <n v="-4.6000000000000014"/>
    <x v="1006"/>
    <x v="1"/>
    <x v="27"/>
    <x v="0"/>
    <x v="0"/>
    <x v="0"/>
  </r>
  <r>
    <x v="30"/>
    <n v="41.02"/>
    <n v="1763.8600000000001"/>
    <x v="55"/>
    <x v="0"/>
    <n v="1"/>
    <n v="1"/>
    <n v="2004"/>
    <x v="3"/>
    <n v="43"/>
    <n v="-1.9799999999999969"/>
    <x v="1004"/>
    <x v="4"/>
    <x v="38"/>
    <x v="11"/>
    <x v="3"/>
    <x v="0"/>
  </r>
  <r>
    <x v="2"/>
    <n v="46.26"/>
    <n v="1896.6599999999999"/>
    <x v="10"/>
    <x v="0"/>
    <n v="1"/>
    <n v="2"/>
    <n v="2004"/>
    <x v="3"/>
    <n v="43"/>
    <n v="3.259999999999998"/>
    <x v="1007"/>
    <x v="0"/>
    <x v="8"/>
    <x v="3"/>
    <x v="2"/>
    <x v="0"/>
  </r>
  <r>
    <x v="2"/>
    <n v="35.35"/>
    <n v="1449.3500000000001"/>
    <x v="210"/>
    <x v="0"/>
    <n v="2"/>
    <n v="4"/>
    <n v="2004"/>
    <x v="3"/>
    <n v="43"/>
    <n v="-7.6499999999999986"/>
    <x v="1008"/>
    <x v="6"/>
    <x v="47"/>
    <x v="10"/>
    <x v="0"/>
    <x v="0"/>
  </r>
  <r>
    <x v="5"/>
    <n v="51.93"/>
    <n v="1869.48"/>
    <x v="189"/>
    <x v="0"/>
    <n v="2"/>
    <n v="5"/>
    <n v="2004"/>
    <x v="3"/>
    <n v="43"/>
    <n v="8.93"/>
    <x v="1005"/>
    <x v="0"/>
    <x v="51"/>
    <x v="0"/>
    <x v="0"/>
    <x v="0"/>
  </r>
  <r>
    <x v="4"/>
    <n v="37.97"/>
    <n v="1860.53"/>
    <x v="190"/>
    <x v="3"/>
    <n v="2"/>
    <n v="6"/>
    <n v="2004"/>
    <x v="3"/>
    <n v="43"/>
    <n v="-5.0300000000000011"/>
    <x v="1009"/>
    <x v="1"/>
    <x v="20"/>
    <x v="7"/>
    <x v="1"/>
    <x v="0"/>
  </r>
  <r>
    <x v="19"/>
    <n v="45.39"/>
    <n v="1724.82"/>
    <x v="14"/>
    <x v="0"/>
    <n v="3"/>
    <n v="7"/>
    <n v="2004"/>
    <x v="3"/>
    <n v="43"/>
    <n v="2.3900000000000006"/>
    <x v="1010"/>
    <x v="0"/>
    <x v="11"/>
    <x v="1"/>
    <x v="1"/>
    <x v="0"/>
  </r>
  <r>
    <x v="29"/>
    <n v="51.93"/>
    <n v="1713.69"/>
    <x v="191"/>
    <x v="0"/>
    <n v="3"/>
    <n v="8"/>
    <n v="2004"/>
    <x v="3"/>
    <n v="43"/>
    <n v="8.93"/>
    <x v="1005"/>
    <x v="0"/>
    <x v="68"/>
    <x v="2"/>
    <x v="1"/>
    <x v="0"/>
  </r>
  <r>
    <x v="18"/>
    <n v="48.44"/>
    <n v="1259.44"/>
    <x v="192"/>
    <x v="0"/>
    <n v="3"/>
    <n v="9"/>
    <n v="2004"/>
    <x v="3"/>
    <n v="43"/>
    <n v="5.4399999999999977"/>
    <x v="1011"/>
    <x v="0"/>
    <x v="71"/>
    <x v="16"/>
    <x v="1"/>
    <x v="0"/>
  </r>
  <r>
    <x v="20"/>
    <n v="43.64"/>
    <n v="2051.08"/>
    <x v="17"/>
    <x v="0"/>
    <n v="4"/>
    <n v="10"/>
    <n v="2004"/>
    <x v="3"/>
    <n v="43"/>
    <n v="0.64000000000000057"/>
    <x v="1012"/>
    <x v="0"/>
    <x v="39"/>
    <x v="0"/>
    <x v="0"/>
    <x v="0"/>
  </r>
  <r>
    <x v="1"/>
    <n v="47.57"/>
    <n v="1617.38"/>
    <x v="79"/>
    <x v="0"/>
    <n v="4"/>
    <n v="11"/>
    <n v="2004"/>
    <x v="3"/>
    <n v="43"/>
    <n v="4.57"/>
    <x v="1013"/>
    <x v="0"/>
    <x v="49"/>
    <x v="6"/>
    <x v="1"/>
    <x v="0"/>
  </r>
  <r>
    <x v="1"/>
    <n v="51.93"/>
    <n v="1765.62"/>
    <x v="233"/>
    <x v="0"/>
    <n v="4"/>
    <n v="11"/>
    <n v="2004"/>
    <x v="3"/>
    <n v="43"/>
    <n v="8.93"/>
    <x v="1005"/>
    <x v="0"/>
    <x v="69"/>
    <x v="12"/>
    <x v="1"/>
    <x v="0"/>
  </r>
  <r>
    <x v="23"/>
    <n v="50.62"/>
    <n v="2024.8"/>
    <x v="20"/>
    <x v="0"/>
    <n v="4"/>
    <n v="11"/>
    <n v="2004"/>
    <x v="3"/>
    <n v="43"/>
    <n v="7.6199999999999974"/>
    <x v="1001"/>
    <x v="0"/>
    <x v="43"/>
    <x v="7"/>
    <x v="1"/>
    <x v="0"/>
  </r>
  <r>
    <x v="23"/>
    <n v="82.21"/>
    <n v="3288.3999999999996"/>
    <x v="212"/>
    <x v="0"/>
    <n v="4"/>
    <n v="12"/>
    <n v="2004"/>
    <x v="3"/>
    <n v="43"/>
    <n v="39.209999999999994"/>
    <x v="1014"/>
    <x v="0"/>
    <x v="63"/>
    <x v="0"/>
    <x v="0"/>
    <x v="1"/>
  </r>
  <r>
    <x v="29"/>
    <n v="82.59"/>
    <n v="2725.4700000000003"/>
    <x v="21"/>
    <x v="0"/>
    <n v="4"/>
    <n v="12"/>
    <n v="2004"/>
    <x v="3"/>
    <n v="43"/>
    <n v="39.590000000000003"/>
    <x v="1015"/>
    <x v="0"/>
    <x v="17"/>
    <x v="3"/>
    <x v="2"/>
    <x v="0"/>
  </r>
  <r>
    <x v="4"/>
    <n v="65.8"/>
    <n v="3224.2"/>
    <x v="22"/>
    <x v="0"/>
    <n v="1"/>
    <n v="2"/>
    <n v="2005"/>
    <x v="3"/>
    <n v="43"/>
    <n v="22.799999999999997"/>
    <x v="1016"/>
    <x v="0"/>
    <x v="11"/>
    <x v="1"/>
    <x v="1"/>
    <x v="1"/>
  </r>
  <r>
    <x v="26"/>
    <n v="100"/>
    <n v="2700"/>
    <x v="23"/>
    <x v="0"/>
    <n v="1"/>
    <n v="3"/>
    <n v="2005"/>
    <x v="3"/>
    <n v="43"/>
    <n v="57"/>
    <x v="1017"/>
    <x v="0"/>
    <x v="18"/>
    <x v="0"/>
    <x v="0"/>
    <x v="1"/>
  </r>
  <r>
    <x v="4"/>
    <n v="36.659999999999997"/>
    <n v="1796.34"/>
    <x v="197"/>
    <x v="0"/>
    <n v="1"/>
    <n v="3"/>
    <n v="2005"/>
    <x v="3"/>
    <n v="43"/>
    <n v="-6.3400000000000034"/>
    <x v="1003"/>
    <x v="1"/>
    <x v="1"/>
    <x v="1"/>
    <x v="1"/>
    <x v="0"/>
  </r>
  <r>
    <x v="31"/>
    <n v="35.35"/>
    <n v="1979.6000000000001"/>
    <x v="213"/>
    <x v="4"/>
    <n v="2"/>
    <n v="4"/>
    <n v="2005"/>
    <x v="3"/>
    <n v="43"/>
    <n v="-7.6499999999999986"/>
    <x v="1008"/>
    <x v="6"/>
    <x v="9"/>
    <x v="0"/>
    <x v="0"/>
    <x v="0"/>
  </r>
  <r>
    <x v="9"/>
    <n v="51.93"/>
    <n v="1921.41"/>
    <x v="198"/>
    <x v="0"/>
    <n v="2"/>
    <n v="5"/>
    <n v="2005"/>
    <x v="3"/>
    <n v="43"/>
    <n v="8.93"/>
    <x v="1005"/>
    <x v="0"/>
    <x v="57"/>
    <x v="12"/>
    <x v="1"/>
    <x v="0"/>
  </r>
  <r>
    <x v="29"/>
    <n v="100"/>
    <n v="3300"/>
    <x v="134"/>
    <x v="0"/>
    <n v="1"/>
    <n v="1"/>
    <n v="2003"/>
    <x v="2"/>
    <n v="115"/>
    <n v="-15"/>
    <x v="84"/>
    <x v="1"/>
    <x v="20"/>
    <x v="7"/>
    <x v="1"/>
    <x v="1"/>
  </r>
  <r>
    <x v="26"/>
    <n v="100"/>
    <n v="2700"/>
    <x v="143"/>
    <x v="0"/>
    <n v="2"/>
    <n v="4"/>
    <n v="2003"/>
    <x v="2"/>
    <n v="115"/>
    <n v="-15"/>
    <x v="84"/>
    <x v="1"/>
    <x v="0"/>
    <x v="0"/>
    <x v="0"/>
    <x v="0"/>
  </r>
  <r>
    <x v="12"/>
    <n v="100"/>
    <n v="4600"/>
    <x v="118"/>
    <x v="0"/>
    <n v="2"/>
    <n v="6"/>
    <n v="2003"/>
    <x v="2"/>
    <n v="115"/>
    <n v="-15"/>
    <x v="84"/>
    <x v="1"/>
    <x v="0"/>
    <x v="0"/>
    <x v="0"/>
    <x v="1"/>
  </r>
  <r>
    <x v="27"/>
    <n v="100"/>
    <n v="4400"/>
    <x v="144"/>
    <x v="0"/>
    <n v="3"/>
    <n v="8"/>
    <n v="2003"/>
    <x v="2"/>
    <n v="115"/>
    <n v="-15"/>
    <x v="84"/>
    <x v="1"/>
    <x v="59"/>
    <x v="4"/>
    <x v="1"/>
    <x v="1"/>
  </r>
  <r>
    <x v="18"/>
    <n v="100"/>
    <n v="2600"/>
    <x v="145"/>
    <x v="0"/>
    <n v="3"/>
    <n v="9"/>
    <n v="2003"/>
    <x v="2"/>
    <n v="115"/>
    <n v="-15"/>
    <x v="84"/>
    <x v="1"/>
    <x v="50"/>
    <x v="4"/>
    <x v="1"/>
    <x v="1"/>
  </r>
  <r>
    <x v="7"/>
    <n v="94.92"/>
    <n v="4556.16"/>
    <x v="121"/>
    <x v="0"/>
    <n v="4"/>
    <n v="10"/>
    <n v="2003"/>
    <x v="2"/>
    <n v="115"/>
    <n v="-20.079999999999998"/>
    <x v="1018"/>
    <x v="6"/>
    <x v="22"/>
    <x v="9"/>
    <x v="2"/>
    <x v="1"/>
  </r>
  <r>
    <x v="10"/>
    <n v="100"/>
    <n v="2300"/>
    <x v="32"/>
    <x v="0"/>
    <n v="4"/>
    <n v="11"/>
    <n v="2003"/>
    <x v="2"/>
    <n v="115"/>
    <n v="-15"/>
    <x v="84"/>
    <x v="1"/>
    <x v="57"/>
    <x v="12"/>
    <x v="1"/>
    <x v="1"/>
  </r>
  <r>
    <x v="3"/>
    <n v="100"/>
    <n v="4500"/>
    <x v="69"/>
    <x v="0"/>
    <n v="4"/>
    <n v="11"/>
    <n v="2003"/>
    <x v="2"/>
    <n v="115"/>
    <n v="-15"/>
    <x v="84"/>
    <x v="1"/>
    <x v="64"/>
    <x v="7"/>
    <x v="1"/>
    <x v="1"/>
  </r>
  <r>
    <x v="4"/>
    <n v="100"/>
    <n v="4900"/>
    <x v="34"/>
    <x v="0"/>
    <n v="4"/>
    <n v="11"/>
    <n v="2003"/>
    <x v="2"/>
    <n v="115"/>
    <n v="-15"/>
    <x v="84"/>
    <x v="1"/>
    <x v="39"/>
    <x v="0"/>
    <x v="0"/>
    <x v="1"/>
  </r>
  <r>
    <x v="11"/>
    <n v="94.92"/>
    <n v="2657.76"/>
    <x v="91"/>
    <x v="0"/>
    <n v="4"/>
    <n v="12"/>
    <n v="2003"/>
    <x v="2"/>
    <n v="115"/>
    <n v="-20.079999999999998"/>
    <x v="1018"/>
    <x v="6"/>
    <x v="48"/>
    <x v="0"/>
    <x v="0"/>
    <x v="0"/>
  </r>
  <r>
    <x v="9"/>
    <n v="100"/>
    <n v="3700"/>
    <x v="123"/>
    <x v="0"/>
    <n v="1"/>
    <n v="2"/>
    <n v="2004"/>
    <x v="2"/>
    <n v="115"/>
    <n v="-15"/>
    <x v="84"/>
    <x v="1"/>
    <x v="60"/>
    <x v="18"/>
    <x v="1"/>
    <x v="1"/>
  </r>
  <r>
    <x v="1"/>
    <n v="100"/>
    <n v="3400"/>
    <x v="135"/>
    <x v="0"/>
    <n v="1"/>
    <n v="3"/>
    <n v="2004"/>
    <x v="2"/>
    <n v="115"/>
    <n v="-15"/>
    <x v="84"/>
    <x v="1"/>
    <x v="58"/>
    <x v="16"/>
    <x v="1"/>
    <x v="1"/>
  </r>
  <r>
    <x v="8"/>
    <n v="100"/>
    <n v="2200"/>
    <x v="125"/>
    <x v="0"/>
    <n v="2"/>
    <n v="5"/>
    <n v="2004"/>
    <x v="2"/>
    <n v="115"/>
    <n v="-15"/>
    <x v="84"/>
    <x v="1"/>
    <x v="20"/>
    <x v="7"/>
    <x v="1"/>
    <x v="0"/>
  </r>
  <r>
    <x v="6"/>
    <n v="100"/>
    <n v="2900"/>
    <x v="39"/>
    <x v="0"/>
    <n v="2"/>
    <n v="6"/>
    <n v="2004"/>
    <x v="2"/>
    <n v="115"/>
    <n v="-15"/>
    <x v="84"/>
    <x v="1"/>
    <x v="22"/>
    <x v="9"/>
    <x v="2"/>
    <x v="1"/>
  </r>
  <r>
    <x v="1"/>
    <n v="98.39"/>
    <n v="3345.26"/>
    <x v="126"/>
    <x v="0"/>
    <n v="3"/>
    <n v="7"/>
    <n v="2004"/>
    <x v="2"/>
    <n v="115"/>
    <n v="-16.61"/>
    <x v="1019"/>
    <x v="1"/>
    <x v="33"/>
    <x v="0"/>
    <x v="0"/>
    <x v="1"/>
  </r>
  <r>
    <x v="19"/>
    <n v="100"/>
    <n v="3800"/>
    <x v="76"/>
    <x v="0"/>
    <n v="3"/>
    <n v="8"/>
    <n v="2004"/>
    <x v="2"/>
    <n v="115"/>
    <n v="-15"/>
    <x v="84"/>
    <x v="1"/>
    <x v="33"/>
    <x v="0"/>
    <x v="0"/>
    <x v="1"/>
  </r>
  <r>
    <x v="2"/>
    <n v="100"/>
    <n v="4100"/>
    <x v="42"/>
    <x v="0"/>
    <n v="3"/>
    <n v="9"/>
    <n v="2004"/>
    <x v="2"/>
    <n v="115"/>
    <n v="-15"/>
    <x v="84"/>
    <x v="1"/>
    <x v="0"/>
    <x v="0"/>
    <x v="0"/>
    <x v="1"/>
  </r>
  <r>
    <x v="13"/>
    <n v="100"/>
    <n v="4200"/>
    <x v="95"/>
    <x v="0"/>
    <n v="4"/>
    <n v="10"/>
    <n v="2004"/>
    <x v="2"/>
    <n v="115"/>
    <n v="-15"/>
    <x v="84"/>
    <x v="1"/>
    <x v="12"/>
    <x v="0"/>
    <x v="0"/>
    <x v="1"/>
  </r>
  <r>
    <x v="11"/>
    <n v="100"/>
    <n v="2800"/>
    <x v="96"/>
    <x v="0"/>
    <n v="4"/>
    <n v="10"/>
    <n v="2004"/>
    <x v="2"/>
    <n v="115"/>
    <n v="-15"/>
    <x v="84"/>
    <x v="1"/>
    <x v="62"/>
    <x v="13"/>
    <x v="1"/>
    <x v="1"/>
  </r>
  <r>
    <x v="19"/>
    <n v="100"/>
    <n v="3800"/>
    <x v="80"/>
    <x v="0"/>
    <n v="4"/>
    <n v="11"/>
    <n v="2004"/>
    <x v="2"/>
    <n v="115"/>
    <n v="-15"/>
    <x v="84"/>
    <x v="1"/>
    <x v="14"/>
    <x v="2"/>
    <x v="1"/>
    <x v="1"/>
  </r>
  <r>
    <x v="10"/>
    <n v="100"/>
    <n v="2300"/>
    <x v="128"/>
    <x v="0"/>
    <n v="4"/>
    <n v="11"/>
    <n v="2004"/>
    <x v="2"/>
    <n v="115"/>
    <n v="-15"/>
    <x v="84"/>
    <x v="1"/>
    <x v="2"/>
    <x v="1"/>
    <x v="1"/>
    <x v="1"/>
  </r>
  <r>
    <x v="28"/>
    <n v="71.400000000000006"/>
    <n v="2213.4"/>
    <x v="82"/>
    <x v="0"/>
    <n v="4"/>
    <n v="12"/>
    <n v="2004"/>
    <x v="2"/>
    <n v="115"/>
    <n v="-43.599999999999994"/>
    <x v="1020"/>
    <x v="5"/>
    <x v="20"/>
    <x v="7"/>
    <x v="1"/>
    <x v="0"/>
  </r>
  <r>
    <x v="12"/>
    <n v="100"/>
    <n v="4600"/>
    <x v="83"/>
    <x v="0"/>
    <n v="4"/>
    <n v="12"/>
    <n v="2004"/>
    <x v="2"/>
    <n v="115"/>
    <n v="-15"/>
    <x v="84"/>
    <x v="1"/>
    <x v="1"/>
    <x v="1"/>
    <x v="1"/>
    <x v="1"/>
  </r>
  <r>
    <x v="7"/>
    <n v="56.55"/>
    <n v="2714.3999999999996"/>
    <x v="129"/>
    <x v="0"/>
    <n v="1"/>
    <n v="1"/>
    <n v="2005"/>
    <x v="2"/>
    <n v="115"/>
    <n v="-58.45"/>
    <x v="1021"/>
    <x v="5"/>
    <x v="33"/>
    <x v="0"/>
    <x v="0"/>
    <x v="0"/>
  </r>
  <r>
    <x v="6"/>
    <n v="100"/>
    <n v="2900"/>
    <x v="205"/>
    <x v="0"/>
    <n v="1"/>
    <n v="2"/>
    <n v="2005"/>
    <x v="2"/>
    <n v="115"/>
    <n v="-15"/>
    <x v="84"/>
    <x v="1"/>
    <x v="20"/>
    <x v="7"/>
    <x v="1"/>
    <x v="1"/>
  </r>
  <r>
    <x v="12"/>
    <n v="100"/>
    <n v="4600"/>
    <x v="86"/>
    <x v="0"/>
    <n v="1"/>
    <n v="3"/>
    <n v="2005"/>
    <x v="2"/>
    <n v="115"/>
    <n v="-15"/>
    <x v="84"/>
    <x v="1"/>
    <x v="2"/>
    <x v="1"/>
    <x v="1"/>
    <x v="1"/>
  </r>
  <r>
    <x v="18"/>
    <n v="100"/>
    <n v="2600"/>
    <x v="147"/>
    <x v="0"/>
    <n v="2"/>
    <n v="5"/>
    <n v="2005"/>
    <x v="2"/>
    <n v="115"/>
    <n v="-15"/>
    <x v="84"/>
    <x v="1"/>
    <x v="20"/>
    <x v="7"/>
    <x v="1"/>
    <x v="1"/>
  </r>
  <r>
    <x v="52"/>
    <n v="100"/>
    <n v="1800"/>
    <x v="53"/>
    <x v="2"/>
    <n v="2"/>
    <n v="5"/>
    <n v="2005"/>
    <x v="2"/>
    <n v="115"/>
    <n v="-15"/>
    <x v="84"/>
    <x v="1"/>
    <x v="11"/>
    <x v="1"/>
    <x v="1"/>
    <x v="0"/>
  </r>
  <r>
    <x v="22"/>
    <n v="53.31"/>
    <n v="1705.92"/>
    <x v="134"/>
    <x v="0"/>
    <n v="1"/>
    <n v="1"/>
    <n v="2003"/>
    <x v="6"/>
    <n v="58"/>
    <n v="-4.6899999999999977"/>
    <x v="1022"/>
    <x v="3"/>
    <x v="20"/>
    <x v="7"/>
    <x v="1"/>
    <x v="0"/>
  </r>
  <r>
    <x v="15"/>
    <n v="49.21"/>
    <n v="1033.4100000000001"/>
    <x v="117"/>
    <x v="0"/>
    <n v="2"/>
    <n v="4"/>
    <n v="2003"/>
    <x v="6"/>
    <n v="58"/>
    <n v="-8.7899999999999991"/>
    <x v="1023"/>
    <x v="1"/>
    <x v="22"/>
    <x v="9"/>
    <x v="2"/>
    <x v="0"/>
  </r>
  <r>
    <x v="12"/>
    <n v="69.12"/>
    <n v="3179.5200000000004"/>
    <x v="118"/>
    <x v="0"/>
    <n v="2"/>
    <n v="6"/>
    <n v="2003"/>
    <x v="6"/>
    <n v="58"/>
    <n v="11.120000000000005"/>
    <x v="1024"/>
    <x v="0"/>
    <x v="0"/>
    <x v="0"/>
    <x v="0"/>
    <x v="1"/>
  </r>
  <r>
    <x v="13"/>
    <n v="49.79"/>
    <n v="2091.1799999999998"/>
    <x v="119"/>
    <x v="0"/>
    <n v="3"/>
    <n v="8"/>
    <n v="2003"/>
    <x v="6"/>
    <n v="58"/>
    <n v="-8.2100000000000009"/>
    <x v="1025"/>
    <x v="1"/>
    <x v="33"/>
    <x v="0"/>
    <x v="0"/>
    <x v="0"/>
  </r>
  <r>
    <x v="28"/>
    <n v="57.41"/>
    <n v="1779.7099999999998"/>
    <x v="120"/>
    <x v="0"/>
    <n v="3"/>
    <n v="9"/>
    <n v="2003"/>
    <x v="6"/>
    <n v="58"/>
    <n v="-0.59000000000000341"/>
    <x v="1026"/>
    <x v="4"/>
    <x v="20"/>
    <x v="7"/>
    <x v="1"/>
    <x v="0"/>
  </r>
  <r>
    <x v="19"/>
    <n v="66.78"/>
    <n v="2537.64"/>
    <x v="121"/>
    <x v="0"/>
    <n v="4"/>
    <n v="10"/>
    <n v="2003"/>
    <x v="6"/>
    <n v="58"/>
    <n v="8.7800000000000011"/>
    <x v="1027"/>
    <x v="0"/>
    <x v="22"/>
    <x v="9"/>
    <x v="2"/>
    <x v="0"/>
  </r>
  <r>
    <x v="19"/>
    <n v="64.44"/>
    <n v="2448.7199999999998"/>
    <x v="32"/>
    <x v="0"/>
    <n v="4"/>
    <n v="11"/>
    <n v="2003"/>
    <x v="6"/>
    <n v="58"/>
    <n v="6.4399999999999977"/>
    <x v="1028"/>
    <x v="0"/>
    <x v="57"/>
    <x v="12"/>
    <x v="1"/>
    <x v="0"/>
  </r>
  <r>
    <x v="14"/>
    <n v="48.62"/>
    <n v="972.4"/>
    <x v="69"/>
    <x v="0"/>
    <n v="4"/>
    <n v="11"/>
    <n v="2003"/>
    <x v="6"/>
    <n v="58"/>
    <n v="-9.3800000000000026"/>
    <x v="1029"/>
    <x v="6"/>
    <x v="18"/>
    <x v="0"/>
    <x v="0"/>
    <x v="0"/>
  </r>
  <r>
    <x v="12"/>
    <n v="62.09"/>
    <n v="2856.1400000000003"/>
    <x v="70"/>
    <x v="0"/>
    <n v="4"/>
    <n v="11"/>
    <n v="2003"/>
    <x v="6"/>
    <n v="58"/>
    <n v="4.0900000000000034"/>
    <x v="1030"/>
    <x v="0"/>
    <x v="28"/>
    <x v="0"/>
    <x v="0"/>
    <x v="0"/>
  </r>
  <r>
    <x v="0"/>
    <n v="65.61"/>
    <n v="1968.3"/>
    <x v="122"/>
    <x v="0"/>
    <n v="1"/>
    <n v="1"/>
    <n v="2004"/>
    <x v="6"/>
    <n v="58"/>
    <n v="7.6099999999999994"/>
    <x v="1031"/>
    <x v="0"/>
    <x v="25"/>
    <x v="1"/>
    <x v="1"/>
    <x v="0"/>
  </r>
  <r>
    <x v="0"/>
    <n v="68.540000000000006"/>
    <n v="2056.2000000000003"/>
    <x v="123"/>
    <x v="0"/>
    <n v="1"/>
    <n v="2"/>
    <n v="2004"/>
    <x v="6"/>
    <n v="58"/>
    <n v="10.540000000000006"/>
    <x v="1032"/>
    <x v="0"/>
    <x v="60"/>
    <x v="18"/>
    <x v="1"/>
    <x v="0"/>
  </r>
  <r>
    <x v="30"/>
    <n v="52.14"/>
    <n v="2242.02"/>
    <x v="135"/>
    <x v="0"/>
    <n v="1"/>
    <n v="3"/>
    <n v="2004"/>
    <x v="6"/>
    <n v="58"/>
    <n v="-5.8599999999999994"/>
    <x v="1033"/>
    <x v="3"/>
    <x v="58"/>
    <x v="16"/>
    <x v="1"/>
    <x v="0"/>
  </r>
  <r>
    <x v="4"/>
    <n v="63.85"/>
    <n v="3128.65"/>
    <x v="125"/>
    <x v="0"/>
    <n v="2"/>
    <n v="5"/>
    <n v="2004"/>
    <x v="6"/>
    <n v="58"/>
    <n v="5.8500000000000014"/>
    <x v="1034"/>
    <x v="0"/>
    <x v="59"/>
    <x v="4"/>
    <x v="1"/>
    <x v="1"/>
  </r>
  <r>
    <x v="30"/>
    <n v="56.82"/>
    <n v="2443.2600000000002"/>
    <x v="126"/>
    <x v="0"/>
    <n v="3"/>
    <n v="7"/>
    <n v="2004"/>
    <x v="6"/>
    <n v="58"/>
    <n v="-1.1799999999999997"/>
    <x v="1035"/>
    <x v="4"/>
    <x v="15"/>
    <x v="0"/>
    <x v="0"/>
    <x v="0"/>
  </r>
  <r>
    <x v="9"/>
    <n v="66.78"/>
    <n v="2470.86"/>
    <x v="76"/>
    <x v="0"/>
    <n v="3"/>
    <n v="8"/>
    <n v="2004"/>
    <x v="6"/>
    <n v="58"/>
    <n v="8.7800000000000011"/>
    <x v="1027"/>
    <x v="0"/>
    <x v="33"/>
    <x v="0"/>
    <x v="0"/>
    <x v="0"/>
  </r>
  <r>
    <x v="21"/>
    <n v="55.07"/>
    <n v="1927.45"/>
    <x v="42"/>
    <x v="0"/>
    <n v="3"/>
    <n v="9"/>
    <n v="2004"/>
    <x v="6"/>
    <n v="58"/>
    <n v="-2.9299999999999997"/>
    <x v="1036"/>
    <x v="4"/>
    <x v="0"/>
    <x v="0"/>
    <x v="0"/>
    <x v="0"/>
  </r>
  <r>
    <x v="1"/>
    <n v="60.34"/>
    <n v="2051.56"/>
    <x v="78"/>
    <x v="0"/>
    <n v="4"/>
    <n v="10"/>
    <n v="2004"/>
    <x v="6"/>
    <n v="58"/>
    <n v="2.3400000000000034"/>
    <x v="1037"/>
    <x v="0"/>
    <x v="61"/>
    <x v="6"/>
    <x v="1"/>
    <x v="0"/>
  </r>
  <r>
    <x v="19"/>
    <n v="61.51"/>
    <n v="2337.38"/>
    <x v="96"/>
    <x v="0"/>
    <n v="4"/>
    <n v="10"/>
    <n v="2004"/>
    <x v="6"/>
    <n v="58"/>
    <n v="3.509999999999998"/>
    <x v="1038"/>
    <x v="0"/>
    <x v="62"/>
    <x v="13"/>
    <x v="1"/>
    <x v="0"/>
  </r>
  <r>
    <x v="27"/>
    <n v="100"/>
    <n v="4400"/>
    <x v="80"/>
    <x v="0"/>
    <n v="4"/>
    <n v="11"/>
    <n v="2004"/>
    <x v="6"/>
    <n v="58"/>
    <n v="42"/>
    <x v="1039"/>
    <x v="0"/>
    <x v="14"/>
    <x v="2"/>
    <x v="1"/>
    <x v="1"/>
  </r>
  <r>
    <x v="15"/>
    <n v="100"/>
    <n v="2100"/>
    <x v="81"/>
    <x v="0"/>
    <n v="4"/>
    <n v="11"/>
    <n v="2004"/>
    <x v="6"/>
    <n v="58"/>
    <n v="42"/>
    <x v="1039"/>
    <x v="0"/>
    <x v="0"/>
    <x v="0"/>
    <x v="0"/>
    <x v="0"/>
  </r>
  <r>
    <x v="27"/>
    <n v="100"/>
    <n v="4400"/>
    <x v="82"/>
    <x v="0"/>
    <n v="4"/>
    <n v="12"/>
    <n v="2004"/>
    <x v="6"/>
    <n v="58"/>
    <n v="42"/>
    <x v="1039"/>
    <x v="0"/>
    <x v="20"/>
    <x v="7"/>
    <x v="1"/>
    <x v="1"/>
  </r>
  <r>
    <x v="32"/>
    <n v="64.930000000000007"/>
    <n v="1623.2500000000002"/>
    <x v="83"/>
    <x v="0"/>
    <n v="4"/>
    <n v="12"/>
    <n v="2004"/>
    <x v="6"/>
    <n v="58"/>
    <n v="6.9300000000000068"/>
    <x v="1040"/>
    <x v="0"/>
    <x v="1"/>
    <x v="1"/>
    <x v="1"/>
    <x v="0"/>
  </r>
  <r>
    <x v="16"/>
    <n v="58.58"/>
    <n v="1405.92"/>
    <x v="136"/>
    <x v="0"/>
    <n v="1"/>
    <n v="1"/>
    <n v="2005"/>
    <x v="6"/>
    <n v="58"/>
    <n v="0.57999999999999829"/>
    <x v="1041"/>
    <x v="0"/>
    <x v="29"/>
    <x v="11"/>
    <x v="3"/>
    <x v="0"/>
  </r>
  <r>
    <x v="19"/>
    <n v="60.06"/>
    <n v="2282.2800000000002"/>
    <x v="205"/>
    <x v="0"/>
    <n v="1"/>
    <n v="2"/>
    <n v="2005"/>
    <x v="6"/>
    <n v="58"/>
    <n v="2.0600000000000023"/>
    <x v="1042"/>
    <x v="0"/>
    <x v="20"/>
    <x v="7"/>
    <x v="1"/>
    <x v="0"/>
  </r>
  <r>
    <x v="3"/>
    <n v="100"/>
    <n v="4500"/>
    <x v="86"/>
    <x v="0"/>
    <n v="1"/>
    <n v="3"/>
    <n v="2005"/>
    <x v="6"/>
    <n v="58"/>
    <n v="42"/>
    <x v="1039"/>
    <x v="0"/>
    <x v="2"/>
    <x v="1"/>
    <x v="1"/>
    <x v="2"/>
  </r>
  <r>
    <x v="41"/>
    <n v="63.85"/>
    <n v="3256.35"/>
    <x v="130"/>
    <x v="0"/>
    <n v="2"/>
    <n v="5"/>
    <n v="2005"/>
    <x v="6"/>
    <n v="58"/>
    <n v="5.8500000000000014"/>
    <x v="1034"/>
    <x v="0"/>
    <x v="10"/>
    <x v="0"/>
    <x v="0"/>
    <x v="1"/>
  </r>
  <r>
    <x v="1"/>
    <n v="82.99"/>
    <n v="2821.66"/>
    <x v="98"/>
    <x v="0"/>
    <n v="1"/>
    <n v="3"/>
    <n v="2003"/>
    <x v="0"/>
    <n v="81"/>
    <n v="1.9899999999999949"/>
    <x v="1043"/>
    <x v="0"/>
    <x v="53"/>
    <x v="15"/>
    <x v="2"/>
    <x v="0"/>
  </r>
  <r>
    <x v="27"/>
    <n v="74.849999999999994"/>
    <n v="3293.3999999999996"/>
    <x v="1"/>
    <x v="0"/>
    <n v="2"/>
    <n v="5"/>
    <n v="2003"/>
    <x v="0"/>
    <n v="81"/>
    <n v="-6.1500000000000057"/>
    <x v="1044"/>
    <x v="3"/>
    <x v="1"/>
    <x v="1"/>
    <x v="1"/>
    <x v="1"/>
  </r>
  <r>
    <x v="27"/>
    <n v="96"/>
    <n v="4224"/>
    <x v="100"/>
    <x v="0"/>
    <n v="3"/>
    <n v="7"/>
    <n v="2003"/>
    <x v="0"/>
    <n v="81"/>
    <n v="15"/>
    <x v="1045"/>
    <x v="0"/>
    <x v="33"/>
    <x v="0"/>
    <x v="0"/>
    <x v="1"/>
  </r>
  <r>
    <x v="19"/>
    <n v="81.36"/>
    <n v="3091.68"/>
    <x v="3"/>
    <x v="0"/>
    <n v="3"/>
    <n v="8"/>
    <n v="2003"/>
    <x v="0"/>
    <n v="81"/>
    <n v="0.35999999999999943"/>
    <x v="1046"/>
    <x v="2"/>
    <x v="3"/>
    <x v="0"/>
    <x v="0"/>
    <x v="1"/>
  </r>
  <r>
    <x v="28"/>
    <n v="71.599999999999994"/>
    <n v="2219.6"/>
    <x v="4"/>
    <x v="0"/>
    <n v="4"/>
    <n v="10"/>
    <n v="2003"/>
    <x v="0"/>
    <n v="81"/>
    <n v="-9.4000000000000057"/>
    <x v="1047"/>
    <x v="1"/>
    <x v="4"/>
    <x v="0"/>
    <x v="0"/>
    <x v="0"/>
  </r>
  <r>
    <x v="7"/>
    <n v="80.55"/>
    <n v="3866.3999999999996"/>
    <x v="102"/>
    <x v="0"/>
    <n v="4"/>
    <n v="11"/>
    <n v="2003"/>
    <x v="0"/>
    <n v="81"/>
    <n v="-0.45000000000000284"/>
    <x v="1048"/>
    <x v="4"/>
    <x v="36"/>
    <x v="3"/>
    <x v="2"/>
    <x v="1"/>
  </r>
  <r>
    <x v="15"/>
    <n v="93.56"/>
    <n v="1964.76"/>
    <x v="6"/>
    <x v="0"/>
    <n v="4"/>
    <n v="11"/>
    <n v="2003"/>
    <x v="0"/>
    <n v="81"/>
    <n v="12.560000000000002"/>
    <x v="1049"/>
    <x v="0"/>
    <x v="6"/>
    <x v="1"/>
    <x v="1"/>
    <x v="0"/>
  </r>
  <r>
    <x v="23"/>
    <n v="66.72"/>
    <n v="2668.8"/>
    <x v="240"/>
    <x v="0"/>
    <n v="4"/>
    <n v="11"/>
    <n v="2003"/>
    <x v="0"/>
    <n v="81"/>
    <n v="-14.280000000000001"/>
    <x v="1050"/>
    <x v="6"/>
    <x v="20"/>
    <x v="7"/>
    <x v="1"/>
    <x v="0"/>
  </r>
  <r>
    <x v="23"/>
    <n v="80.55"/>
    <n v="3222"/>
    <x v="9"/>
    <x v="0"/>
    <n v="1"/>
    <n v="1"/>
    <n v="2004"/>
    <x v="0"/>
    <n v="81"/>
    <n v="-0.45000000000000284"/>
    <x v="1048"/>
    <x v="4"/>
    <x v="2"/>
    <x v="1"/>
    <x v="1"/>
    <x v="1"/>
  </r>
  <r>
    <x v="24"/>
    <n v="77.290000000000006"/>
    <n v="3864.5000000000005"/>
    <x v="133"/>
    <x v="0"/>
    <n v="1"/>
    <n v="2"/>
    <n v="2004"/>
    <x v="0"/>
    <n v="81"/>
    <n v="-3.7099999999999937"/>
    <x v="1051"/>
    <x v="4"/>
    <x v="6"/>
    <x v="1"/>
    <x v="1"/>
    <x v="1"/>
  </r>
  <r>
    <x v="14"/>
    <n v="68.34"/>
    <n v="1366.8000000000002"/>
    <x v="11"/>
    <x v="0"/>
    <n v="2"/>
    <n v="4"/>
    <n v="2004"/>
    <x v="0"/>
    <n v="81"/>
    <n v="-12.659999999999997"/>
    <x v="1052"/>
    <x v="6"/>
    <x v="0"/>
    <x v="0"/>
    <x v="0"/>
    <x v="0"/>
  </r>
  <r>
    <x v="7"/>
    <n v="72.41"/>
    <n v="3475.68"/>
    <x v="224"/>
    <x v="0"/>
    <n v="2"/>
    <n v="5"/>
    <n v="2004"/>
    <x v="0"/>
    <n v="81"/>
    <n v="-8.5900000000000034"/>
    <x v="1053"/>
    <x v="1"/>
    <x v="2"/>
    <x v="1"/>
    <x v="1"/>
    <x v="1"/>
  </r>
  <r>
    <x v="20"/>
    <n v="89.5"/>
    <n v="4206.5"/>
    <x v="230"/>
    <x v="0"/>
    <n v="2"/>
    <n v="6"/>
    <n v="2004"/>
    <x v="0"/>
    <n v="81"/>
    <n v="8.5"/>
    <x v="1054"/>
    <x v="0"/>
    <x v="48"/>
    <x v="0"/>
    <x v="0"/>
    <x v="1"/>
  </r>
  <r>
    <x v="15"/>
    <n v="70.78"/>
    <n v="1486.38"/>
    <x v="110"/>
    <x v="0"/>
    <n v="3"/>
    <n v="8"/>
    <n v="2004"/>
    <x v="0"/>
    <n v="81"/>
    <n v="-10.219999999999999"/>
    <x v="1055"/>
    <x v="1"/>
    <x v="35"/>
    <x v="0"/>
    <x v="0"/>
    <x v="0"/>
  </r>
  <r>
    <x v="25"/>
    <n v="78.92"/>
    <n v="3077.88"/>
    <x v="15"/>
    <x v="0"/>
    <n v="3"/>
    <n v="8"/>
    <n v="2004"/>
    <x v="0"/>
    <n v="81"/>
    <n v="-2.0799999999999983"/>
    <x v="1056"/>
    <x v="4"/>
    <x v="12"/>
    <x v="0"/>
    <x v="0"/>
    <x v="1"/>
  </r>
  <r>
    <x v="27"/>
    <n v="80.55"/>
    <n v="3544.2"/>
    <x v="16"/>
    <x v="0"/>
    <n v="3"/>
    <n v="9"/>
    <n v="2004"/>
    <x v="0"/>
    <n v="81"/>
    <n v="-0.45000000000000284"/>
    <x v="1048"/>
    <x v="4"/>
    <x v="13"/>
    <x v="4"/>
    <x v="1"/>
    <x v="1"/>
  </r>
  <r>
    <x v="11"/>
    <n v="88.68"/>
    <n v="2483.04"/>
    <x v="17"/>
    <x v="0"/>
    <n v="4"/>
    <n v="10"/>
    <n v="2004"/>
    <x v="0"/>
    <n v="81"/>
    <n v="7.6800000000000068"/>
    <x v="1057"/>
    <x v="0"/>
    <x v="14"/>
    <x v="2"/>
    <x v="1"/>
    <x v="0"/>
  </r>
  <r>
    <x v="3"/>
    <n v="77.290000000000006"/>
    <n v="3478.05"/>
    <x v="114"/>
    <x v="0"/>
    <n v="4"/>
    <n v="11"/>
    <n v="2004"/>
    <x v="0"/>
    <n v="81"/>
    <n v="-3.7099999999999937"/>
    <x v="1051"/>
    <x v="4"/>
    <x v="0"/>
    <x v="0"/>
    <x v="0"/>
    <x v="1"/>
  </r>
  <r>
    <x v="14"/>
    <n v="100"/>
    <n v="2000"/>
    <x v="159"/>
    <x v="0"/>
    <n v="4"/>
    <n v="11"/>
    <n v="2004"/>
    <x v="0"/>
    <n v="81"/>
    <n v="19"/>
    <x v="1058"/>
    <x v="0"/>
    <x v="24"/>
    <x v="0"/>
    <x v="0"/>
    <x v="1"/>
  </r>
  <r>
    <x v="19"/>
    <n v="100"/>
    <n v="3800"/>
    <x v="20"/>
    <x v="0"/>
    <n v="4"/>
    <n v="11"/>
    <n v="2004"/>
    <x v="0"/>
    <n v="81"/>
    <n v="19"/>
    <x v="1058"/>
    <x v="0"/>
    <x v="16"/>
    <x v="5"/>
    <x v="1"/>
    <x v="1"/>
  </r>
  <r>
    <x v="18"/>
    <n v="100"/>
    <n v="2600"/>
    <x v="160"/>
    <x v="0"/>
    <n v="4"/>
    <n v="12"/>
    <n v="2004"/>
    <x v="0"/>
    <n v="81"/>
    <n v="19"/>
    <x v="1058"/>
    <x v="0"/>
    <x v="2"/>
    <x v="1"/>
    <x v="1"/>
    <x v="1"/>
  </r>
  <r>
    <x v="27"/>
    <n v="100"/>
    <n v="4400"/>
    <x v="161"/>
    <x v="0"/>
    <n v="1"/>
    <n v="1"/>
    <n v="2005"/>
    <x v="0"/>
    <n v="81"/>
    <n v="19"/>
    <x v="1058"/>
    <x v="0"/>
    <x v="18"/>
    <x v="0"/>
    <x v="0"/>
    <x v="1"/>
  </r>
  <r>
    <x v="4"/>
    <n v="100"/>
    <n v="4900"/>
    <x v="22"/>
    <x v="0"/>
    <n v="1"/>
    <n v="2"/>
    <n v="2005"/>
    <x v="0"/>
    <n v="81"/>
    <n v="19"/>
    <x v="1058"/>
    <x v="0"/>
    <x v="11"/>
    <x v="1"/>
    <x v="1"/>
    <x v="1"/>
  </r>
  <r>
    <x v="8"/>
    <n v="100"/>
    <n v="2200"/>
    <x v="162"/>
    <x v="0"/>
    <n v="1"/>
    <n v="3"/>
    <n v="2005"/>
    <x v="0"/>
    <n v="81"/>
    <n v="19"/>
    <x v="1058"/>
    <x v="0"/>
    <x v="33"/>
    <x v="0"/>
    <x v="0"/>
    <x v="1"/>
  </r>
  <r>
    <x v="28"/>
    <n v="68.34"/>
    <n v="2118.54"/>
    <x v="24"/>
    <x v="0"/>
    <n v="2"/>
    <n v="4"/>
    <n v="2005"/>
    <x v="0"/>
    <n v="81"/>
    <n v="-12.659999999999997"/>
    <x v="1052"/>
    <x v="6"/>
    <x v="19"/>
    <x v="6"/>
    <x v="1"/>
    <x v="0"/>
  </r>
  <r>
    <x v="2"/>
    <n v="70.67"/>
    <n v="2897.4700000000003"/>
    <x v="62"/>
    <x v="0"/>
    <n v="1"/>
    <n v="2"/>
    <n v="2003"/>
    <x v="5"/>
    <n v="66"/>
    <n v="4.6700000000000017"/>
    <x v="1059"/>
    <x v="0"/>
    <x v="40"/>
    <x v="13"/>
    <x v="1"/>
    <x v="0"/>
  </r>
  <r>
    <x v="32"/>
    <n v="76.67"/>
    <n v="1916.75"/>
    <x v="63"/>
    <x v="0"/>
    <n v="2"/>
    <n v="4"/>
    <n v="2003"/>
    <x v="5"/>
    <n v="66"/>
    <n v="10.670000000000002"/>
    <x v="1060"/>
    <x v="0"/>
    <x v="16"/>
    <x v="5"/>
    <x v="1"/>
    <x v="0"/>
  </r>
  <r>
    <x v="28"/>
    <n v="60"/>
    <n v="1860"/>
    <x v="64"/>
    <x v="0"/>
    <n v="2"/>
    <n v="6"/>
    <n v="2003"/>
    <x v="5"/>
    <n v="66"/>
    <n v="-6"/>
    <x v="1061"/>
    <x v="3"/>
    <x v="41"/>
    <x v="6"/>
    <x v="1"/>
    <x v="0"/>
  </r>
  <r>
    <x v="2"/>
    <n v="64"/>
    <n v="2624"/>
    <x v="119"/>
    <x v="0"/>
    <n v="3"/>
    <n v="8"/>
    <n v="2003"/>
    <x v="5"/>
    <n v="66"/>
    <n v="-2"/>
    <x v="1062"/>
    <x v="4"/>
    <x v="33"/>
    <x v="0"/>
    <x v="0"/>
    <x v="0"/>
  </r>
  <r>
    <x v="30"/>
    <n v="64.67"/>
    <n v="2780.81"/>
    <x v="120"/>
    <x v="0"/>
    <n v="3"/>
    <n v="9"/>
    <n v="2003"/>
    <x v="5"/>
    <n v="66"/>
    <n v="-1.3299999999999983"/>
    <x v="1063"/>
    <x v="4"/>
    <x v="20"/>
    <x v="7"/>
    <x v="1"/>
    <x v="0"/>
  </r>
  <r>
    <x v="30"/>
    <n v="75.34"/>
    <n v="3239.6200000000003"/>
    <x v="67"/>
    <x v="3"/>
    <n v="4"/>
    <n v="10"/>
    <n v="2003"/>
    <x v="5"/>
    <n v="66"/>
    <n v="9.3400000000000034"/>
    <x v="1064"/>
    <x v="0"/>
    <x v="31"/>
    <x v="8"/>
    <x v="1"/>
    <x v="1"/>
  </r>
  <r>
    <x v="16"/>
    <n v="76"/>
    <n v="1824"/>
    <x v="219"/>
    <x v="0"/>
    <n v="4"/>
    <n v="11"/>
    <n v="2003"/>
    <x v="5"/>
    <n v="66"/>
    <n v="10"/>
    <x v="1065"/>
    <x v="0"/>
    <x v="20"/>
    <x v="7"/>
    <x v="1"/>
    <x v="0"/>
  </r>
  <r>
    <x v="15"/>
    <n v="54"/>
    <n v="1134"/>
    <x v="69"/>
    <x v="0"/>
    <n v="4"/>
    <n v="11"/>
    <n v="2003"/>
    <x v="5"/>
    <n v="66"/>
    <n v="-12"/>
    <x v="1066"/>
    <x v="6"/>
    <x v="18"/>
    <x v="0"/>
    <x v="0"/>
    <x v="0"/>
  </r>
  <r>
    <x v="10"/>
    <n v="64.67"/>
    <n v="1487.41"/>
    <x v="70"/>
    <x v="0"/>
    <n v="4"/>
    <n v="11"/>
    <n v="2003"/>
    <x v="5"/>
    <n v="66"/>
    <n v="-1.3299999999999983"/>
    <x v="1063"/>
    <x v="4"/>
    <x v="43"/>
    <x v="7"/>
    <x v="1"/>
    <x v="0"/>
  </r>
  <r>
    <x v="19"/>
    <n v="74.67"/>
    <n v="2837.46"/>
    <x v="122"/>
    <x v="0"/>
    <n v="1"/>
    <n v="1"/>
    <n v="2004"/>
    <x v="5"/>
    <n v="66"/>
    <n v="8.6700000000000017"/>
    <x v="1067"/>
    <x v="0"/>
    <x v="25"/>
    <x v="1"/>
    <x v="1"/>
    <x v="0"/>
  </r>
  <r>
    <x v="28"/>
    <n v="62.67"/>
    <n v="1942.77"/>
    <x v="72"/>
    <x v="0"/>
    <n v="1"/>
    <n v="2"/>
    <n v="2004"/>
    <x v="5"/>
    <n v="66"/>
    <n v="-3.3299999999999983"/>
    <x v="1068"/>
    <x v="4"/>
    <x v="45"/>
    <x v="0"/>
    <x v="0"/>
    <x v="0"/>
  </r>
  <r>
    <x v="5"/>
    <n v="70.67"/>
    <n v="2544.12"/>
    <x v="243"/>
    <x v="0"/>
    <n v="1"/>
    <n v="3"/>
    <n v="2004"/>
    <x v="5"/>
    <n v="66"/>
    <n v="4.6700000000000017"/>
    <x v="1059"/>
    <x v="0"/>
    <x v="9"/>
    <x v="0"/>
    <x v="0"/>
    <x v="0"/>
  </r>
  <r>
    <x v="5"/>
    <n v="71.34"/>
    <n v="2568.2400000000002"/>
    <x v="73"/>
    <x v="3"/>
    <n v="2"/>
    <n v="5"/>
    <n v="2004"/>
    <x v="5"/>
    <n v="66"/>
    <n v="5.3400000000000034"/>
    <x v="1069"/>
    <x v="0"/>
    <x v="0"/>
    <x v="0"/>
    <x v="0"/>
    <x v="0"/>
  </r>
  <r>
    <x v="1"/>
    <n v="62"/>
    <n v="2108"/>
    <x v="74"/>
    <x v="0"/>
    <n v="2"/>
    <n v="6"/>
    <n v="2004"/>
    <x v="5"/>
    <n v="66"/>
    <n v="-4"/>
    <x v="1070"/>
    <x v="3"/>
    <x v="37"/>
    <x v="10"/>
    <x v="0"/>
    <x v="0"/>
  </r>
  <r>
    <x v="15"/>
    <n v="65.34"/>
    <n v="1372.14"/>
    <x v="75"/>
    <x v="0"/>
    <n v="3"/>
    <n v="7"/>
    <n v="2004"/>
    <x v="5"/>
    <n v="66"/>
    <n v="-0.65999999999999659"/>
    <x v="1071"/>
    <x v="4"/>
    <x v="46"/>
    <x v="14"/>
    <x v="1"/>
    <x v="0"/>
  </r>
  <r>
    <x v="3"/>
    <n v="78.67"/>
    <n v="3540.15"/>
    <x v="76"/>
    <x v="0"/>
    <n v="3"/>
    <n v="8"/>
    <n v="2004"/>
    <x v="5"/>
    <n v="66"/>
    <n v="12.670000000000002"/>
    <x v="1072"/>
    <x v="0"/>
    <x v="47"/>
    <x v="10"/>
    <x v="0"/>
    <x v="1"/>
  </r>
  <r>
    <x v="18"/>
    <n v="75.34"/>
    <n v="1958.8400000000001"/>
    <x v="77"/>
    <x v="0"/>
    <n v="3"/>
    <n v="9"/>
    <n v="2004"/>
    <x v="5"/>
    <n v="66"/>
    <n v="9.3400000000000034"/>
    <x v="1064"/>
    <x v="0"/>
    <x v="48"/>
    <x v="0"/>
    <x v="0"/>
    <x v="0"/>
  </r>
  <r>
    <x v="24"/>
    <n v="54"/>
    <n v="2700"/>
    <x v="78"/>
    <x v="0"/>
    <n v="4"/>
    <n v="10"/>
    <n v="2004"/>
    <x v="5"/>
    <n v="66"/>
    <n v="-12"/>
    <x v="1066"/>
    <x v="6"/>
    <x v="61"/>
    <x v="6"/>
    <x v="1"/>
    <x v="0"/>
  </r>
  <r>
    <x v="2"/>
    <n v="62"/>
    <n v="2542"/>
    <x v="237"/>
    <x v="0"/>
    <n v="4"/>
    <n v="10"/>
    <n v="2004"/>
    <x v="5"/>
    <n v="66"/>
    <n v="-4"/>
    <x v="1070"/>
    <x v="3"/>
    <x v="11"/>
    <x v="1"/>
    <x v="1"/>
    <x v="0"/>
  </r>
  <r>
    <x v="25"/>
    <n v="60"/>
    <n v="2340"/>
    <x v="223"/>
    <x v="0"/>
    <n v="4"/>
    <n v="11"/>
    <n v="2004"/>
    <x v="5"/>
    <n v="66"/>
    <n v="-6"/>
    <x v="1061"/>
    <x v="3"/>
    <x v="21"/>
    <x v="8"/>
    <x v="1"/>
    <x v="0"/>
  </r>
  <r>
    <x v="8"/>
    <n v="100"/>
    <n v="2200"/>
    <x v="58"/>
    <x v="0"/>
    <n v="4"/>
    <n v="11"/>
    <n v="2004"/>
    <x v="5"/>
    <n v="66"/>
    <n v="34"/>
    <x v="1073"/>
    <x v="0"/>
    <x v="29"/>
    <x v="11"/>
    <x v="3"/>
    <x v="0"/>
  </r>
  <r>
    <x v="12"/>
    <n v="76.67"/>
    <n v="3526.82"/>
    <x v="82"/>
    <x v="0"/>
    <n v="4"/>
    <n v="12"/>
    <n v="2004"/>
    <x v="5"/>
    <n v="66"/>
    <n v="10.670000000000002"/>
    <x v="1060"/>
    <x v="0"/>
    <x v="20"/>
    <x v="7"/>
    <x v="1"/>
    <x v="1"/>
  </r>
  <r>
    <x v="27"/>
    <n v="100"/>
    <n v="4400"/>
    <x v="84"/>
    <x v="0"/>
    <n v="1"/>
    <n v="1"/>
    <n v="2005"/>
    <x v="5"/>
    <n v="66"/>
    <n v="34"/>
    <x v="1073"/>
    <x v="0"/>
    <x v="50"/>
    <x v="4"/>
    <x v="1"/>
    <x v="1"/>
  </r>
  <r>
    <x v="32"/>
    <n v="77.34"/>
    <n v="1933.5"/>
    <x v="244"/>
    <x v="0"/>
    <n v="1"/>
    <n v="2"/>
    <n v="2005"/>
    <x v="5"/>
    <n v="66"/>
    <n v="11.340000000000003"/>
    <x v="1074"/>
    <x v="0"/>
    <x v="33"/>
    <x v="0"/>
    <x v="0"/>
    <x v="0"/>
  </r>
  <r>
    <x v="25"/>
    <n v="66.67"/>
    <n v="2600.13"/>
    <x v="141"/>
    <x v="0"/>
    <n v="1"/>
    <n v="3"/>
    <n v="2005"/>
    <x v="5"/>
    <n v="66"/>
    <n v="0.67000000000000171"/>
    <x v="1075"/>
    <x v="0"/>
    <x v="33"/>
    <x v="0"/>
    <x v="0"/>
    <x v="0"/>
  </r>
  <r>
    <x v="9"/>
    <n v="71.34"/>
    <n v="2639.58"/>
    <x v="88"/>
    <x v="4"/>
    <n v="2"/>
    <n v="5"/>
    <n v="2005"/>
    <x v="5"/>
    <n v="66"/>
    <n v="5.3400000000000034"/>
    <x v="1069"/>
    <x v="0"/>
    <x v="48"/>
    <x v="0"/>
    <x v="0"/>
    <x v="0"/>
  </r>
  <r>
    <x v="28"/>
    <n v="100"/>
    <n v="3100"/>
    <x v="186"/>
    <x v="0"/>
    <n v="1"/>
    <n v="2"/>
    <n v="2003"/>
    <x v="4"/>
    <n v="91"/>
    <n v="9"/>
    <x v="1076"/>
    <x v="0"/>
    <x v="69"/>
    <x v="12"/>
    <x v="1"/>
    <x v="1"/>
  </r>
  <r>
    <x v="20"/>
    <n v="82.21"/>
    <n v="3863.87"/>
    <x v="54"/>
    <x v="0"/>
    <n v="2"/>
    <n v="4"/>
    <n v="2003"/>
    <x v="4"/>
    <n v="91"/>
    <n v="-8.7900000000000063"/>
    <x v="1077"/>
    <x v="3"/>
    <x v="8"/>
    <x v="3"/>
    <x v="2"/>
    <x v="1"/>
  </r>
  <r>
    <x v="16"/>
    <n v="77.64"/>
    <n v="1863.3600000000001"/>
    <x v="209"/>
    <x v="0"/>
    <n v="2"/>
    <n v="6"/>
    <n v="2003"/>
    <x v="4"/>
    <n v="91"/>
    <n v="-13.36"/>
    <x v="1078"/>
    <x v="1"/>
    <x v="20"/>
    <x v="7"/>
    <x v="1"/>
    <x v="0"/>
  </r>
  <r>
    <x v="5"/>
    <n v="100"/>
    <n v="3600"/>
    <x v="65"/>
    <x v="0"/>
    <n v="3"/>
    <n v="8"/>
    <n v="2003"/>
    <x v="4"/>
    <n v="91"/>
    <n v="9"/>
    <x v="1076"/>
    <x v="0"/>
    <x v="18"/>
    <x v="0"/>
    <x v="0"/>
    <x v="1"/>
  </r>
  <r>
    <x v="7"/>
    <n v="100"/>
    <n v="4800"/>
    <x v="249"/>
    <x v="0"/>
    <n v="4"/>
    <n v="10"/>
    <n v="2003"/>
    <x v="4"/>
    <n v="91"/>
    <n v="9"/>
    <x v="1076"/>
    <x v="0"/>
    <x v="20"/>
    <x v="7"/>
    <x v="1"/>
    <x v="1"/>
  </r>
  <r>
    <x v="11"/>
    <n v="98.65"/>
    <n v="2762.2000000000003"/>
    <x v="5"/>
    <x v="0"/>
    <n v="4"/>
    <n v="10"/>
    <n v="2003"/>
    <x v="4"/>
    <n v="91"/>
    <n v="7.6500000000000057"/>
    <x v="1079"/>
    <x v="0"/>
    <x v="5"/>
    <x v="0"/>
    <x v="0"/>
    <x v="0"/>
  </r>
  <r>
    <x v="7"/>
    <n v="83.12"/>
    <n v="3989.76"/>
    <x v="8"/>
    <x v="0"/>
    <n v="4"/>
    <n v="12"/>
    <n v="2003"/>
    <x v="4"/>
    <n v="91"/>
    <n v="-7.8799999999999955"/>
    <x v="1080"/>
    <x v="3"/>
    <x v="27"/>
    <x v="0"/>
    <x v="0"/>
    <x v="1"/>
  </r>
  <r>
    <x v="15"/>
    <n v="78.55"/>
    <n v="1649.55"/>
    <x v="55"/>
    <x v="0"/>
    <n v="1"/>
    <n v="1"/>
    <n v="2004"/>
    <x v="4"/>
    <n v="91"/>
    <n v="-12.450000000000003"/>
    <x v="1081"/>
    <x v="1"/>
    <x v="38"/>
    <x v="11"/>
    <x v="3"/>
    <x v="0"/>
  </r>
  <r>
    <x v="32"/>
    <n v="100"/>
    <n v="2500"/>
    <x v="10"/>
    <x v="0"/>
    <n v="1"/>
    <n v="2"/>
    <n v="2004"/>
    <x v="4"/>
    <n v="91"/>
    <n v="9"/>
    <x v="1076"/>
    <x v="0"/>
    <x v="8"/>
    <x v="3"/>
    <x v="2"/>
    <x v="0"/>
  </r>
  <r>
    <x v="32"/>
    <n v="100"/>
    <n v="2500"/>
    <x v="210"/>
    <x v="0"/>
    <n v="2"/>
    <n v="4"/>
    <n v="2004"/>
    <x v="4"/>
    <n v="91"/>
    <n v="9"/>
    <x v="1076"/>
    <x v="0"/>
    <x v="47"/>
    <x v="10"/>
    <x v="0"/>
    <x v="0"/>
  </r>
  <r>
    <x v="28"/>
    <n v="91.34"/>
    <n v="2831.54"/>
    <x v="189"/>
    <x v="0"/>
    <n v="2"/>
    <n v="5"/>
    <n v="2004"/>
    <x v="4"/>
    <n v="91"/>
    <n v="0.34000000000000341"/>
    <x v="1082"/>
    <x v="2"/>
    <x v="51"/>
    <x v="0"/>
    <x v="0"/>
    <x v="0"/>
  </r>
  <r>
    <x v="23"/>
    <n v="84.03"/>
    <n v="3361.2"/>
    <x v="190"/>
    <x v="3"/>
    <n v="2"/>
    <n v="6"/>
    <n v="2004"/>
    <x v="4"/>
    <n v="91"/>
    <n v="-6.9699999999999989"/>
    <x v="1083"/>
    <x v="3"/>
    <x v="20"/>
    <x v="7"/>
    <x v="1"/>
    <x v="1"/>
  </r>
  <r>
    <x v="22"/>
    <n v="89.51"/>
    <n v="2864.32"/>
    <x v="14"/>
    <x v="0"/>
    <n v="3"/>
    <n v="7"/>
    <n v="2004"/>
    <x v="4"/>
    <n v="91"/>
    <n v="-1.4899999999999949"/>
    <x v="1084"/>
    <x v="4"/>
    <x v="11"/>
    <x v="1"/>
    <x v="1"/>
    <x v="0"/>
  </r>
  <r>
    <x v="16"/>
    <n v="83.12"/>
    <n v="1994.88"/>
    <x v="191"/>
    <x v="0"/>
    <n v="3"/>
    <n v="8"/>
    <n v="2004"/>
    <x v="4"/>
    <n v="91"/>
    <n v="-7.8799999999999955"/>
    <x v="1080"/>
    <x v="3"/>
    <x v="68"/>
    <x v="2"/>
    <x v="1"/>
    <x v="0"/>
  </r>
  <r>
    <x v="13"/>
    <n v="100"/>
    <n v="4200"/>
    <x v="192"/>
    <x v="0"/>
    <n v="3"/>
    <n v="9"/>
    <n v="2004"/>
    <x v="4"/>
    <n v="91"/>
    <n v="9"/>
    <x v="1076"/>
    <x v="0"/>
    <x v="71"/>
    <x v="16"/>
    <x v="1"/>
    <x v="1"/>
  </r>
  <r>
    <x v="15"/>
    <n v="100"/>
    <n v="2100"/>
    <x v="17"/>
    <x v="0"/>
    <n v="4"/>
    <n v="10"/>
    <n v="2004"/>
    <x v="4"/>
    <n v="91"/>
    <n v="9"/>
    <x v="1076"/>
    <x v="0"/>
    <x v="39"/>
    <x v="0"/>
    <x v="0"/>
    <x v="0"/>
  </r>
  <r>
    <x v="1"/>
    <n v="82.21"/>
    <n v="2795.14"/>
    <x v="79"/>
    <x v="0"/>
    <n v="4"/>
    <n v="11"/>
    <n v="2004"/>
    <x v="4"/>
    <n v="91"/>
    <n v="-8.7900000000000063"/>
    <x v="1077"/>
    <x v="3"/>
    <x v="49"/>
    <x v="6"/>
    <x v="1"/>
    <x v="0"/>
  </r>
  <r>
    <x v="26"/>
    <n v="100"/>
    <n v="2700"/>
    <x v="233"/>
    <x v="0"/>
    <n v="4"/>
    <n v="11"/>
    <n v="2004"/>
    <x v="4"/>
    <n v="91"/>
    <n v="9"/>
    <x v="1076"/>
    <x v="0"/>
    <x v="69"/>
    <x v="12"/>
    <x v="1"/>
    <x v="0"/>
  </r>
  <r>
    <x v="0"/>
    <n v="88.6"/>
    <n v="2658"/>
    <x v="20"/>
    <x v="0"/>
    <n v="4"/>
    <n v="11"/>
    <n v="2004"/>
    <x v="4"/>
    <n v="91"/>
    <n v="-2.4000000000000057"/>
    <x v="1085"/>
    <x v="4"/>
    <x v="43"/>
    <x v="7"/>
    <x v="1"/>
    <x v="0"/>
  </r>
  <r>
    <x v="25"/>
    <n v="100"/>
    <n v="3900"/>
    <x v="212"/>
    <x v="0"/>
    <n v="4"/>
    <n v="12"/>
    <n v="2004"/>
    <x v="4"/>
    <n v="91"/>
    <n v="9"/>
    <x v="1076"/>
    <x v="0"/>
    <x v="63"/>
    <x v="0"/>
    <x v="0"/>
    <x v="1"/>
  </r>
  <r>
    <x v="14"/>
    <n v="60.54"/>
    <n v="1210.8"/>
    <x v="21"/>
    <x v="0"/>
    <n v="4"/>
    <n v="12"/>
    <n v="2004"/>
    <x v="4"/>
    <n v="91"/>
    <n v="-30.46"/>
    <x v="1086"/>
    <x v="5"/>
    <x v="17"/>
    <x v="3"/>
    <x v="2"/>
    <x v="0"/>
  </r>
  <r>
    <x v="9"/>
    <n v="81.87"/>
    <n v="3029.19"/>
    <x v="22"/>
    <x v="0"/>
    <n v="1"/>
    <n v="2"/>
    <n v="2005"/>
    <x v="4"/>
    <n v="91"/>
    <n v="-9.1299999999999955"/>
    <x v="1087"/>
    <x v="3"/>
    <x v="11"/>
    <x v="1"/>
    <x v="1"/>
    <x v="1"/>
  </r>
  <r>
    <x v="12"/>
    <n v="100"/>
    <n v="4600"/>
    <x v="23"/>
    <x v="0"/>
    <n v="1"/>
    <n v="3"/>
    <n v="2005"/>
    <x v="4"/>
    <n v="91"/>
    <n v="9"/>
    <x v="1076"/>
    <x v="0"/>
    <x v="18"/>
    <x v="0"/>
    <x v="0"/>
    <x v="2"/>
  </r>
  <r>
    <x v="20"/>
    <n v="87.69"/>
    <n v="4121.43"/>
    <x v="197"/>
    <x v="0"/>
    <n v="1"/>
    <n v="3"/>
    <n v="2005"/>
    <x v="4"/>
    <n v="91"/>
    <n v="-3.3100000000000023"/>
    <x v="1088"/>
    <x v="4"/>
    <x v="1"/>
    <x v="1"/>
    <x v="1"/>
    <x v="1"/>
  </r>
  <r>
    <x v="54"/>
    <n v="100"/>
    <n v="1100"/>
    <x v="213"/>
    <x v="4"/>
    <n v="2"/>
    <n v="4"/>
    <n v="2005"/>
    <x v="4"/>
    <n v="91"/>
    <n v="9"/>
    <x v="1076"/>
    <x v="0"/>
    <x v="9"/>
    <x v="0"/>
    <x v="0"/>
    <x v="0"/>
  </r>
  <r>
    <x v="10"/>
    <n v="91.34"/>
    <n v="2100.8200000000002"/>
    <x v="198"/>
    <x v="0"/>
    <n v="2"/>
    <n v="5"/>
    <n v="2005"/>
    <x v="4"/>
    <n v="91"/>
    <n v="0.34000000000000341"/>
    <x v="1082"/>
    <x v="2"/>
    <x v="57"/>
    <x v="12"/>
    <x v="1"/>
    <x v="0"/>
  </r>
  <r>
    <x v="6"/>
    <n v="70.150000000000006"/>
    <n v="2034.3500000000001"/>
    <x v="62"/>
    <x v="0"/>
    <n v="1"/>
    <n v="2"/>
    <n v="2003"/>
    <x v="5"/>
    <n v="86"/>
    <n v="-15.849999999999994"/>
    <x v="1089"/>
    <x v="6"/>
    <x v="40"/>
    <x v="13"/>
    <x v="1"/>
    <x v="0"/>
  </r>
  <r>
    <x v="19"/>
    <n v="79.680000000000007"/>
    <n v="3027.84"/>
    <x v="117"/>
    <x v="0"/>
    <n v="2"/>
    <n v="4"/>
    <n v="2003"/>
    <x v="5"/>
    <n v="86"/>
    <n v="-6.3199999999999932"/>
    <x v="1090"/>
    <x v="3"/>
    <x v="22"/>
    <x v="9"/>
    <x v="2"/>
    <x v="1"/>
  </r>
  <r>
    <x v="22"/>
    <n v="97"/>
    <n v="3104"/>
    <x v="218"/>
    <x v="0"/>
    <n v="2"/>
    <n v="6"/>
    <n v="2003"/>
    <x v="5"/>
    <n v="86"/>
    <n v="11"/>
    <x v="1091"/>
    <x v="0"/>
    <x v="20"/>
    <x v="7"/>
    <x v="1"/>
    <x v="1"/>
  </r>
  <r>
    <x v="30"/>
    <n v="84.01"/>
    <n v="3612.4300000000003"/>
    <x v="119"/>
    <x v="0"/>
    <n v="3"/>
    <n v="8"/>
    <n v="2003"/>
    <x v="5"/>
    <n v="86"/>
    <n v="-1.9899999999999949"/>
    <x v="1092"/>
    <x v="4"/>
    <x v="33"/>
    <x v="0"/>
    <x v="0"/>
    <x v="1"/>
  </r>
  <r>
    <x v="28"/>
    <n v="87.48"/>
    <n v="2711.88"/>
    <x v="120"/>
    <x v="0"/>
    <n v="3"/>
    <n v="9"/>
    <n v="2003"/>
    <x v="5"/>
    <n v="86"/>
    <n v="1.480000000000004"/>
    <x v="1093"/>
    <x v="0"/>
    <x v="20"/>
    <x v="7"/>
    <x v="1"/>
    <x v="0"/>
  </r>
  <r>
    <x v="6"/>
    <n v="100"/>
    <n v="2900"/>
    <x v="90"/>
    <x v="0"/>
    <n v="4"/>
    <n v="10"/>
    <n v="2003"/>
    <x v="5"/>
    <n v="86"/>
    <n v="14"/>
    <x v="293"/>
    <x v="0"/>
    <x v="18"/>
    <x v="0"/>
    <x v="0"/>
    <x v="1"/>
  </r>
  <r>
    <x v="28"/>
    <n v="88.34"/>
    <n v="2738.54"/>
    <x v="219"/>
    <x v="0"/>
    <n v="4"/>
    <n v="11"/>
    <n v="2003"/>
    <x v="5"/>
    <n v="86"/>
    <n v="2.3400000000000034"/>
    <x v="1094"/>
    <x v="0"/>
    <x v="20"/>
    <x v="7"/>
    <x v="1"/>
    <x v="0"/>
  </r>
  <r>
    <x v="0"/>
    <n v="94.4"/>
    <n v="2832"/>
    <x v="69"/>
    <x v="0"/>
    <n v="4"/>
    <n v="11"/>
    <n v="2003"/>
    <x v="5"/>
    <n v="86"/>
    <n v="8.4000000000000057"/>
    <x v="1095"/>
    <x v="0"/>
    <x v="18"/>
    <x v="0"/>
    <x v="0"/>
    <x v="0"/>
  </r>
  <r>
    <x v="24"/>
    <n v="94.4"/>
    <n v="4720"/>
    <x v="70"/>
    <x v="0"/>
    <n v="4"/>
    <n v="11"/>
    <n v="2003"/>
    <x v="5"/>
    <n v="86"/>
    <n v="8.4000000000000057"/>
    <x v="1095"/>
    <x v="0"/>
    <x v="28"/>
    <x v="0"/>
    <x v="0"/>
    <x v="1"/>
  </r>
  <r>
    <x v="23"/>
    <n v="80.55"/>
    <n v="3222"/>
    <x v="122"/>
    <x v="0"/>
    <n v="1"/>
    <n v="1"/>
    <n v="2004"/>
    <x v="5"/>
    <n v="86"/>
    <n v="-5.4500000000000028"/>
    <x v="1096"/>
    <x v="3"/>
    <x v="25"/>
    <x v="1"/>
    <x v="1"/>
    <x v="1"/>
  </r>
  <r>
    <x v="10"/>
    <n v="97"/>
    <n v="2231"/>
    <x v="220"/>
    <x v="0"/>
    <n v="1"/>
    <n v="2"/>
    <n v="2004"/>
    <x v="5"/>
    <n v="86"/>
    <n v="11"/>
    <x v="1091"/>
    <x v="0"/>
    <x v="46"/>
    <x v="14"/>
    <x v="1"/>
    <x v="0"/>
  </r>
  <r>
    <x v="18"/>
    <n v="88.34"/>
    <n v="2296.84"/>
    <x v="221"/>
    <x v="0"/>
    <n v="1"/>
    <n v="3"/>
    <n v="2004"/>
    <x v="5"/>
    <n v="86"/>
    <n v="2.3400000000000034"/>
    <x v="1094"/>
    <x v="0"/>
    <x v="49"/>
    <x v="6"/>
    <x v="1"/>
    <x v="0"/>
  </r>
  <r>
    <x v="23"/>
    <n v="100"/>
    <n v="4000"/>
    <x v="73"/>
    <x v="3"/>
    <n v="2"/>
    <n v="5"/>
    <n v="2004"/>
    <x v="5"/>
    <n v="86"/>
    <n v="14"/>
    <x v="293"/>
    <x v="0"/>
    <x v="0"/>
    <x v="0"/>
    <x v="0"/>
    <x v="1"/>
  </r>
  <r>
    <x v="15"/>
    <n v="100"/>
    <n v="2100"/>
    <x v="75"/>
    <x v="0"/>
    <n v="3"/>
    <n v="7"/>
    <n v="2004"/>
    <x v="5"/>
    <n v="86"/>
    <n v="14"/>
    <x v="293"/>
    <x v="0"/>
    <x v="46"/>
    <x v="14"/>
    <x v="1"/>
    <x v="0"/>
  </r>
  <r>
    <x v="30"/>
    <n v="86.61"/>
    <n v="3724.23"/>
    <x v="76"/>
    <x v="0"/>
    <n v="3"/>
    <n v="8"/>
    <n v="2004"/>
    <x v="5"/>
    <n v="86"/>
    <n v="0.60999999999999943"/>
    <x v="1097"/>
    <x v="0"/>
    <x v="33"/>
    <x v="0"/>
    <x v="0"/>
    <x v="1"/>
  </r>
  <r>
    <x v="6"/>
    <n v="71.89"/>
    <n v="2084.81"/>
    <x v="127"/>
    <x v="0"/>
    <n v="3"/>
    <n v="9"/>
    <n v="2004"/>
    <x v="5"/>
    <n v="86"/>
    <n v="-14.11"/>
    <x v="1098"/>
    <x v="6"/>
    <x v="30"/>
    <x v="12"/>
    <x v="1"/>
    <x v="0"/>
  </r>
  <r>
    <x v="19"/>
    <n v="91.81"/>
    <n v="3488.78"/>
    <x v="78"/>
    <x v="0"/>
    <n v="4"/>
    <n v="10"/>
    <n v="2004"/>
    <x v="5"/>
    <n v="86"/>
    <n v="5.8100000000000023"/>
    <x v="1099"/>
    <x v="0"/>
    <x v="61"/>
    <x v="6"/>
    <x v="1"/>
    <x v="1"/>
  </r>
  <r>
    <x v="10"/>
    <n v="76.22"/>
    <n v="1753.06"/>
    <x v="96"/>
    <x v="0"/>
    <n v="4"/>
    <n v="10"/>
    <n v="2004"/>
    <x v="5"/>
    <n v="86"/>
    <n v="-9.7800000000000011"/>
    <x v="1100"/>
    <x v="1"/>
    <x v="62"/>
    <x v="13"/>
    <x v="1"/>
    <x v="0"/>
  </r>
  <r>
    <x v="14"/>
    <n v="100"/>
    <n v="2000"/>
    <x v="193"/>
    <x v="5"/>
    <n v="4"/>
    <n v="11"/>
    <n v="2004"/>
    <x v="5"/>
    <n v="86"/>
    <n v="14"/>
    <x v="293"/>
    <x v="0"/>
    <x v="40"/>
    <x v="13"/>
    <x v="1"/>
    <x v="1"/>
  </r>
  <r>
    <x v="5"/>
    <n v="70.3"/>
    <n v="2530.7999999999997"/>
    <x v="81"/>
    <x v="0"/>
    <n v="4"/>
    <n v="11"/>
    <n v="2004"/>
    <x v="5"/>
    <n v="86"/>
    <n v="-15.700000000000003"/>
    <x v="1101"/>
    <x v="6"/>
    <x v="0"/>
    <x v="0"/>
    <x v="0"/>
    <x v="0"/>
  </r>
  <r>
    <x v="11"/>
    <n v="100"/>
    <n v="2800"/>
    <x v="82"/>
    <x v="0"/>
    <n v="4"/>
    <n v="12"/>
    <n v="2004"/>
    <x v="5"/>
    <n v="86"/>
    <n v="14"/>
    <x v="293"/>
    <x v="0"/>
    <x v="20"/>
    <x v="7"/>
    <x v="1"/>
    <x v="0"/>
  </r>
  <r>
    <x v="27"/>
    <n v="100"/>
    <n v="4400"/>
    <x v="136"/>
    <x v="0"/>
    <n v="1"/>
    <n v="1"/>
    <n v="2005"/>
    <x v="5"/>
    <n v="86"/>
    <n v="14"/>
    <x v="293"/>
    <x v="0"/>
    <x v="29"/>
    <x v="11"/>
    <x v="3"/>
    <x v="1"/>
  </r>
  <r>
    <x v="4"/>
    <n v="100"/>
    <n v="4900"/>
    <x v="85"/>
    <x v="0"/>
    <n v="1"/>
    <n v="2"/>
    <n v="2005"/>
    <x v="5"/>
    <n v="86"/>
    <n v="14"/>
    <x v="293"/>
    <x v="0"/>
    <x v="4"/>
    <x v="0"/>
    <x v="0"/>
    <x v="1"/>
  </r>
  <r>
    <x v="22"/>
    <n v="80.55"/>
    <n v="2577.6"/>
    <x v="250"/>
    <x v="0"/>
    <n v="1"/>
    <n v="3"/>
    <n v="2005"/>
    <x v="5"/>
    <n v="86"/>
    <n v="-5.4500000000000028"/>
    <x v="1096"/>
    <x v="3"/>
    <x v="42"/>
    <x v="1"/>
    <x v="1"/>
    <x v="0"/>
  </r>
  <r>
    <x v="1"/>
    <n v="100"/>
    <n v="3400"/>
    <x v="88"/>
    <x v="4"/>
    <n v="2"/>
    <n v="5"/>
    <n v="2005"/>
    <x v="5"/>
    <n v="86"/>
    <n v="14"/>
    <x v="293"/>
    <x v="0"/>
    <x v="48"/>
    <x v="0"/>
    <x v="0"/>
    <x v="1"/>
  </r>
  <r>
    <x v="0"/>
    <n v="100"/>
    <n v="3000"/>
    <x v="186"/>
    <x v="0"/>
    <n v="1"/>
    <n v="2"/>
    <n v="2003"/>
    <x v="5"/>
    <n v="90"/>
    <n v="10"/>
    <x v="616"/>
    <x v="0"/>
    <x v="69"/>
    <x v="12"/>
    <x v="1"/>
    <x v="1"/>
  </r>
  <r>
    <x v="6"/>
    <n v="94.14"/>
    <n v="2730.06"/>
    <x v="63"/>
    <x v="0"/>
    <n v="2"/>
    <n v="4"/>
    <n v="2003"/>
    <x v="5"/>
    <n v="90"/>
    <n v="4.1400000000000006"/>
    <x v="1102"/>
    <x v="0"/>
    <x v="16"/>
    <x v="5"/>
    <x v="1"/>
    <x v="0"/>
  </r>
  <r>
    <x v="8"/>
    <n v="85.99"/>
    <n v="1891.78"/>
    <x v="187"/>
    <x v="0"/>
    <n v="2"/>
    <n v="6"/>
    <n v="2003"/>
    <x v="5"/>
    <n v="90"/>
    <n v="-4.0100000000000051"/>
    <x v="1103"/>
    <x v="4"/>
    <x v="63"/>
    <x v="0"/>
    <x v="0"/>
    <x v="0"/>
  </r>
  <r>
    <x v="18"/>
    <n v="100"/>
    <n v="2600"/>
    <x v="65"/>
    <x v="0"/>
    <n v="3"/>
    <n v="8"/>
    <n v="2003"/>
    <x v="5"/>
    <n v="90"/>
    <n v="10"/>
    <x v="616"/>
    <x v="0"/>
    <x v="18"/>
    <x v="0"/>
    <x v="0"/>
    <x v="0"/>
  </r>
  <r>
    <x v="22"/>
    <n v="91.43"/>
    <n v="2925.76"/>
    <x v="66"/>
    <x v="0"/>
    <n v="4"/>
    <n v="10"/>
    <n v="2003"/>
    <x v="5"/>
    <n v="90"/>
    <n v="1.4300000000000068"/>
    <x v="1104"/>
    <x v="0"/>
    <x v="13"/>
    <x v="4"/>
    <x v="1"/>
    <x v="0"/>
  </r>
  <r>
    <x v="6"/>
    <n v="100"/>
    <n v="2900"/>
    <x v="67"/>
    <x v="3"/>
    <n v="4"/>
    <n v="10"/>
    <n v="2003"/>
    <x v="5"/>
    <n v="90"/>
    <n v="10"/>
    <x v="616"/>
    <x v="0"/>
    <x v="31"/>
    <x v="8"/>
    <x v="1"/>
    <x v="0"/>
  </r>
  <r>
    <x v="1"/>
    <n v="96.86"/>
    <n v="3293.24"/>
    <x v="68"/>
    <x v="0"/>
    <n v="4"/>
    <n v="11"/>
    <n v="2003"/>
    <x v="5"/>
    <n v="90"/>
    <n v="6.8599999999999994"/>
    <x v="1105"/>
    <x v="0"/>
    <x v="42"/>
    <x v="1"/>
    <x v="1"/>
    <x v="1"/>
  </r>
  <r>
    <x v="16"/>
    <n v="99.57"/>
    <n v="2389.6799999999998"/>
    <x v="69"/>
    <x v="0"/>
    <n v="4"/>
    <n v="11"/>
    <n v="2003"/>
    <x v="5"/>
    <n v="90"/>
    <n v="9.5699999999999932"/>
    <x v="1106"/>
    <x v="0"/>
    <x v="41"/>
    <x v="6"/>
    <x v="1"/>
    <x v="0"/>
  </r>
  <r>
    <x v="16"/>
    <n v="90.52"/>
    <n v="2172.48"/>
    <x v="70"/>
    <x v="0"/>
    <n v="4"/>
    <n v="11"/>
    <n v="2003"/>
    <x v="5"/>
    <n v="90"/>
    <n v="0.51999999999999602"/>
    <x v="1107"/>
    <x v="0"/>
    <x v="43"/>
    <x v="7"/>
    <x v="1"/>
    <x v="0"/>
  </r>
  <r>
    <x v="29"/>
    <n v="88.71"/>
    <n v="2927.43"/>
    <x v="71"/>
    <x v="0"/>
    <n v="1"/>
    <n v="1"/>
    <n v="2004"/>
    <x v="5"/>
    <n v="90"/>
    <n v="-1.2900000000000063"/>
    <x v="1108"/>
    <x v="4"/>
    <x v="44"/>
    <x v="0"/>
    <x v="0"/>
    <x v="0"/>
  </r>
  <r>
    <x v="18"/>
    <n v="100"/>
    <n v="2600"/>
    <x v="72"/>
    <x v="0"/>
    <n v="1"/>
    <n v="2"/>
    <n v="2004"/>
    <x v="5"/>
    <n v="90"/>
    <n v="10"/>
    <x v="616"/>
    <x v="0"/>
    <x v="45"/>
    <x v="0"/>
    <x v="0"/>
    <x v="0"/>
  </r>
  <r>
    <x v="23"/>
    <n v="95.95"/>
    <n v="3838"/>
    <x v="232"/>
    <x v="0"/>
    <n v="2"/>
    <n v="5"/>
    <n v="2004"/>
    <x v="5"/>
    <n v="90"/>
    <n v="5.9500000000000028"/>
    <x v="1109"/>
    <x v="0"/>
    <x v="12"/>
    <x v="0"/>
    <x v="0"/>
    <x v="1"/>
  </r>
  <r>
    <x v="27"/>
    <n v="94.14"/>
    <n v="4142.16"/>
    <x v="190"/>
    <x v="3"/>
    <n v="2"/>
    <n v="6"/>
    <n v="2004"/>
    <x v="5"/>
    <n v="90"/>
    <n v="4.1400000000000006"/>
    <x v="1102"/>
    <x v="0"/>
    <x v="20"/>
    <x v="7"/>
    <x v="1"/>
    <x v="1"/>
  </r>
  <r>
    <x v="16"/>
    <n v="90.52"/>
    <n v="2172.48"/>
    <x v="75"/>
    <x v="0"/>
    <n v="3"/>
    <n v="7"/>
    <n v="2004"/>
    <x v="5"/>
    <n v="90"/>
    <n v="0.51999999999999602"/>
    <x v="1107"/>
    <x v="0"/>
    <x v="35"/>
    <x v="0"/>
    <x v="0"/>
    <x v="0"/>
  </r>
  <r>
    <x v="14"/>
    <n v="94.14"/>
    <n v="1882.8"/>
    <x v="76"/>
    <x v="0"/>
    <n v="3"/>
    <n v="8"/>
    <n v="2004"/>
    <x v="5"/>
    <n v="90"/>
    <n v="4.1400000000000006"/>
    <x v="1102"/>
    <x v="0"/>
    <x v="47"/>
    <x v="10"/>
    <x v="0"/>
    <x v="0"/>
  </r>
  <r>
    <x v="1"/>
    <n v="100"/>
    <n v="3400"/>
    <x v="192"/>
    <x v="0"/>
    <n v="3"/>
    <n v="9"/>
    <n v="2004"/>
    <x v="5"/>
    <n v="90"/>
    <n v="10"/>
    <x v="616"/>
    <x v="0"/>
    <x v="71"/>
    <x v="16"/>
    <x v="1"/>
    <x v="1"/>
  </r>
  <r>
    <x v="1"/>
    <n v="97.76"/>
    <n v="3323.84"/>
    <x v="78"/>
    <x v="0"/>
    <n v="4"/>
    <n v="10"/>
    <n v="2004"/>
    <x v="5"/>
    <n v="90"/>
    <n v="7.7600000000000051"/>
    <x v="1110"/>
    <x v="0"/>
    <x v="24"/>
    <x v="0"/>
    <x v="0"/>
    <x v="1"/>
  </r>
  <r>
    <x v="3"/>
    <n v="93.24"/>
    <n v="4195.8"/>
    <x v="79"/>
    <x v="0"/>
    <n v="4"/>
    <n v="11"/>
    <n v="2004"/>
    <x v="5"/>
    <n v="90"/>
    <n v="3.2399999999999949"/>
    <x v="243"/>
    <x v="0"/>
    <x v="49"/>
    <x v="6"/>
    <x v="1"/>
    <x v="1"/>
  </r>
  <r>
    <x v="2"/>
    <n v="100"/>
    <n v="4100"/>
    <x v="233"/>
    <x v="0"/>
    <n v="4"/>
    <n v="11"/>
    <n v="2004"/>
    <x v="5"/>
    <n v="90"/>
    <n v="10"/>
    <x v="616"/>
    <x v="0"/>
    <x v="69"/>
    <x v="12"/>
    <x v="1"/>
    <x v="1"/>
  </r>
  <r>
    <x v="36"/>
    <n v="71.25"/>
    <n v="3918.75"/>
    <x v="58"/>
    <x v="0"/>
    <n v="4"/>
    <n v="11"/>
    <n v="2004"/>
    <x v="5"/>
    <n v="90"/>
    <n v="-18.75"/>
    <x v="1111"/>
    <x v="5"/>
    <x v="29"/>
    <x v="11"/>
    <x v="3"/>
    <x v="1"/>
  </r>
  <r>
    <x v="10"/>
    <n v="100"/>
    <n v="2300"/>
    <x v="195"/>
    <x v="0"/>
    <n v="4"/>
    <n v="12"/>
    <n v="2004"/>
    <x v="5"/>
    <n v="90"/>
    <n v="10"/>
    <x v="616"/>
    <x v="0"/>
    <x v="35"/>
    <x v="0"/>
    <x v="0"/>
    <x v="0"/>
  </r>
  <r>
    <x v="16"/>
    <n v="45.39"/>
    <n v="1089.3600000000001"/>
    <x v="21"/>
    <x v="0"/>
    <n v="4"/>
    <n v="12"/>
    <n v="2004"/>
    <x v="5"/>
    <n v="90"/>
    <n v="-44.61"/>
    <x v="1112"/>
    <x v="5"/>
    <x v="17"/>
    <x v="3"/>
    <x v="2"/>
    <x v="0"/>
  </r>
  <r>
    <x v="22"/>
    <n v="84.41"/>
    <n v="2701.12"/>
    <x v="84"/>
    <x v="0"/>
    <n v="1"/>
    <n v="1"/>
    <n v="2005"/>
    <x v="5"/>
    <n v="90"/>
    <n v="-5.5900000000000034"/>
    <x v="1113"/>
    <x v="3"/>
    <x v="50"/>
    <x v="4"/>
    <x v="1"/>
    <x v="0"/>
  </r>
  <r>
    <x v="6"/>
    <n v="85.76"/>
    <n v="2487.04"/>
    <x v="196"/>
    <x v="5"/>
    <n v="1"/>
    <n v="3"/>
    <n v="2005"/>
    <x v="5"/>
    <n v="90"/>
    <n v="-4.2399999999999949"/>
    <x v="1114"/>
    <x v="4"/>
    <x v="20"/>
    <x v="7"/>
    <x v="1"/>
    <x v="0"/>
  </r>
  <r>
    <x v="5"/>
    <n v="100"/>
    <n v="3600"/>
    <x v="197"/>
    <x v="0"/>
    <n v="1"/>
    <n v="3"/>
    <n v="2005"/>
    <x v="5"/>
    <n v="90"/>
    <n v="10"/>
    <x v="616"/>
    <x v="0"/>
    <x v="1"/>
    <x v="1"/>
    <x v="1"/>
    <x v="1"/>
  </r>
  <r>
    <x v="12"/>
    <n v="87.8"/>
    <n v="4038.7999999999997"/>
    <x v="87"/>
    <x v="0"/>
    <n v="2"/>
    <n v="4"/>
    <n v="2005"/>
    <x v="5"/>
    <n v="90"/>
    <n v="-2.2000000000000028"/>
    <x v="1115"/>
    <x v="4"/>
    <x v="51"/>
    <x v="0"/>
    <x v="0"/>
    <x v="1"/>
  </r>
  <r>
    <x v="22"/>
    <n v="95.95"/>
    <n v="3070.4"/>
    <x v="234"/>
    <x v="1"/>
    <n v="2"/>
    <n v="5"/>
    <n v="2005"/>
    <x v="5"/>
    <n v="90"/>
    <n v="5.9500000000000028"/>
    <x v="1109"/>
    <x v="0"/>
    <x v="70"/>
    <x v="3"/>
    <x v="2"/>
    <x v="1"/>
  </r>
  <r>
    <x v="1"/>
    <n v="100"/>
    <n v="3400"/>
    <x v="186"/>
    <x v="0"/>
    <n v="1"/>
    <n v="2"/>
    <n v="2003"/>
    <x v="4"/>
    <n v="99"/>
    <n v="1"/>
    <x v="347"/>
    <x v="0"/>
    <x v="69"/>
    <x v="12"/>
    <x v="1"/>
    <x v="1"/>
  </r>
  <r>
    <x v="16"/>
    <n v="100"/>
    <n v="2400"/>
    <x v="54"/>
    <x v="0"/>
    <n v="2"/>
    <n v="4"/>
    <n v="2003"/>
    <x v="4"/>
    <n v="99"/>
    <n v="1"/>
    <x v="347"/>
    <x v="0"/>
    <x v="8"/>
    <x v="3"/>
    <x v="2"/>
    <x v="0"/>
  </r>
  <r>
    <x v="23"/>
    <n v="100"/>
    <n v="4000"/>
    <x v="187"/>
    <x v="0"/>
    <n v="2"/>
    <n v="6"/>
    <n v="2003"/>
    <x v="4"/>
    <n v="99"/>
    <n v="1"/>
    <x v="347"/>
    <x v="0"/>
    <x v="63"/>
    <x v="0"/>
    <x v="0"/>
    <x v="1"/>
  </r>
  <r>
    <x v="18"/>
    <n v="82.77"/>
    <n v="2152.02"/>
    <x v="65"/>
    <x v="0"/>
    <n v="3"/>
    <n v="8"/>
    <n v="2003"/>
    <x v="4"/>
    <n v="99"/>
    <n v="-16.230000000000004"/>
    <x v="1116"/>
    <x v="6"/>
    <x v="18"/>
    <x v="0"/>
    <x v="0"/>
    <x v="0"/>
  </r>
  <r>
    <x v="14"/>
    <n v="100"/>
    <n v="2000"/>
    <x v="66"/>
    <x v="0"/>
    <n v="4"/>
    <n v="10"/>
    <n v="2003"/>
    <x v="4"/>
    <n v="99"/>
    <n v="1"/>
    <x v="347"/>
    <x v="0"/>
    <x v="13"/>
    <x v="4"/>
    <x v="1"/>
    <x v="0"/>
  </r>
  <r>
    <x v="28"/>
    <n v="100"/>
    <n v="3100"/>
    <x v="5"/>
    <x v="0"/>
    <n v="4"/>
    <n v="10"/>
    <n v="2003"/>
    <x v="4"/>
    <n v="99"/>
    <n v="1"/>
    <x v="347"/>
    <x v="0"/>
    <x v="5"/>
    <x v="0"/>
    <x v="0"/>
    <x v="1"/>
  </r>
  <r>
    <x v="8"/>
    <n v="87.75"/>
    <n v="1930.5"/>
    <x v="68"/>
    <x v="0"/>
    <n v="4"/>
    <n v="11"/>
    <n v="2003"/>
    <x v="4"/>
    <n v="99"/>
    <n v="-11.25"/>
    <x v="1117"/>
    <x v="1"/>
    <x v="42"/>
    <x v="1"/>
    <x v="1"/>
    <x v="0"/>
  </r>
  <r>
    <x v="13"/>
    <n v="100"/>
    <n v="4200"/>
    <x v="188"/>
    <x v="0"/>
    <n v="4"/>
    <n v="11"/>
    <n v="2003"/>
    <x v="4"/>
    <n v="99"/>
    <n v="1"/>
    <x v="347"/>
    <x v="0"/>
    <x v="53"/>
    <x v="15"/>
    <x v="2"/>
    <x v="1"/>
  </r>
  <r>
    <x v="18"/>
    <n v="99.72"/>
    <n v="2592.7199999999998"/>
    <x v="55"/>
    <x v="0"/>
    <n v="1"/>
    <n v="1"/>
    <n v="2004"/>
    <x v="4"/>
    <n v="99"/>
    <n v="0.71999999999999886"/>
    <x v="1118"/>
    <x v="0"/>
    <x v="38"/>
    <x v="11"/>
    <x v="3"/>
    <x v="0"/>
  </r>
  <r>
    <x v="9"/>
    <n v="87.75"/>
    <n v="3246.75"/>
    <x v="72"/>
    <x v="0"/>
    <n v="1"/>
    <n v="2"/>
    <n v="2004"/>
    <x v="4"/>
    <n v="99"/>
    <n v="-11.25"/>
    <x v="1117"/>
    <x v="1"/>
    <x v="45"/>
    <x v="0"/>
    <x v="0"/>
    <x v="1"/>
  </r>
  <r>
    <x v="19"/>
    <n v="88.75"/>
    <n v="3372.5"/>
    <x v="210"/>
    <x v="0"/>
    <n v="2"/>
    <n v="4"/>
    <n v="2004"/>
    <x v="4"/>
    <n v="99"/>
    <n v="-10.25"/>
    <x v="1119"/>
    <x v="3"/>
    <x v="47"/>
    <x v="10"/>
    <x v="0"/>
    <x v="1"/>
  </r>
  <r>
    <x v="21"/>
    <n v="100"/>
    <n v="3500"/>
    <x v="189"/>
    <x v="0"/>
    <n v="2"/>
    <n v="5"/>
    <n v="2004"/>
    <x v="4"/>
    <n v="99"/>
    <n v="1"/>
    <x v="347"/>
    <x v="0"/>
    <x v="51"/>
    <x v="0"/>
    <x v="0"/>
    <x v="1"/>
  </r>
  <r>
    <x v="29"/>
    <n v="90.75"/>
    <n v="2994.75"/>
    <x v="190"/>
    <x v="3"/>
    <n v="2"/>
    <n v="6"/>
    <n v="2004"/>
    <x v="4"/>
    <n v="99"/>
    <n v="-8.25"/>
    <x v="1120"/>
    <x v="3"/>
    <x v="20"/>
    <x v="7"/>
    <x v="1"/>
    <x v="0"/>
  </r>
  <r>
    <x v="25"/>
    <n v="100"/>
    <n v="3900"/>
    <x v="14"/>
    <x v="0"/>
    <n v="3"/>
    <n v="7"/>
    <n v="2004"/>
    <x v="4"/>
    <n v="99"/>
    <n v="1"/>
    <x v="347"/>
    <x v="0"/>
    <x v="11"/>
    <x v="1"/>
    <x v="1"/>
    <x v="1"/>
  </r>
  <r>
    <x v="3"/>
    <n v="100"/>
    <n v="4500"/>
    <x v="191"/>
    <x v="0"/>
    <n v="3"/>
    <n v="8"/>
    <n v="2004"/>
    <x v="4"/>
    <n v="99"/>
    <n v="1"/>
    <x v="347"/>
    <x v="0"/>
    <x v="68"/>
    <x v="2"/>
    <x v="1"/>
    <x v="1"/>
  </r>
  <r>
    <x v="16"/>
    <n v="100"/>
    <n v="2400"/>
    <x v="192"/>
    <x v="0"/>
    <n v="3"/>
    <n v="9"/>
    <n v="2004"/>
    <x v="4"/>
    <n v="99"/>
    <n v="1"/>
    <x v="347"/>
    <x v="0"/>
    <x v="71"/>
    <x v="16"/>
    <x v="1"/>
    <x v="0"/>
  </r>
  <r>
    <x v="21"/>
    <n v="88.75"/>
    <n v="3106.25"/>
    <x v="17"/>
    <x v="0"/>
    <n v="4"/>
    <n v="10"/>
    <n v="2004"/>
    <x v="4"/>
    <n v="99"/>
    <n v="-10.25"/>
    <x v="1119"/>
    <x v="3"/>
    <x v="39"/>
    <x v="0"/>
    <x v="0"/>
    <x v="1"/>
  </r>
  <r>
    <x v="10"/>
    <n v="100"/>
    <n v="2300"/>
    <x v="79"/>
    <x v="0"/>
    <n v="4"/>
    <n v="11"/>
    <n v="2004"/>
    <x v="4"/>
    <n v="99"/>
    <n v="1"/>
    <x v="347"/>
    <x v="0"/>
    <x v="49"/>
    <x v="6"/>
    <x v="1"/>
    <x v="0"/>
  </r>
  <r>
    <x v="9"/>
    <n v="100"/>
    <n v="3700"/>
    <x v="233"/>
    <x v="0"/>
    <n v="4"/>
    <n v="11"/>
    <n v="2004"/>
    <x v="4"/>
    <n v="99"/>
    <n v="1"/>
    <x v="347"/>
    <x v="0"/>
    <x v="69"/>
    <x v="12"/>
    <x v="1"/>
    <x v="1"/>
  </r>
  <r>
    <x v="36"/>
    <n v="87.75"/>
    <n v="4826.25"/>
    <x v="20"/>
    <x v="0"/>
    <n v="4"/>
    <n v="11"/>
    <n v="2004"/>
    <x v="4"/>
    <n v="99"/>
    <n v="-11.25"/>
    <x v="1117"/>
    <x v="1"/>
    <x v="43"/>
    <x v="7"/>
    <x v="1"/>
    <x v="1"/>
  </r>
  <r>
    <x v="4"/>
    <n v="100"/>
    <n v="4900"/>
    <x v="195"/>
    <x v="0"/>
    <n v="4"/>
    <n v="12"/>
    <n v="2004"/>
    <x v="4"/>
    <n v="99"/>
    <n v="1"/>
    <x v="347"/>
    <x v="0"/>
    <x v="35"/>
    <x v="0"/>
    <x v="0"/>
    <x v="1"/>
  </r>
  <r>
    <x v="18"/>
    <n v="100"/>
    <n v="2600"/>
    <x v="21"/>
    <x v="0"/>
    <n v="4"/>
    <n v="12"/>
    <n v="2004"/>
    <x v="4"/>
    <n v="99"/>
    <n v="1"/>
    <x v="347"/>
    <x v="0"/>
    <x v="17"/>
    <x v="3"/>
    <x v="2"/>
    <x v="0"/>
  </r>
  <r>
    <x v="29"/>
    <n v="100"/>
    <n v="3300"/>
    <x v="22"/>
    <x v="0"/>
    <n v="1"/>
    <n v="2"/>
    <n v="2005"/>
    <x v="4"/>
    <n v="99"/>
    <n v="1"/>
    <x v="347"/>
    <x v="0"/>
    <x v="11"/>
    <x v="1"/>
    <x v="1"/>
    <x v="1"/>
  </r>
  <r>
    <x v="9"/>
    <n v="83.84"/>
    <n v="3102.08"/>
    <x v="196"/>
    <x v="5"/>
    <n v="1"/>
    <n v="3"/>
    <n v="2005"/>
    <x v="4"/>
    <n v="99"/>
    <n v="-15.159999999999997"/>
    <x v="1121"/>
    <x v="1"/>
    <x v="20"/>
    <x v="7"/>
    <x v="1"/>
    <x v="1"/>
  </r>
  <r>
    <x v="8"/>
    <n v="86.76"/>
    <n v="1908.72"/>
    <x v="197"/>
    <x v="0"/>
    <n v="1"/>
    <n v="3"/>
    <n v="2005"/>
    <x v="4"/>
    <n v="99"/>
    <n v="-12.239999999999995"/>
    <x v="1122"/>
    <x v="1"/>
    <x v="1"/>
    <x v="1"/>
    <x v="1"/>
    <x v="0"/>
  </r>
  <r>
    <x v="56"/>
    <n v="88.75"/>
    <n v="7543.75"/>
    <x v="213"/>
    <x v="4"/>
    <n v="2"/>
    <n v="4"/>
    <n v="2005"/>
    <x v="4"/>
    <n v="99"/>
    <n v="-10.25"/>
    <x v="1119"/>
    <x v="3"/>
    <x v="9"/>
    <x v="0"/>
    <x v="0"/>
    <x v="2"/>
  </r>
  <r>
    <x v="8"/>
    <n v="100"/>
    <n v="2200"/>
    <x v="198"/>
    <x v="0"/>
    <n v="2"/>
    <n v="5"/>
    <n v="2005"/>
    <x v="4"/>
    <n v="99"/>
    <n v="1"/>
    <x v="347"/>
    <x v="0"/>
    <x v="57"/>
    <x v="12"/>
    <x v="1"/>
    <x v="0"/>
  </r>
  <r>
    <x v="28"/>
    <n v="65.77"/>
    <n v="2038.87"/>
    <x v="62"/>
    <x v="0"/>
    <n v="1"/>
    <n v="2"/>
    <n v="2003"/>
    <x v="5"/>
    <n v="72"/>
    <n v="-6.230000000000004"/>
    <x v="1123"/>
    <x v="3"/>
    <x v="40"/>
    <x v="13"/>
    <x v="1"/>
    <x v="0"/>
  </r>
  <r>
    <x v="19"/>
    <n v="65.77"/>
    <n v="2499.2599999999998"/>
    <x v="63"/>
    <x v="0"/>
    <n v="2"/>
    <n v="4"/>
    <n v="2003"/>
    <x v="5"/>
    <n v="72"/>
    <n v="-6.230000000000004"/>
    <x v="1123"/>
    <x v="3"/>
    <x v="16"/>
    <x v="5"/>
    <x v="1"/>
    <x v="0"/>
  </r>
  <r>
    <x v="3"/>
    <n v="85.29"/>
    <n v="3838.05"/>
    <x v="64"/>
    <x v="0"/>
    <n v="2"/>
    <n v="6"/>
    <n v="2003"/>
    <x v="5"/>
    <n v="72"/>
    <n v="13.290000000000006"/>
    <x v="1124"/>
    <x v="0"/>
    <x v="41"/>
    <x v="6"/>
    <x v="1"/>
    <x v="1"/>
  </r>
  <r>
    <x v="28"/>
    <n v="85.29"/>
    <n v="2643.9900000000002"/>
    <x v="65"/>
    <x v="0"/>
    <n v="3"/>
    <n v="8"/>
    <n v="2003"/>
    <x v="5"/>
    <n v="72"/>
    <n v="13.290000000000006"/>
    <x v="1124"/>
    <x v="0"/>
    <x v="18"/>
    <x v="0"/>
    <x v="0"/>
    <x v="0"/>
  </r>
  <r>
    <x v="5"/>
    <n v="64.33"/>
    <n v="2315.88"/>
    <x v="242"/>
    <x v="0"/>
    <n v="4"/>
    <n v="10"/>
    <n v="2003"/>
    <x v="5"/>
    <n v="72"/>
    <n v="-7.6700000000000017"/>
    <x v="1125"/>
    <x v="1"/>
    <x v="63"/>
    <x v="0"/>
    <x v="0"/>
    <x v="0"/>
  </r>
  <r>
    <x v="12"/>
    <n v="70.11"/>
    <n v="3225.06"/>
    <x v="67"/>
    <x v="3"/>
    <n v="4"/>
    <n v="10"/>
    <n v="2003"/>
    <x v="5"/>
    <n v="72"/>
    <n v="-1.8900000000000006"/>
    <x v="1126"/>
    <x v="4"/>
    <x v="31"/>
    <x v="8"/>
    <x v="1"/>
    <x v="1"/>
  </r>
  <r>
    <x v="22"/>
    <n v="76.62"/>
    <n v="2451.84"/>
    <x v="219"/>
    <x v="0"/>
    <n v="4"/>
    <n v="11"/>
    <n v="2003"/>
    <x v="5"/>
    <n v="72"/>
    <n v="4.6200000000000045"/>
    <x v="1127"/>
    <x v="0"/>
    <x v="20"/>
    <x v="7"/>
    <x v="1"/>
    <x v="0"/>
  </r>
  <r>
    <x v="25"/>
    <n v="57.82"/>
    <n v="2254.98"/>
    <x v="69"/>
    <x v="0"/>
    <n v="4"/>
    <n v="11"/>
    <n v="2003"/>
    <x v="5"/>
    <n v="72"/>
    <n v="-14.18"/>
    <x v="1128"/>
    <x v="6"/>
    <x v="18"/>
    <x v="0"/>
    <x v="0"/>
    <x v="0"/>
  </r>
  <r>
    <x v="24"/>
    <n v="78.790000000000006"/>
    <n v="3939.5000000000005"/>
    <x v="70"/>
    <x v="0"/>
    <n v="4"/>
    <n v="11"/>
    <n v="2003"/>
    <x v="5"/>
    <n v="72"/>
    <n v="6.7900000000000063"/>
    <x v="1129"/>
    <x v="0"/>
    <x v="43"/>
    <x v="7"/>
    <x v="1"/>
    <x v="1"/>
  </r>
  <r>
    <x v="12"/>
    <n v="74.45"/>
    <n v="3424.7000000000003"/>
    <x v="122"/>
    <x v="0"/>
    <n v="1"/>
    <n v="1"/>
    <n v="2004"/>
    <x v="5"/>
    <n v="72"/>
    <n v="2.4500000000000028"/>
    <x v="1130"/>
    <x v="0"/>
    <x v="25"/>
    <x v="1"/>
    <x v="1"/>
    <x v="1"/>
  </r>
  <r>
    <x v="5"/>
    <n v="80.95"/>
    <n v="2914.2000000000003"/>
    <x v="72"/>
    <x v="0"/>
    <n v="1"/>
    <n v="2"/>
    <n v="2004"/>
    <x v="5"/>
    <n v="72"/>
    <n v="8.9500000000000028"/>
    <x v="1131"/>
    <x v="0"/>
    <x v="45"/>
    <x v="0"/>
    <x v="0"/>
    <x v="0"/>
  </r>
  <r>
    <x v="6"/>
    <n v="82.4"/>
    <n v="2389.6000000000004"/>
    <x v="243"/>
    <x v="0"/>
    <n v="1"/>
    <n v="3"/>
    <n v="2004"/>
    <x v="5"/>
    <n v="72"/>
    <n v="10.400000000000006"/>
    <x v="1132"/>
    <x v="0"/>
    <x v="9"/>
    <x v="0"/>
    <x v="0"/>
    <x v="0"/>
  </r>
  <r>
    <x v="22"/>
    <n v="75.89"/>
    <n v="2428.48"/>
    <x v="73"/>
    <x v="3"/>
    <n v="2"/>
    <n v="5"/>
    <n v="2004"/>
    <x v="5"/>
    <n v="72"/>
    <n v="3.8900000000000006"/>
    <x v="1133"/>
    <x v="0"/>
    <x v="0"/>
    <x v="0"/>
    <x v="0"/>
    <x v="0"/>
  </r>
  <r>
    <x v="27"/>
    <n v="68.67"/>
    <n v="3021.48"/>
    <x v="74"/>
    <x v="0"/>
    <n v="2"/>
    <n v="6"/>
    <n v="2004"/>
    <x v="5"/>
    <n v="72"/>
    <n v="-3.3299999999999983"/>
    <x v="1134"/>
    <x v="4"/>
    <x v="37"/>
    <x v="10"/>
    <x v="0"/>
    <x v="1"/>
  </r>
  <r>
    <x v="13"/>
    <n v="62.16"/>
    <n v="2610.7199999999998"/>
    <x v="75"/>
    <x v="0"/>
    <n v="3"/>
    <n v="7"/>
    <n v="2004"/>
    <x v="5"/>
    <n v="72"/>
    <n v="-9.8400000000000034"/>
    <x v="1135"/>
    <x v="1"/>
    <x v="46"/>
    <x v="14"/>
    <x v="1"/>
    <x v="0"/>
  </r>
  <r>
    <x v="20"/>
    <n v="65.77"/>
    <n v="3091.1899999999996"/>
    <x v="76"/>
    <x v="0"/>
    <n v="3"/>
    <n v="8"/>
    <n v="2004"/>
    <x v="5"/>
    <n v="72"/>
    <n v="-6.230000000000004"/>
    <x v="1123"/>
    <x v="3"/>
    <x v="47"/>
    <x v="10"/>
    <x v="0"/>
    <x v="1"/>
  </r>
  <r>
    <x v="27"/>
    <n v="58.55"/>
    <n v="2576.1999999999998"/>
    <x v="77"/>
    <x v="0"/>
    <n v="3"/>
    <n v="9"/>
    <n v="2004"/>
    <x v="5"/>
    <n v="72"/>
    <n v="-13.450000000000003"/>
    <x v="1136"/>
    <x v="6"/>
    <x v="48"/>
    <x v="0"/>
    <x v="0"/>
    <x v="0"/>
  </r>
  <r>
    <x v="30"/>
    <n v="75.17"/>
    <n v="3232.31"/>
    <x v="78"/>
    <x v="0"/>
    <n v="4"/>
    <n v="10"/>
    <n v="2004"/>
    <x v="5"/>
    <n v="72"/>
    <n v="3.1700000000000017"/>
    <x v="1137"/>
    <x v="0"/>
    <x v="61"/>
    <x v="6"/>
    <x v="1"/>
    <x v="1"/>
  </r>
  <r>
    <x v="7"/>
    <n v="74.45"/>
    <n v="3573.6000000000004"/>
    <x v="79"/>
    <x v="0"/>
    <n v="4"/>
    <n v="11"/>
    <n v="2004"/>
    <x v="5"/>
    <n v="72"/>
    <n v="2.4500000000000028"/>
    <x v="1130"/>
    <x v="0"/>
    <x v="49"/>
    <x v="6"/>
    <x v="1"/>
    <x v="1"/>
  </r>
  <r>
    <x v="15"/>
    <n v="96.31"/>
    <n v="2022.51"/>
    <x v="193"/>
    <x v="5"/>
    <n v="4"/>
    <n v="11"/>
    <n v="2004"/>
    <x v="5"/>
    <n v="72"/>
    <n v="24.310000000000002"/>
    <x v="1138"/>
    <x v="0"/>
    <x v="40"/>
    <x v="13"/>
    <x v="1"/>
    <x v="0"/>
  </r>
  <r>
    <x v="24"/>
    <n v="74.349999999999994"/>
    <n v="3717.4999999999995"/>
    <x v="58"/>
    <x v="0"/>
    <n v="4"/>
    <n v="11"/>
    <n v="2004"/>
    <x v="5"/>
    <n v="72"/>
    <n v="2.3499999999999943"/>
    <x v="1139"/>
    <x v="0"/>
    <x v="29"/>
    <x v="11"/>
    <x v="3"/>
    <x v="1"/>
  </r>
  <r>
    <x v="6"/>
    <n v="75.349999999999994"/>
    <n v="2185.1499999999996"/>
    <x v="82"/>
    <x v="0"/>
    <n v="4"/>
    <n v="12"/>
    <n v="2004"/>
    <x v="5"/>
    <n v="72"/>
    <n v="3.3499999999999943"/>
    <x v="855"/>
    <x v="0"/>
    <x v="20"/>
    <x v="7"/>
    <x v="1"/>
    <x v="0"/>
  </r>
  <r>
    <x v="2"/>
    <n v="70.33"/>
    <n v="2883.5299999999997"/>
    <x v="84"/>
    <x v="0"/>
    <n v="1"/>
    <n v="1"/>
    <n v="2005"/>
    <x v="5"/>
    <n v="72"/>
    <n v="-1.6700000000000017"/>
    <x v="1140"/>
    <x v="4"/>
    <x v="50"/>
    <x v="4"/>
    <x v="1"/>
    <x v="0"/>
  </r>
  <r>
    <x v="9"/>
    <n v="100"/>
    <n v="3700"/>
    <x v="196"/>
    <x v="5"/>
    <n v="1"/>
    <n v="3"/>
    <n v="2005"/>
    <x v="5"/>
    <n v="72"/>
    <n v="28"/>
    <x v="862"/>
    <x v="0"/>
    <x v="20"/>
    <x v="7"/>
    <x v="1"/>
    <x v="1"/>
  </r>
  <r>
    <x v="8"/>
    <n v="66.5"/>
    <n v="1463"/>
    <x v="250"/>
    <x v="0"/>
    <n v="1"/>
    <n v="3"/>
    <n v="2005"/>
    <x v="5"/>
    <n v="72"/>
    <n v="-5.5"/>
    <x v="1141"/>
    <x v="3"/>
    <x v="42"/>
    <x v="1"/>
    <x v="1"/>
    <x v="0"/>
  </r>
  <r>
    <x v="28"/>
    <n v="75.89"/>
    <n v="2352.59"/>
    <x v="88"/>
    <x v="4"/>
    <n v="2"/>
    <n v="5"/>
    <n v="2005"/>
    <x v="5"/>
    <n v="72"/>
    <n v="3.8900000000000006"/>
    <x v="1133"/>
    <x v="0"/>
    <x v="48"/>
    <x v="0"/>
    <x v="0"/>
    <x v="0"/>
  </r>
  <r>
    <x v="13"/>
    <n v="100"/>
    <n v="4200"/>
    <x v="26"/>
    <x v="0"/>
    <n v="1"/>
    <n v="1"/>
    <n v="2003"/>
    <x v="1"/>
    <n v="101"/>
    <n v="-1"/>
    <x v="254"/>
    <x v="4"/>
    <x v="14"/>
    <x v="2"/>
    <x v="1"/>
    <x v="1"/>
  </r>
  <r>
    <x v="13"/>
    <n v="100"/>
    <n v="4200"/>
    <x v="89"/>
    <x v="0"/>
    <n v="2"/>
    <n v="4"/>
    <n v="2003"/>
    <x v="1"/>
    <n v="101"/>
    <n v="-1"/>
    <x v="254"/>
    <x v="4"/>
    <x v="2"/>
    <x v="1"/>
    <x v="1"/>
    <x v="1"/>
  </r>
  <r>
    <x v="3"/>
    <n v="100"/>
    <n v="4500"/>
    <x v="28"/>
    <x v="0"/>
    <n v="2"/>
    <n v="5"/>
    <n v="2003"/>
    <x v="1"/>
    <n v="101"/>
    <n v="-1"/>
    <x v="254"/>
    <x v="4"/>
    <x v="20"/>
    <x v="7"/>
    <x v="1"/>
    <x v="1"/>
  </r>
  <r>
    <x v="5"/>
    <n v="100"/>
    <n v="3600"/>
    <x v="29"/>
    <x v="0"/>
    <n v="3"/>
    <n v="7"/>
    <n v="2003"/>
    <x v="1"/>
    <n v="101"/>
    <n v="-1"/>
    <x v="254"/>
    <x v="4"/>
    <x v="5"/>
    <x v="0"/>
    <x v="0"/>
    <x v="1"/>
  </r>
  <r>
    <x v="14"/>
    <n v="100"/>
    <n v="2000"/>
    <x v="30"/>
    <x v="0"/>
    <n v="3"/>
    <n v="9"/>
    <n v="2003"/>
    <x v="1"/>
    <n v="101"/>
    <n v="-1"/>
    <x v="254"/>
    <x v="4"/>
    <x v="22"/>
    <x v="9"/>
    <x v="2"/>
    <x v="0"/>
  </r>
  <r>
    <x v="25"/>
    <n v="81.93"/>
    <n v="3195.2700000000004"/>
    <x v="90"/>
    <x v="5"/>
    <n v="4"/>
    <n v="10"/>
    <n v="2003"/>
    <x v="1"/>
    <n v="101"/>
    <n v="-19.069999999999993"/>
    <x v="1142"/>
    <x v="6"/>
    <x v="52"/>
    <x v="5"/>
    <x v="1"/>
    <x v="1"/>
  </r>
  <r>
    <x v="13"/>
    <n v="85.98"/>
    <n v="3611.1600000000003"/>
    <x v="32"/>
    <x v="0"/>
    <n v="4"/>
    <n v="11"/>
    <n v="2003"/>
    <x v="1"/>
    <n v="101"/>
    <n v="-15.019999999999996"/>
    <x v="1143"/>
    <x v="1"/>
    <x v="41"/>
    <x v="6"/>
    <x v="1"/>
    <x v="1"/>
  </r>
  <r>
    <x v="10"/>
    <n v="86.99"/>
    <n v="2000.77"/>
    <x v="33"/>
    <x v="0"/>
    <n v="4"/>
    <n v="11"/>
    <n v="2003"/>
    <x v="1"/>
    <n v="101"/>
    <n v="-14.010000000000005"/>
    <x v="1144"/>
    <x v="1"/>
    <x v="24"/>
    <x v="0"/>
    <x v="0"/>
    <x v="0"/>
  </r>
  <r>
    <x v="18"/>
    <n v="89.01"/>
    <n v="2314.2600000000002"/>
    <x v="34"/>
    <x v="0"/>
    <n v="4"/>
    <n v="11"/>
    <n v="2003"/>
    <x v="1"/>
    <n v="101"/>
    <n v="-11.989999999999995"/>
    <x v="1145"/>
    <x v="1"/>
    <x v="25"/>
    <x v="1"/>
    <x v="1"/>
    <x v="0"/>
  </r>
  <r>
    <x v="29"/>
    <n v="100"/>
    <n v="3300"/>
    <x v="35"/>
    <x v="0"/>
    <n v="4"/>
    <n v="12"/>
    <n v="2003"/>
    <x v="1"/>
    <n v="101"/>
    <n v="-1"/>
    <x v="254"/>
    <x v="4"/>
    <x v="26"/>
    <x v="10"/>
    <x v="0"/>
    <x v="1"/>
  </r>
  <r>
    <x v="28"/>
    <n v="88"/>
    <n v="2728"/>
    <x v="92"/>
    <x v="0"/>
    <n v="1"/>
    <n v="2"/>
    <n v="2004"/>
    <x v="1"/>
    <n v="101"/>
    <n v="-13"/>
    <x v="1146"/>
    <x v="1"/>
    <x v="22"/>
    <x v="9"/>
    <x v="2"/>
    <x v="0"/>
  </r>
  <r>
    <x v="24"/>
    <n v="100"/>
    <n v="5000"/>
    <x v="93"/>
    <x v="0"/>
    <n v="1"/>
    <n v="3"/>
    <n v="2004"/>
    <x v="1"/>
    <n v="101"/>
    <n v="-1"/>
    <x v="254"/>
    <x v="4"/>
    <x v="33"/>
    <x v="0"/>
    <x v="0"/>
    <x v="1"/>
  </r>
  <r>
    <x v="27"/>
    <n v="100"/>
    <n v="4400"/>
    <x v="38"/>
    <x v="0"/>
    <n v="2"/>
    <n v="5"/>
    <n v="2004"/>
    <x v="1"/>
    <n v="101"/>
    <n v="-1"/>
    <x v="254"/>
    <x v="4"/>
    <x v="28"/>
    <x v="0"/>
    <x v="0"/>
    <x v="1"/>
  </r>
  <r>
    <x v="3"/>
    <n v="80.92"/>
    <n v="3641.4"/>
    <x v="39"/>
    <x v="0"/>
    <n v="2"/>
    <n v="6"/>
    <n v="2004"/>
    <x v="1"/>
    <n v="101"/>
    <n v="-20.079999999999998"/>
    <x v="1147"/>
    <x v="6"/>
    <x v="29"/>
    <x v="11"/>
    <x v="3"/>
    <x v="1"/>
  </r>
  <r>
    <x v="12"/>
    <n v="88"/>
    <n v="4048"/>
    <x v="40"/>
    <x v="0"/>
    <n v="3"/>
    <n v="7"/>
    <n v="2004"/>
    <x v="1"/>
    <n v="101"/>
    <n v="-13"/>
    <x v="1146"/>
    <x v="1"/>
    <x v="17"/>
    <x v="3"/>
    <x v="2"/>
    <x v="1"/>
  </r>
  <r>
    <x v="26"/>
    <n v="85.98"/>
    <n v="2321.46"/>
    <x v="94"/>
    <x v="0"/>
    <n v="3"/>
    <n v="8"/>
    <n v="2004"/>
    <x v="1"/>
    <n v="101"/>
    <n v="-15.019999999999996"/>
    <x v="1143"/>
    <x v="1"/>
    <x v="15"/>
    <x v="0"/>
    <x v="0"/>
    <x v="0"/>
  </r>
  <r>
    <x v="11"/>
    <n v="100"/>
    <n v="2800"/>
    <x v="42"/>
    <x v="0"/>
    <n v="3"/>
    <n v="9"/>
    <n v="2004"/>
    <x v="1"/>
    <n v="101"/>
    <n v="-1"/>
    <x v="254"/>
    <x v="4"/>
    <x v="31"/>
    <x v="8"/>
    <x v="1"/>
    <x v="1"/>
  </r>
  <r>
    <x v="23"/>
    <n v="100"/>
    <n v="4000"/>
    <x v="43"/>
    <x v="0"/>
    <n v="4"/>
    <n v="10"/>
    <n v="2004"/>
    <x v="1"/>
    <n v="101"/>
    <n v="-1"/>
    <x v="254"/>
    <x v="4"/>
    <x v="32"/>
    <x v="1"/>
    <x v="1"/>
    <x v="1"/>
  </r>
  <r>
    <x v="0"/>
    <n v="99.13"/>
    <n v="2973.8999999999996"/>
    <x v="96"/>
    <x v="0"/>
    <n v="4"/>
    <n v="10"/>
    <n v="2004"/>
    <x v="1"/>
    <n v="101"/>
    <n v="-1.8700000000000045"/>
    <x v="1148"/>
    <x v="4"/>
    <x v="26"/>
    <x v="10"/>
    <x v="0"/>
    <x v="0"/>
  </r>
  <r>
    <x v="1"/>
    <n v="100"/>
    <n v="3400"/>
    <x v="80"/>
    <x v="0"/>
    <n v="4"/>
    <n v="11"/>
    <n v="2004"/>
    <x v="1"/>
    <n v="101"/>
    <n v="-1"/>
    <x v="254"/>
    <x v="4"/>
    <x v="0"/>
    <x v="0"/>
    <x v="0"/>
    <x v="1"/>
  </r>
  <r>
    <x v="12"/>
    <n v="100"/>
    <n v="4600"/>
    <x v="128"/>
    <x v="0"/>
    <n v="4"/>
    <n v="11"/>
    <n v="2004"/>
    <x v="1"/>
    <n v="101"/>
    <n v="-1"/>
    <x v="254"/>
    <x v="4"/>
    <x v="2"/>
    <x v="1"/>
    <x v="1"/>
    <x v="2"/>
  </r>
  <r>
    <x v="22"/>
    <n v="82.83"/>
    <n v="2650.56"/>
    <x v="79"/>
    <x v="0"/>
    <n v="4"/>
    <n v="11"/>
    <n v="2004"/>
    <x v="1"/>
    <n v="101"/>
    <n v="-18.170000000000002"/>
    <x v="1149"/>
    <x v="6"/>
    <x v="20"/>
    <x v="7"/>
    <x v="1"/>
    <x v="0"/>
  </r>
  <r>
    <x v="26"/>
    <n v="100"/>
    <n v="2700"/>
    <x v="48"/>
    <x v="0"/>
    <n v="4"/>
    <n v="12"/>
    <n v="2004"/>
    <x v="1"/>
    <n v="101"/>
    <n v="-1"/>
    <x v="254"/>
    <x v="4"/>
    <x v="20"/>
    <x v="7"/>
    <x v="1"/>
    <x v="1"/>
  </r>
  <r>
    <x v="1"/>
    <n v="100"/>
    <n v="3400"/>
    <x v="129"/>
    <x v="0"/>
    <n v="1"/>
    <n v="1"/>
    <n v="2005"/>
    <x v="1"/>
    <n v="101"/>
    <n v="-1"/>
    <x v="254"/>
    <x v="4"/>
    <x v="33"/>
    <x v="0"/>
    <x v="0"/>
    <x v="1"/>
  </r>
  <r>
    <x v="1"/>
    <n v="54.84"/>
    <n v="1864.5600000000002"/>
    <x v="50"/>
    <x v="0"/>
    <n v="1"/>
    <n v="2"/>
    <n v="2005"/>
    <x v="1"/>
    <n v="101"/>
    <n v="-46.16"/>
    <x v="1150"/>
    <x v="5"/>
    <x v="33"/>
    <x v="0"/>
    <x v="0"/>
    <x v="0"/>
  </r>
  <r>
    <x v="1"/>
    <n v="100"/>
    <n v="3400"/>
    <x v="52"/>
    <x v="0"/>
    <n v="2"/>
    <n v="5"/>
    <n v="2005"/>
    <x v="1"/>
    <n v="101"/>
    <n v="-1"/>
    <x v="254"/>
    <x v="4"/>
    <x v="37"/>
    <x v="10"/>
    <x v="0"/>
    <x v="1"/>
  </r>
  <r>
    <x v="12"/>
    <n v="80.92"/>
    <n v="3722.32"/>
    <x v="53"/>
    <x v="2"/>
    <n v="2"/>
    <n v="5"/>
    <n v="2005"/>
    <x v="1"/>
    <n v="101"/>
    <n v="-20.079999999999998"/>
    <x v="1147"/>
    <x v="6"/>
    <x v="20"/>
    <x v="7"/>
    <x v="1"/>
    <x v="1"/>
  </r>
  <r>
    <x v="22"/>
    <n v="100"/>
    <n v="3200"/>
    <x v="186"/>
    <x v="0"/>
    <n v="1"/>
    <n v="2"/>
    <n v="2003"/>
    <x v="4"/>
    <n v="118"/>
    <n v="-18"/>
    <x v="15"/>
    <x v="1"/>
    <x v="69"/>
    <x v="12"/>
    <x v="1"/>
    <x v="1"/>
  </r>
  <r>
    <x v="16"/>
    <n v="100"/>
    <n v="2400"/>
    <x v="54"/>
    <x v="0"/>
    <n v="2"/>
    <n v="4"/>
    <n v="2003"/>
    <x v="4"/>
    <n v="118"/>
    <n v="-18"/>
    <x v="15"/>
    <x v="1"/>
    <x v="8"/>
    <x v="3"/>
    <x v="2"/>
    <x v="1"/>
  </r>
  <r>
    <x v="26"/>
    <n v="99.67"/>
    <n v="2691.09"/>
    <x v="209"/>
    <x v="0"/>
    <n v="2"/>
    <n v="6"/>
    <n v="2003"/>
    <x v="4"/>
    <n v="118"/>
    <n v="-18.329999999999998"/>
    <x v="1151"/>
    <x v="6"/>
    <x v="20"/>
    <x v="7"/>
    <x v="1"/>
    <x v="0"/>
  </r>
  <r>
    <x v="14"/>
    <n v="100"/>
    <n v="2000"/>
    <x v="3"/>
    <x v="0"/>
    <n v="3"/>
    <n v="8"/>
    <n v="2003"/>
    <x v="4"/>
    <n v="118"/>
    <n v="-18"/>
    <x v="15"/>
    <x v="1"/>
    <x v="3"/>
    <x v="0"/>
    <x v="0"/>
    <x v="0"/>
  </r>
  <r>
    <x v="5"/>
    <n v="100"/>
    <n v="3600"/>
    <x v="5"/>
    <x v="0"/>
    <n v="4"/>
    <n v="10"/>
    <n v="2003"/>
    <x v="4"/>
    <n v="118"/>
    <n v="-18"/>
    <x v="15"/>
    <x v="1"/>
    <x v="5"/>
    <x v="0"/>
    <x v="0"/>
    <x v="1"/>
  </r>
  <r>
    <x v="6"/>
    <n v="100"/>
    <n v="2900"/>
    <x v="7"/>
    <x v="0"/>
    <n v="4"/>
    <n v="11"/>
    <n v="2003"/>
    <x v="4"/>
    <n v="118"/>
    <n v="-18"/>
    <x v="15"/>
    <x v="1"/>
    <x v="7"/>
    <x v="2"/>
    <x v="1"/>
    <x v="1"/>
  </r>
  <r>
    <x v="32"/>
    <n v="100"/>
    <n v="2500"/>
    <x v="55"/>
    <x v="0"/>
    <n v="1"/>
    <n v="1"/>
    <n v="2004"/>
    <x v="4"/>
    <n v="118"/>
    <n v="-18"/>
    <x v="15"/>
    <x v="1"/>
    <x v="38"/>
    <x v="11"/>
    <x v="3"/>
    <x v="0"/>
  </r>
  <r>
    <x v="6"/>
    <n v="100"/>
    <n v="2900"/>
    <x v="10"/>
    <x v="0"/>
    <n v="1"/>
    <n v="2"/>
    <n v="2004"/>
    <x v="4"/>
    <n v="118"/>
    <n v="-18"/>
    <x v="15"/>
    <x v="1"/>
    <x v="8"/>
    <x v="3"/>
    <x v="2"/>
    <x v="1"/>
  </r>
  <r>
    <x v="32"/>
    <n v="96.11"/>
    <n v="2402.75"/>
    <x v="210"/>
    <x v="0"/>
    <n v="2"/>
    <n v="4"/>
    <n v="2004"/>
    <x v="4"/>
    <n v="118"/>
    <n v="-21.89"/>
    <x v="1152"/>
    <x v="6"/>
    <x v="47"/>
    <x v="10"/>
    <x v="0"/>
    <x v="0"/>
  </r>
  <r>
    <x v="27"/>
    <n v="100"/>
    <n v="4400"/>
    <x v="189"/>
    <x v="0"/>
    <n v="2"/>
    <n v="5"/>
    <n v="2004"/>
    <x v="4"/>
    <n v="118"/>
    <n v="-18"/>
    <x v="15"/>
    <x v="1"/>
    <x v="51"/>
    <x v="0"/>
    <x v="0"/>
    <x v="1"/>
  </r>
  <r>
    <x v="20"/>
    <n v="100"/>
    <n v="4700"/>
    <x v="13"/>
    <x v="0"/>
    <n v="2"/>
    <n v="6"/>
    <n v="2004"/>
    <x v="4"/>
    <n v="118"/>
    <n v="-18"/>
    <x v="15"/>
    <x v="1"/>
    <x v="10"/>
    <x v="0"/>
    <x v="0"/>
    <x v="1"/>
  </r>
  <r>
    <x v="7"/>
    <n v="100"/>
    <n v="4800"/>
    <x v="14"/>
    <x v="0"/>
    <n v="3"/>
    <n v="7"/>
    <n v="2004"/>
    <x v="4"/>
    <n v="118"/>
    <n v="-18"/>
    <x v="15"/>
    <x v="1"/>
    <x v="11"/>
    <x v="1"/>
    <x v="1"/>
    <x v="1"/>
  </r>
  <r>
    <x v="3"/>
    <n v="100"/>
    <n v="4500"/>
    <x v="15"/>
    <x v="0"/>
    <n v="3"/>
    <n v="8"/>
    <n v="2004"/>
    <x v="4"/>
    <n v="118"/>
    <n v="-18"/>
    <x v="15"/>
    <x v="1"/>
    <x v="12"/>
    <x v="0"/>
    <x v="0"/>
    <x v="1"/>
  </r>
  <r>
    <x v="21"/>
    <n v="100"/>
    <n v="3500"/>
    <x v="211"/>
    <x v="0"/>
    <n v="3"/>
    <n v="9"/>
    <n v="2004"/>
    <x v="4"/>
    <n v="118"/>
    <n v="-18"/>
    <x v="15"/>
    <x v="1"/>
    <x v="60"/>
    <x v="18"/>
    <x v="1"/>
    <x v="1"/>
  </r>
  <r>
    <x v="28"/>
    <n v="100"/>
    <n v="3100"/>
    <x v="17"/>
    <x v="0"/>
    <n v="4"/>
    <n v="10"/>
    <n v="2004"/>
    <x v="4"/>
    <n v="118"/>
    <n v="-18"/>
    <x v="15"/>
    <x v="1"/>
    <x v="39"/>
    <x v="0"/>
    <x v="0"/>
    <x v="1"/>
  </r>
  <r>
    <x v="24"/>
    <n v="100"/>
    <n v="5000"/>
    <x v="18"/>
    <x v="0"/>
    <n v="4"/>
    <n v="11"/>
    <n v="2004"/>
    <x v="4"/>
    <n v="118"/>
    <n v="-18"/>
    <x v="15"/>
    <x v="1"/>
    <x v="15"/>
    <x v="0"/>
    <x v="0"/>
    <x v="2"/>
  </r>
  <r>
    <x v="29"/>
    <n v="100"/>
    <n v="3300"/>
    <x v="233"/>
    <x v="0"/>
    <n v="4"/>
    <n v="11"/>
    <n v="2004"/>
    <x v="4"/>
    <n v="118"/>
    <n v="-18"/>
    <x v="15"/>
    <x v="1"/>
    <x v="69"/>
    <x v="12"/>
    <x v="1"/>
    <x v="1"/>
  </r>
  <r>
    <x v="6"/>
    <n v="100"/>
    <n v="2900"/>
    <x v="20"/>
    <x v="0"/>
    <n v="4"/>
    <n v="11"/>
    <n v="2004"/>
    <x v="4"/>
    <n v="118"/>
    <n v="-18"/>
    <x v="15"/>
    <x v="1"/>
    <x v="43"/>
    <x v="7"/>
    <x v="1"/>
    <x v="1"/>
  </r>
  <r>
    <x v="7"/>
    <n v="68.8"/>
    <n v="3302.3999999999996"/>
    <x v="212"/>
    <x v="0"/>
    <n v="4"/>
    <n v="12"/>
    <n v="2004"/>
    <x v="4"/>
    <n v="118"/>
    <n v="-49.2"/>
    <x v="1153"/>
    <x v="5"/>
    <x v="63"/>
    <x v="0"/>
    <x v="0"/>
    <x v="1"/>
  </r>
  <r>
    <x v="27"/>
    <n v="72.42"/>
    <n v="3186.48"/>
    <x v="21"/>
    <x v="0"/>
    <n v="4"/>
    <n v="12"/>
    <n v="2004"/>
    <x v="4"/>
    <n v="118"/>
    <n v="-45.58"/>
    <x v="1154"/>
    <x v="5"/>
    <x v="17"/>
    <x v="3"/>
    <x v="2"/>
    <x v="1"/>
  </r>
  <r>
    <x v="32"/>
    <n v="66.73"/>
    <n v="1668.25"/>
    <x v="22"/>
    <x v="0"/>
    <n v="1"/>
    <n v="2"/>
    <n v="2005"/>
    <x v="4"/>
    <n v="118"/>
    <n v="-51.269999999999996"/>
    <x v="1155"/>
    <x v="5"/>
    <x v="11"/>
    <x v="1"/>
    <x v="1"/>
    <x v="0"/>
  </r>
  <r>
    <x v="24"/>
    <n v="100"/>
    <n v="5000"/>
    <x v="23"/>
    <x v="0"/>
    <n v="1"/>
    <n v="3"/>
    <n v="2005"/>
    <x v="4"/>
    <n v="118"/>
    <n v="-18"/>
    <x v="15"/>
    <x v="1"/>
    <x v="18"/>
    <x v="0"/>
    <x v="0"/>
    <x v="2"/>
  </r>
  <r>
    <x v="10"/>
    <n v="100"/>
    <n v="2300"/>
    <x v="197"/>
    <x v="0"/>
    <n v="1"/>
    <n v="3"/>
    <n v="2005"/>
    <x v="4"/>
    <n v="118"/>
    <n v="-18"/>
    <x v="15"/>
    <x v="1"/>
    <x v="1"/>
    <x v="1"/>
    <x v="1"/>
    <x v="0"/>
  </r>
  <r>
    <x v="15"/>
    <n v="96.11"/>
    <n v="2018.31"/>
    <x v="213"/>
    <x v="4"/>
    <n v="2"/>
    <n v="4"/>
    <n v="2005"/>
    <x v="4"/>
    <n v="118"/>
    <n v="-21.89"/>
    <x v="1152"/>
    <x v="6"/>
    <x v="9"/>
    <x v="0"/>
    <x v="0"/>
    <x v="0"/>
  </r>
  <r>
    <x v="2"/>
    <n v="100"/>
    <n v="4100"/>
    <x v="198"/>
    <x v="0"/>
    <n v="2"/>
    <n v="5"/>
    <n v="2005"/>
    <x v="4"/>
    <n v="118"/>
    <n v="-18"/>
    <x v="15"/>
    <x v="1"/>
    <x v="57"/>
    <x v="12"/>
    <x v="1"/>
    <x v="1"/>
  </r>
  <r>
    <x v="27"/>
    <n v="74.400000000000006"/>
    <n v="3273.6000000000004"/>
    <x v="186"/>
    <x v="0"/>
    <n v="1"/>
    <n v="2"/>
    <n v="2003"/>
    <x v="4"/>
    <n v="80"/>
    <n v="-5.5999999999999943"/>
    <x v="1156"/>
    <x v="3"/>
    <x v="69"/>
    <x v="12"/>
    <x v="1"/>
    <x v="1"/>
  </r>
  <r>
    <x v="30"/>
    <n v="76"/>
    <n v="3268"/>
    <x v="54"/>
    <x v="0"/>
    <n v="2"/>
    <n v="4"/>
    <n v="2003"/>
    <x v="4"/>
    <n v="80"/>
    <n v="-4"/>
    <x v="1157"/>
    <x v="4"/>
    <x v="8"/>
    <x v="3"/>
    <x v="2"/>
    <x v="1"/>
  </r>
  <r>
    <x v="11"/>
    <n v="96"/>
    <n v="2688"/>
    <x v="65"/>
    <x v="0"/>
    <n v="3"/>
    <n v="8"/>
    <n v="2003"/>
    <x v="4"/>
    <n v="80"/>
    <n v="16"/>
    <x v="1158"/>
    <x v="0"/>
    <x v="18"/>
    <x v="0"/>
    <x v="0"/>
    <x v="0"/>
  </r>
  <r>
    <x v="30"/>
    <n v="86.4"/>
    <n v="3715.2000000000003"/>
    <x v="66"/>
    <x v="0"/>
    <n v="4"/>
    <n v="10"/>
    <n v="2003"/>
    <x v="4"/>
    <n v="80"/>
    <n v="6.4000000000000057"/>
    <x v="1159"/>
    <x v="0"/>
    <x v="13"/>
    <x v="4"/>
    <x v="1"/>
    <x v="1"/>
  </r>
  <r>
    <x v="7"/>
    <n v="96"/>
    <n v="4608"/>
    <x v="5"/>
    <x v="0"/>
    <n v="4"/>
    <n v="10"/>
    <n v="2003"/>
    <x v="4"/>
    <n v="80"/>
    <n v="16"/>
    <x v="1158"/>
    <x v="0"/>
    <x v="5"/>
    <x v="0"/>
    <x v="0"/>
    <x v="1"/>
  </r>
  <r>
    <x v="19"/>
    <n v="82.4"/>
    <n v="3131.2000000000003"/>
    <x v="8"/>
    <x v="0"/>
    <n v="4"/>
    <n v="12"/>
    <n v="2003"/>
    <x v="4"/>
    <n v="80"/>
    <n v="2.4000000000000057"/>
    <x v="1160"/>
    <x v="0"/>
    <x v="27"/>
    <x v="0"/>
    <x v="0"/>
    <x v="1"/>
  </r>
  <r>
    <x v="28"/>
    <n v="86.4"/>
    <n v="2678.4"/>
    <x v="55"/>
    <x v="0"/>
    <n v="1"/>
    <n v="1"/>
    <n v="2004"/>
    <x v="4"/>
    <n v="80"/>
    <n v="6.4000000000000057"/>
    <x v="1159"/>
    <x v="0"/>
    <x v="38"/>
    <x v="11"/>
    <x v="3"/>
    <x v="0"/>
  </r>
  <r>
    <x v="18"/>
    <n v="67.2"/>
    <n v="1747.2"/>
    <x v="10"/>
    <x v="0"/>
    <n v="1"/>
    <n v="2"/>
    <n v="2004"/>
    <x v="4"/>
    <n v="80"/>
    <n v="-12.799999999999997"/>
    <x v="1161"/>
    <x v="6"/>
    <x v="8"/>
    <x v="3"/>
    <x v="2"/>
    <x v="0"/>
  </r>
  <r>
    <x v="22"/>
    <n v="92"/>
    <n v="2944"/>
    <x v="210"/>
    <x v="0"/>
    <n v="2"/>
    <n v="4"/>
    <n v="2004"/>
    <x v="4"/>
    <n v="80"/>
    <n v="12"/>
    <x v="1162"/>
    <x v="0"/>
    <x v="47"/>
    <x v="10"/>
    <x v="0"/>
    <x v="0"/>
  </r>
  <r>
    <x v="27"/>
    <n v="67.2"/>
    <n v="2956.8"/>
    <x v="189"/>
    <x v="0"/>
    <n v="2"/>
    <n v="5"/>
    <n v="2004"/>
    <x v="4"/>
    <n v="80"/>
    <n v="-12.799999999999997"/>
    <x v="1161"/>
    <x v="6"/>
    <x v="51"/>
    <x v="0"/>
    <x v="0"/>
    <x v="0"/>
  </r>
  <r>
    <x v="26"/>
    <n v="76"/>
    <n v="2052"/>
    <x v="190"/>
    <x v="3"/>
    <n v="2"/>
    <n v="6"/>
    <n v="2004"/>
    <x v="4"/>
    <n v="80"/>
    <n v="-4"/>
    <x v="1157"/>
    <x v="4"/>
    <x v="20"/>
    <x v="7"/>
    <x v="1"/>
    <x v="0"/>
  </r>
  <r>
    <x v="30"/>
    <n v="73.599999999999994"/>
    <n v="3164.7999999999997"/>
    <x v="14"/>
    <x v="0"/>
    <n v="3"/>
    <n v="7"/>
    <n v="2004"/>
    <x v="4"/>
    <n v="80"/>
    <n v="-6.4000000000000057"/>
    <x v="1163"/>
    <x v="3"/>
    <x v="11"/>
    <x v="1"/>
    <x v="1"/>
    <x v="1"/>
  </r>
  <r>
    <x v="32"/>
    <n v="69.599999999999994"/>
    <n v="1739.9999999999998"/>
    <x v="191"/>
    <x v="0"/>
    <n v="3"/>
    <n v="8"/>
    <n v="2004"/>
    <x v="4"/>
    <n v="80"/>
    <n v="-10.400000000000006"/>
    <x v="151"/>
    <x v="1"/>
    <x v="68"/>
    <x v="2"/>
    <x v="1"/>
    <x v="0"/>
  </r>
  <r>
    <x v="8"/>
    <n v="80.8"/>
    <n v="1777.6"/>
    <x v="192"/>
    <x v="0"/>
    <n v="3"/>
    <n v="9"/>
    <n v="2004"/>
    <x v="4"/>
    <n v="80"/>
    <n v="0.79999999999999716"/>
    <x v="1164"/>
    <x v="0"/>
    <x v="71"/>
    <x v="16"/>
    <x v="1"/>
    <x v="0"/>
  </r>
  <r>
    <x v="15"/>
    <n v="87.2"/>
    <n v="1831.2"/>
    <x v="17"/>
    <x v="0"/>
    <n v="4"/>
    <n v="10"/>
    <n v="2004"/>
    <x v="4"/>
    <n v="80"/>
    <n v="7.2000000000000028"/>
    <x v="1165"/>
    <x v="0"/>
    <x v="39"/>
    <x v="0"/>
    <x v="0"/>
    <x v="0"/>
  </r>
  <r>
    <x v="7"/>
    <n v="75.2"/>
    <n v="3609.6000000000004"/>
    <x v="79"/>
    <x v="0"/>
    <n v="4"/>
    <n v="11"/>
    <n v="2004"/>
    <x v="4"/>
    <n v="80"/>
    <n v="-4.7999999999999972"/>
    <x v="1166"/>
    <x v="3"/>
    <x v="49"/>
    <x v="6"/>
    <x v="1"/>
    <x v="1"/>
  </r>
  <r>
    <x v="29"/>
    <n v="64"/>
    <n v="2112"/>
    <x v="233"/>
    <x v="0"/>
    <n v="4"/>
    <n v="11"/>
    <n v="2004"/>
    <x v="4"/>
    <n v="80"/>
    <n v="-16"/>
    <x v="1167"/>
    <x v="6"/>
    <x v="69"/>
    <x v="12"/>
    <x v="1"/>
    <x v="0"/>
  </r>
  <r>
    <x v="1"/>
    <n v="100"/>
    <n v="3400"/>
    <x v="20"/>
    <x v="0"/>
    <n v="4"/>
    <n v="11"/>
    <n v="2004"/>
    <x v="4"/>
    <n v="80"/>
    <n v="20"/>
    <x v="346"/>
    <x v="0"/>
    <x v="16"/>
    <x v="5"/>
    <x v="1"/>
    <x v="1"/>
  </r>
  <r>
    <x v="30"/>
    <n v="81.95"/>
    <n v="3523.85"/>
    <x v="212"/>
    <x v="0"/>
    <n v="4"/>
    <n v="12"/>
    <n v="2004"/>
    <x v="4"/>
    <n v="80"/>
    <n v="1.9500000000000028"/>
    <x v="1168"/>
    <x v="0"/>
    <x v="63"/>
    <x v="0"/>
    <x v="0"/>
    <x v="1"/>
  </r>
  <r>
    <x v="27"/>
    <n v="100"/>
    <n v="4400"/>
    <x v="21"/>
    <x v="0"/>
    <n v="4"/>
    <n v="12"/>
    <n v="2004"/>
    <x v="4"/>
    <n v="80"/>
    <n v="20"/>
    <x v="346"/>
    <x v="0"/>
    <x v="17"/>
    <x v="3"/>
    <x v="2"/>
    <x v="1"/>
  </r>
  <r>
    <x v="27"/>
    <n v="100"/>
    <n v="4400"/>
    <x v="22"/>
    <x v="0"/>
    <n v="1"/>
    <n v="2"/>
    <n v="2005"/>
    <x v="4"/>
    <n v="80"/>
    <n v="20"/>
    <x v="346"/>
    <x v="0"/>
    <x v="11"/>
    <x v="1"/>
    <x v="1"/>
    <x v="1"/>
  </r>
  <r>
    <x v="22"/>
    <n v="94.34"/>
    <n v="3018.88"/>
    <x v="196"/>
    <x v="5"/>
    <n v="1"/>
    <n v="3"/>
    <n v="2005"/>
    <x v="4"/>
    <n v="80"/>
    <n v="14.340000000000003"/>
    <x v="1169"/>
    <x v="0"/>
    <x v="20"/>
    <x v="7"/>
    <x v="1"/>
    <x v="1"/>
  </r>
  <r>
    <x v="6"/>
    <n v="65.599999999999994"/>
    <n v="1902.3999999999999"/>
    <x v="197"/>
    <x v="0"/>
    <n v="1"/>
    <n v="3"/>
    <n v="2005"/>
    <x v="4"/>
    <n v="80"/>
    <n v="-14.400000000000006"/>
    <x v="1170"/>
    <x v="6"/>
    <x v="1"/>
    <x v="1"/>
    <x v="1"/>
    <x v="0"/>
  </r>
  <r>
    <x v="57"/>
    <n v="92"/>
    <n v="7084"/>
    <x v="213"/>
    <x v="4"/>
    <n v="2"/>
    <n v="4"/>
    <n v="2005"/>
    <x v="4"/>
    <n v="80"/>
    <n v="12"/>
    <x v="1162"/>
    <x v="0"/>
    <x v="9"/>
    <x v="0"/>
    <x v="0"/>
    <x v="2"/>
  </r>
  <r>
    <x v="25"/>
    <n v="67.2"/>
    <n v="2620.8000000000002"/>
    <x v="198"/>
    <x v="0"/>
    <n v="2"/>
    <n v="5"/>
    <n v="2005"/>
    <x v="4"/>
    <n v="80"/>
    <n v="-12.799999999999997"/>
    <x v="1161"/>
    <x v="6"/>
    <x v="57"/>
    <x v="12"/>
    <x v="1"/>
    <x v="0"/>
  </r>
  <r>
    <x v="25"/>
    <n v="81.14"/>
    <n v="3164.46"/>
    <x v="62"/>
    <x v="0"/>
    <n v="1"/>
    <n v="2"/>
    <n v="2003"/>
    <x v="5"/>
    <n v="100"/>
    <n v="-18.86"/>
    <x v="1171"/>
    <x v="6"/>
    <x v="40"/>
    <x v="13"/>
    <x v="1"/>
    <x v="1"/>
  </r>
  <r>
    <x v="5"/>
    <n v="100"/>
    <n v="3600"/>
    <x v="251"/>
    <x v="0"/>
    <n v="2"/>
    <n v="4"/>
    <n v="2003"/>
    <x v="5"/>
    <n v="100"/>
    <n v="0"/>
    <x v="319"/>
    <x v="2"/>
    <x v="43"/>
    <x v="7"/>
    <x v="1"/>
    <x v="1"/>
  </r>
  <r>
    <x v="13"/>
    <n v="91.15"/>
    <n v="3828.3"/>
    <x v="64"/>
    <x v="0"/>
    <n v="2"/>
    <n v="6"/>
    <n v="2003"/>
    <x v="5"/>
    <n v="100"/>
    <n v="-8.8499999999999943"/>
    <x v="1172"/>
    <x v="3"/>
    <x v="41"/>
    <x v="6"/>
    <x v="1"/>
    <x v="1"/>
  </r>
  <r>
    <x v="15"/>
    <n v="100"/>
    <n v="2100"/>
    <x v="119"/>
    <x v="0"/>
    <n v="3"/>
    <n v="8"/>
    <n v="2003"/>
    <x v="5"/>
    <n v="100"/>
    <n v="0"/>
    <x v="319"/>
    <x v="2"/>
    <x v="33"/>
    <x v="0"/>
    <x v="0"/>
    <x v="0"/>
  </r>
  <r>
    <x v="24"/>
    <n v="88.15"/>
    <n v="4407.5"/>
    <x v="120"/>
    <x v="0"/>
    <n v="3"/>
    <n v="9"/>
    <n v="2003"/>
    <x v="5"/>
    <n v="100"/>
    <n v="-11.849999999999994"/>
    <x v="1173"/>
    <x v="1"/>
    <x v="20"/>
    <x v="7"/>
    <x v="1"/>
    <x v="1"/>
  </r>
  <r>
    <x v="16"/>
    <n v="100"/>
    <n v="2400"/>
    <x v="67"/>
    <x v="3"/>
    <n v="4"/>
    <n v="10"/>
    <n v="2003"/>
    <x v="5"/>
    <n v="100"/>
    <n v="0"/>
    <x v="319"/>
    <x v="2"/>
    <x v="31"/>
    <x v="8"/>
    <x v="1"/>
    <x v="0"/>
  </r>
  <r>
    <x v="27"/>
    <n v="92.16"/>
    <n v="4055.04"/>
    <x v="219"/>
    <x v="0"/>
    <n v="4"/>
    <n v="11"/>
    <n v="2003"/>
    <x v="5"/>
    <n v="100"/>
    <n v="-7.8400000000000034"/>
    <x v="1174"/>
    <x v="3"/>
    <x v="20"/>
    <x v="7"/>
    <x v="1"/>
    <x v="1"/>
  </r>
  <r>
    <x v="9"/>
    <n v="100"/>
    <n v="3700"/>
    <x v="69"/>
    <x v="0"/>
    <n v="4"/>
    <n v="11"/>
    <n v="2003"/>
    <x v="5"/>
    <n v="100"/>
    <n v="0"/>
    <x v="319"/>
    <x v="2"/>
    <x v="18"/>
    <x v="0"/>
    <x v="0"/>
    <x v="1"/>
  </r>
  <r>
    <x v="26"/>
    <n v="92.16"/>
    <n v="2488.3199999999997"/>
    <x v="70"/>
    <x v="0"/>
    <n v="4"/>
    <n v="11"/>
    <n v="2003"/>
    <x v="5"/>
    <n v="100"/>
    <n v="-7.8400000000000034"/>
    <x v="1174"/>
    <x v="3"/>
    <x v="43"/>
    <x v="7"/>
    <x v="1"/>
    <x v="0"/>
  </r>
  <r>
    <x v="9"/>
    <n v="100"/>
    <n v="3700"/>
    <x v="122"/>
    <x v="0"/>
    <n v="1"/>
    <n v="1"/>
    <n v="2004"/>
    <x v="5"/>
    <n v="100"/>
    <n v="0"/>
    <x v="319"/>
    <x v="2"/>
    <x v="25"/>
    <x v="1"/>
    <x v="1"/>
    <x v="1"/>
  </r>
  <r>
    <x v="19"/>
    <n v="100"/>
    <n v="3800"/>
    <x v="72"/>
    <x v="0"/>
    <n v="1"/>
    <n v="2"/>
    <n v="2004"/>
    <x v="5"/>
    <n v="100"/>
    <n v="0"/>
    <x v="319"/>
    <x v="2"/>
    <x v="45"/>
    <x v="0"/>
    <x v="0"/>
    <x v="1"/>
  </r>
  <r>
    <x v="7"/>
    <n v="96.16"/>
    <n v="4615.68"/>
    <x v="221"/>
    <x v="0"/>
    <n v="1"/>
    <n v="3"/>
    <n v="2004"/>
    <x v="5"/>
    <n v="100"/>
    <n v="-3.8400000000000034"/>
    <x v="1175"/>
    <x v="4"/>
    <x v="49"/>
    <x v="6"/>
    <x v="1"/>
    <x v="1"/>
  </r>
  <r>
    <x v="0"/>
    <n v="100"/>
    <n v="3000"/>
    <x v="73"/>
    <x v="3"/>
    <n v="2"/>
    <n v="5"/>
    <n v="2004"/>
    <x v="5"/>
    <n v="100"/>
    <n v="0"/>
    <x v="319"/>
    <x v="2"/>
    <x v="0"/>
    <x v="0"/>
    <x v="0"/>
    <x v="1"/>
  </r>
  <r>
    <x v="32"/>
    <n v="88.15"/>
    <n v="2203.75"/>
    <x v="74"/>
    <x v="0"/>
    <n v="2"/>
    <n v="6"/>
    <n v="2004"/>
    <x v="5"/>
    <n v="100"/>
    <n v="-11.849999999999994"/>
    <x v="1173"/>
    <x v="1"/>
    <x v="37"/>
    <x v="10"/>
    <x v="0"/>
    <x v="0"/>
  </r>
  <r>
    <x v="23"/>
    <n v="86.15"/>
    <n v="3446"/>
    <x v="75"/>
    <x v="0"/>
    <n v="3"/>
    <n v="7"/>
    <n v="2004"/>
    <x v="5"/>
    <n v="100"/>
    <n v="-13.849999999999994"/>
    <x v="1176"/>
    <x v="1"/>
    <x v="46"/>
    <x v="14"/>
    <x v="1"/>
    <x v="1"/>
  </r>
  <r>
    <x v="8"/>
    <n v="88.15"/>
    <n v="1939.3000000000002"/>
    <x v="76"/>
    <x v="0"/>
    <n v="3"/>
    <n v="8"/>
    <n v="2004"/>
    <x v="5"/>
    <n v="100"/>
    <n v="-11.849999999999994"/>
    <x v="1173"/>
    <x v="1"/>
    <x v="47"/>
    <x v="10"/>
    <x v="0"/>
    <x v="0"/>
  </r>
  <r>
    <x v="1"/>
    <n v="100"/>
    <n v="3400"/>
    <x v="77"/>
    <x v="0"/>
    <n v="3"/>
    <n v="9"/>
    <n v="2004"/>
    <x v="5"/>
    <n v="100"/>
    <n v="0"/>
    <x v="319"/>
    <x v="2"/>
    <x v="48"/>
    <x v="0"/>
    <x v="0"/>
    <x v="1"/>
  </r>
  <r>
    <x v="22"/>
    <n v="90.15"/>
    <n v="2884.8"/>
    <x v="78"/>
    <x v="0"/>
    <n v="4"/>
    <n v="10"/>
    <n v="2004"/>
    <x v="5"/>
    <n v="100"/>
    <n v="-9.8499999999999943"/>
    <x v="195"/>
    <x v="3"/>
    <x v="61"/>
    <x v="6"/>
    <x v="1"/>
    <x v="0"/>
  </r>
  <r>
    <x v="28"/>
    <n v="86.15"/>
    <n v="2670.65"/>
    <x v="237"/>
    <x v="0"/>
    <n v="4"/>
    <n v="10"/>
    <n v="2004"/>
    <x v="5"/>
    <n v="100"/>
    <n v="-13.849999999999994"/>
    <x v="1176"/>
    <x v="1"/>
    <x v="11"/>
    <x v="1"/>
    <x v="1"/>
    <x v="0"/>
  </r>
  <r>
    <x v="30"/>
    <n v="80"/>
    <n v="3440"/>
    <x v="193"/>
    <x v="5"/>
    <n v="4"/>
    <n v="11"/>
    <n v="2004"/>
    <x v="5"/>
    <n v="100"/>
    <n v="-20"/>
    <x v="1167"/>
    <x v="6"/>
    <x v="40"/>
    <x v="13"/>
    <x v="1"/>
    <x v="1"/>
  </r>
  <r>
    <x v="28"/>
    <n v="89.38"/>
    <n v="2770.7799999999997"/>
    <x v="81"/>
    <x v="0"/>
    <n v="4"/>
    <n v="11"/>
    <n v="2004"/>
    <x v="5"/>
    <n v="100"/>
    <n v="-10.620000000000005"/>
    <x v="1177"/>
    <x v="1"/>
    <x v="0"/>
    <x v="0"/>
    <x v="0"/>
    <x v="0"/>
  </r>
  <r>
    <x v="28"/>
    <n v="77.34"/>
    <n v="2397.54"/>
    <x v="82"/>
    <x v="0"/>
    <n v="4"/>
    <n v="12"/>
    <n v="2004"/>
    <x v="5"/>
    <n v="100"/>
    <n v="-22.659999999999997"/>
    <x v="1178"/>
    <x v="5"/>
    <x v="20"/>
    <x v="7"/>
    <x v="1"/>
    <x v="0"/>
  </r>
  <r>
    <x v="1"/>
    <n v="96.34"/>
    <n v="3275.56"/>
    <x v="84"/>
    <x v="0"/>
    <n v="1"/>
    <n v="1"/>
    <n v="2005"/>
    <x v="5"/>
    <n v="100"/>
    <n v="-3.6599999999999966"/>
    <x v="1179"/>
    <x v="4"/>
    <x v="50"/>
    <x v="4"/>
    <x v="1"/>
    <x v="1"/>
  </r>
  <r>
    <x v="3"/>
    <n v="92.08"/>
    <n v="4143.6000000000004"/>
    <x v="196"/>
    <x v="5"/>
    <n v="1"/>
    <n v="3"/>
    <n v="2005"/>
    <x v="5"/>
    <n v="100"/>
    <n v="-7.9200000000000017"/>
    <x v="1180"/>
    <x v="3"/>
    <x v="20"/>
    <x v="7"/>
    <x v="1"/>
    <x v="1"/>
  </r>
  <r>
    <x v="7"/>
    <n v="100"/>
    <n v="4800"/>
    <x v="250"/>
    <x v="0"/>
    <n v="1"/>
    <n v="3"/>
    <n v="2005"/>
    <x v="5"/>
    <n v="100"/>
    <n v="0"/>
    <x v="319"/>
    <x v="2"/>
    <x v="42"/>
    <x v="1"/>
    <x v="1"/>
    <x v="1"/>
  </r>
  <r>
    <x v="11"/>
    <n v="100"/>
    <n v="2800"/>
    <x v="88"/>
    <x v="4"/>
    <n v="2"/>
    <n v="5"/>
    <n v="2005"/>
    <x v="5"/>
    <n v="100"/>
    <n v="0"/>
    <x v="319"/>
    <x v="2"/>
    <x v="48"/>
    <x v="0"/>
    <x v="0"/>
    <x v="1"/>
  </r>
  <r>
    <x v="8"/>
    <n v="100"/>
    <n v="2200"/>
    <x v="62"/>
    <x v="0"/>
    <n v="1"/>
    <n v="2"/>
    <n v="2003"/>
    <x v="5"/>
    <n v="99"/>
    <n v="1"/>
    <x v="347"/>
    <x v="0"/>
    <x v="40"/>
    <x v="13"/>
    <x v="1"/>
    <x v="0"/>
  </r>
  <r>
    <x v="3"/>
    <n v="83.42"/>
    <n v="3753.9"/>
    <x v="117"/>
    <x v="0"/>
    <n v="2"/>
    <n v="4"/>
    <n v="2003"/>
    <x v="5"/>
    <n v="99"/>
    <n v="-15.579999999999998"/>
    <x v="1181"/>
    <x v="6"/>
    <x v="22"/>
    <x v="9"/>
    <x v="2"/>
    <x v="1"/>
  </r>
  <r>
    <x v="0"/>
    <n v="85.41"/>
    <n v="2562.2999999999997"/>
    <x v="64"/>
    <x v="0"/>
    <n v="2"/>
    <n v="6"/>
    <n v="2003"/>
    <x v="5"/>
    <n v="99"/>
    <n v="-13.590000000000003"/>
    <x v="1182"/>
    <x v="1"/>
    <x v="41"/>
    <x v="6"/>
    <x v="1"/>
    <x v="0"/>
  </r>
  <r>
    <x v="19"/>
    <n v="85.41"/>
    <n v="3245.58"/>
    <x v="119"/>
    <x v="0"/>
    <n v="3"/>
    <n v="8"/>
    <n v="2003"/>
    <x v="5"/>
    <n v="99"/>
    <n v="-13.590000000000003"/>
    <x v="1182"/>
    <x v="1"/>
    <x v="33"/>
    <x v="0"/>
    <x v="0"/>
    <x v="1"/>
  </r>
  <r>
    <x v="14"/>
    <n v="100"/>
    <n v="2000"/>
    <x v="120"/>
    <x v="0"/>
    <n v="3"/>
    <n v="9"/>
    <n v="2003"/>
    <x v="5"/>
    <n v="99"/>
    <n v="1"/>
    <x v="347"/>
    <x v="0"/>
    <x v="20"/>
    <x v="7"/>
    <x v="1"/>
    <x v="0"/>
  </r>
  <r>
    <x v="11"/>
    <n v="100"/>
    <n v="2800"/>
    <x v="67"/>
    <x v="3"/>
    <n v="4"/>
    <n v="10"/>
    <n v="2003"/>
    <x v="5"/>
    <n v="99"/>
    <n v="1"/>
    <x v="347"/>
    <x v="0"/>
    <x v="31"/>
    <x v="8"/>
    <x v="1"/>
    <x v="1"/>
  </r>
  <r>
    <x v="16"/>
    <n v="100"/>
    <n v="2400"/>
    <x v="219"/>
    <x v="0"/>
    <n v="4"/>
    <n v="11"/>
    <n v="2003"/>
    <x v="5"/>
    <n v="99"/>
    <n v="1"/>
    <x v="347"/>
    <x v="0"/>
    <x v="20"/>
    <x v="7"/>
    <x v="1"/>
    <x v="0"/>
  </r>
  <r>
    <x v="8"/>
    <n v="79.45"/>
    <n v="1747.9"/>
    <x v="69"/>
    <x v="0"/>
    <n v="4"/>
    <n v="11"/>
    <n v="2003"/>
    <x v="5"/>
    <n v="99"/>
    <n v="-19.549999999999997"/>
    <x v="1183"/>
    <x v="6"/>
    <x v="18"/>
    <x v="0"/>
    <x v="0"/>
    <x v="0"/>
  </r>
  <r>
    <x v="21"/>
    <n v="93.35"/>
    <n v="3267.25"/>
    <x v="70"/>
    <x v="0"/>
    <n v="4"/>
    <n v="11"/>
    <n v="2003"/>
    <x v="5"/>
    <n v="99"/>
    <n v="-5.6500000000000057"/>
    <x v="1184"/>
    <x v="3"/>
    <x v="43"/>
    <x v="7"/>
    <x v="1"/>
    <x v="1"/>
  </r>
  <r>
    <x v="29"/>
    <n v="85.41"/>
    <n v="2818.5299999999997"/>
    <x v="122"/>
    <x v="0"/>
    <n v="1"/>
    <n v="1"/>
    <n v="2004"/>
    <x v="5"/>
    <n v="99"/>
    <n v="-13.590000000000003"/>
    <x v="1182"/>
    <x v="1"/>
    <x v="25"/>
    <x v="1"/>
    <x v="1"/>
    <x v="0"/>
  </r>
  <r>
    <x v="28"/>
    <n v="95.34"/>
    <n v="2955.54"/>
    <x v="72"/>
    <x v="0"/>
    <n v="1"/>
    <n v="2"/>
    <n v="2004"/>
    <x v="5"/>
    <n v="99"/>
    <n v="-3.6599999999999966"/>
    <x v="1185"/>
    <x v="4"/>
    <x v="45"/>
    <x v="0"/>
    <x v="0"/>
    <x v="0"/>
  </r>
  <r>
    <x v="21"/>
    <n v="82.43"/>
    <n v="2885.05"/>
    <x v="221"/>
    <x v="0"/>
    <n v="1"/>
    <n v="3"/>
    <n v="2004"/>
    <x v="5"/>
    <n v="99"/>
    <n v="-16.569999999999993"/>
    <x v="1186"/>
    <x v="6"/>
    <x v="49"/>
    <x v="6"/>
    <x v="1"/>
    <x v="0"/>
  </r>
  <r>
    <x v="21"/>
    <n v="90.37"/>
    <n v="3162.9500000000003"/>
    <x v="73"/>
    <x v="3"/>
    <n v="2"/>
    <n v="5"/>
    <n v="2004"/>
    <x v="5"/>
    <n v="99"/>
    <n v="-8.6299999999999955"/>
    <x v="1187"/>
    <x v="3"/>
    <x v="0"/>
    <x v="0"/>
    <x v="0"/>
    <x v="1"/>
  </r>
  <r>
    <x v="24"/>
    <n v="81.430000000000007"/>
    <n v="4071.5000000000005"/>
    <x v="74"/>
    <x v="0"/>
    <n v="2"/>
    <n v="6"/>
    <n v="2004"/>
    <x v="5"/>
    <n v="99"/>
    <n v="-17.569999999999993"/>
    <x v="1188"/>
    <x v="6"/>
    <x v="37"/>
    <x v="10"/>
    <x v="0"/>
    <x v="1"/>
  </r>
  <r>
    <x v="18"/>
    <n v="100"/>
    <n v="2600"/>
    <x v="75"/>
    <x v="0"/>
    <n v="3"/>
    <n v="7"/>
    <n v="2004"/>
    <x v="5"/>
    <n v="99"/>
    <n v="1"/>
    <x v="347"/>
    <x v="0"/>
    <x v="46"/>
    <x v="14"/>
    <x v="1"/>
    <x v="0"/>
  </r>
  <r>
    <x v="19"/>
    <n v="89.38"/>
    <n v="3396.4399999999996"/>
    <x v="76"/>
    <x v="0"/>
    <n v="3"/>
    <n v="8"/>
    <n v="2004"/>
    <x v="5"/>
    <n v="99"/>
    <n v="-9.6200000000000045"/>
    <x v="1189"/>
    <x v="3"/>
    <x v="47"/>
    <x v="10"/>
    <x v="0"/>
    <x v="1"/>
  </r>
  <r>
    <x v="3"/>
    <n v="100"/>
    <n v="4500"/>
    <x v="77"/>
    <x v="0"/>
    <n v="3"/>
    <n v="9"/>
    <n v="2004"/>
    <x v="5"/>
    <n v="99"/>
    <n v="1"/>
    <x v="347"/>
    <x v="0"/>
    <x v="35"/>
    <x v="0"/>
    <x v="0"/>
    <x v="1"/>
  </r>
  <r>
    <x v="0"/>
    <n v="100"/>
    <n v="3000"/>
    <x v="78"/>
    <x v="0"/>
    <n v="4"/>
    <n v="10"/>
    <n v="2004"/>
    <x v="5"/>
    <n v="99"/>
    <n v="1"/>
    <x v="347"/>
    <x v="0"/>
    <x v="61"/>
    <x v="6"/>
    <x v="1"/>
    <x v="1"/>
  </r>
  <r>
    <x v="9"/>
    <n v="91.37"/>
    <n v="3380.69"/>
    <x v="237"/>
    <x v="0"/>
    <n v="4"/>
    <n v="10"/>
    <n v="2004"/>
    <x v="5"/>
    <n v="99"/>
    <n v="-7.6299999999999955"/>
    <x v="1190"/>
    <x v="3"/>
    <x v="11"/>
    <x v="1"/>
    <x v="1"/>
    <x v="1"/>
  </r>
  <r>
    <x v="9"/>
    <n v="86.61"/>
    <n v="3204.57"/>
    <x v="193"/>
    <x v="5"/>
    <n v="4"/>
    <n v="11"/>
    <n v="2004"/>
    <x v="5"/>
    <n v="99"/>
    <n v="-12.39"/>
    <x v="1191"/>
    <x v="1"/>
    <x v="40"/>
    <x v="13"/>
    <x v="1"/>
    <x v="1"/>
  </r>
  <r>
    <x v="5"/>
    <n v="71.89"/>
    <n v="2588.04"/>
    <x v="81"/>
    <x v="0"/>
    <n v="4"/>
    <n v="11"/>
    <n v="2004"/>
    <x v="5"/>
    <n v="99"/>
    <n v="-27.11"/>
    <x v="1192"/>
    <x v="5"/>
    <x v="0"/>
    <x v="0"/>
    <x v="0"/>
    <x v="0"/>
  </r>
  <r>
    <x v="32"/>
    <n v="100"/>
    <n v="2500"/>
    <x v="82"/>
    <x v="0"/>
    <n v="4"/>
    <n v="12"/>
    <n v="2004"/>
    <x v="5"/>
    <n v="99"/>
    <n v="1"/>
    <x v="347"/>
    <x v="0"/>
    <x v="20"/>
    <x v="7"/>
    <x v="1"/>
    <x v="0"/>
  </r>
  <r>
    <x v="9"/>
    <n v="100"/>
    <n v="3700"/>
    <x v="84"/>
    <x v="0"/>
    <n v="1"/>
    <n v="1"/>
    <n v="2005"/>
    <x v="5"/>
    <n v="99"/>
    <n v="1"/>
    <x v="347"/>
    <x v="0"/>
    <x v="50"/>
    <x v="4"/>
    <x v="1"/>
    <x v="1"/>
  </r>
  <r>
    <x v="0"/>
    <n v="95.48"/>
    <n v="2864.4"/>
    <x v="196"/>
    <x v="5"/>
    <n v="1"/>
    <n v="3"/>
    <n v="2005"/>
    <x v="5"/>
    <n v="99"/>
    <n v="-3.519999999999996"/>
    <x v="1193"/>
    <x v="4"/>
    <x v="20"/>
    <x v="7"/>
    <x v="1"/>
    <x v="0"/>
  </r>
  <r>
    <x v="5"/>
    <n v="100"/>
    <n v="3600"/>
    <x v="250"/>
    <x v="0"/>
    <n v="1"/>
    <n v="3"/>
    <n v="2005"/>
    <x v="5"/>
    <n v="99"/>
    <n v="1"/>
    <x v="347"/>
    <x v="0"/>
    <x v="42"/>
    <x v="1"/>
    <x v="1"/>
    <x v="1"/>
  </r>
  <r>
    <x v="26"/>
    <n v="90.37"/>
    <n v="2439.9900000000002"/>
    <x v="88"/>
    <x v="4"/>
    <n v="2"/>
    <n v="5"/>
    <n v="2005"/>
    <x v="5"/>
    <n v="99"/>
    <n v="-8.6299999999999955"/>
    <x v="1187"/>
    <x v="3"/>
    <x v="48"/>
    <x v="0"/>
    <x v="0"/>
    <x v="0"/>
  </r>
  <r>
    <x v="7"/>
    <n v="61.44"/>
    <n v="2949.12"/>
    <x v="186"/>
    <x v="0"/>
    <n v="1"/>
    <n v="2"/>
    <n v="2003"/>
    <x v="4"/>
    <n v="74"/>
    <n v="-12.560000000000002"/>
    <x v="1194"/>
    <x v="6"/>
    <x v="69"/>
    <x v="12"/>
    <x v="1"/>
    <x v="0"/>
  </r>
  <r>
    <x v="18"/>
    <n v="59.22"/>
    <n v="1539.72"/>
    <x v="63"/>
    <x v="0"/>
    <n v="2"/>
    <n v="4"/>
    <n v="2003"/>
    <x v="4"/>
    <n v="74"/>
    <n v="-14.780000000000001"/>
    <x v="1195"/>
    <x v="6"/>
    <x v="16"/>
    <x v="5"/>
    <x v="1"/>
    <x v="0"/>
  </r>
  <r>
    <x v="18"/>
    <n v="85.13"/>
    <n v="2213.38"/>
    <x v="187"/>
    <x v="0"/>
    <n v="2"/>
    <n v="6"/>
    <n v="2003"/>
    <x v="4"/>
    <n v="74"/>
    <n v="11.129999999999995"/>
    <x v="1196"/>
    <x v="0"/>
    <x v="63"/>
    <x v="0"/>
    <x v="0"/>
    <x v="0"/>
  </r>
  <r>
    <x v="1"/>
    <n v="85.87"/>
    <n v="2919.58"/>
    <x v="65"/>
    <x v="0"/>
    <n v="3"/>
    <n v="8"/>
    <n v="2003"/>
    <x v="4"/>
    <n v="74"/>
    <n v="11.870000000000005"/>
    <x v="1197"/>
    <x v="0"/>
    <x v="18"/>
    <x v="0"/>
    <x v="0"/>
    <x v="0"/>
  </r>
  <r>
    <x v="27"/>
    <n v="85.87"/>
    <n v="3778.28"/>
    <x v="66"/>
    <x v="0"/>
    <n v="4"/>
    <n v="10"/>
    <n v="2003"/>
    <x v="4"/>
    <n v="74"/>
    <n v="11.870000000000005"/>
    <x v="1197"/>
    <x v="0"/>
    <x v="13"/>
    <x v="4"/>
    <x v="1"/>
    <x v="1"/>
  </r>
  <r>
    <x v="25"/>
    <n v="82.91"/>
    <n v="3233.49"/>
    <x v="5"/>
    <x v="0"/>
    <n v="4"/>
    <n v="10"/>
    <n v="2003"/>
    <x v="4"/>
    <n v="74"/>
    <n v="8.9099999999999966"/>
    <x v="1198"/>
    <x v="0"/>
    <x v="5"/>
    <x v="0"/>
    <x v="0"/>
    <x v="1"/>
  </r>
  <r>
    <x v="3"/>
    <n v="76.25"/>
    <n v="3431.25"/>
    <x v="68"/>
    <x v="0"/>
    <n v="4"/>
    <n v="11"/>
    <n v="2003"/>
    <x v="4"/>
    <n v="74"/>
    <n v="2.25"/>
    <x v="1199"/>
    <x v="0"/>
    <x v="42"/>
    <x v="1"/>
    <x v="1"/>
    <x v="1"/>
  </r>
  <r>
    <x v="23"/>
    <n v="63.67"/>
    <n v="2546.8000000000002"/>
    <x v="188"/>
    <x v="0"/>
    <n v="4"/>
    <n v="11"/>
    <n v="2003"/>
    <x v="4"/>
    <n v="74"/>
    <n v="-10.329999999999998"/>
    <x v="1200"/>
    <x v="1"/>
    <x v="53"/>
    <x v="15"/>
    <x v="2"/>
    <x v="0"/>
  </r>
  <r>
    <x v="13"/>
    <n v="70.33"/>
    <n v="2953.86"/>
    <x v="55"/>
    <x v="0"/>
    <n v="1"/>
    <n v="1"/>
    <n v="2004"/>
    <x v="4"/>
    <n v="74"/>
    <n v="-3.6700000000000017"/>
    <x v="1201"/>
    <x v="4"/>
    <x v="38"/>
    <x v="11"/>
    <x v="3"/>
    <x v="0"/>
  </r>
  <r>
    <x v="30"/>
    <n v="74.03"/>
    <n v="3183.29"/>
    <x v="72"/>
    <x v="0"/>
    <n v="1"/>
    <n v="2"/>
    <n v="2004"/>
    <x v="4"/>
    <n v="74"/>
    <n v="3.0000000000001137E-2"/>
    <x v="1202"/>
    <x v="2"/>
    <x v="45"/>
    <x v="0"/>
    <x v="0"/>
    <x v="1"/>
  </r>
  <r>
    <x v="1"/>
    <n v="72.55"/>
    <n v="2466.6999999999998"/>
    <x v="210"/>
    <x v="0"/>
    <n v="2"/>
    <n v="4"/>
    <n v="2004"/>
    <x v="4"/>
    <n v="74"/>
    <n v="-1.4500000000000028"/>
    <x v="1203"/>
    <x v="4"/>
    <x v="47"/>
    <x v="10"/>
    <x v="0"/>
    <x v="0"/>
  </r>
  <r>
    <x v="19"/>
    <n v="62.19"/>
    <n v="2363.2199999999998"/>
    <x v="189"/>
    <x v="0"/>
    <n v="2"/>
    <n v="5"/>
    <n v="2004"/>
    <x v="4"/>
    <n v="74"/>
    <n v="-11.810000000000002"/>
    <x v="1204"/>
    <x v="6"/>
    <x v="51"/>
    <x v="0"/>
    <x v="0"/>
    <x v="0"/>
  </r>
  <r>
    <x v="21"/>
    <n v="71.069999999999993"/>
    <n v="2487.4499999999998"/>
    <x v="190"/>
    <x v="3"/>
    <n v="2"/>
    <n v="6"/>
    <n v="2004"/>
    <x v="4"/>
    <n v="74"/>
    <n v="-2.9300000000000068"/>
    <x v="1205"/>
    <x v="4"/>
    <x v="20"/>
    <x v="7"/>
    <x v="1"/>
    <x v="0"/>
  </r>
  <r>
    <x v="28"/>
    <n v="72.55"/>
    <n v="2249.0499999999997"/>
    <x v="14"/>
    <x v="0"/>
    <n v="3"/>
    <n v="7"/>
    <n v="2004"/>
    <x v="4"/>
    <n v="74"/>
    <n v="-1.4500000000000028"/>
    <x v="1203"/>
    <x v="4"/>
    <x v="11"/>
    <x v="1"/>
    <x v="1"/>
    <x v="0"/>
  </r>
  <r>
    <x v="22"/>
    <n v="64.41"/>
    <n v="2061.12"/>
    <x v="191"/>
    <x v="0"/>
    <n v="3"/>
    <n v="8"/>
    <n v="2004"/>
    <x v="4"/>
    <n v="74"/>
    <n v="-9.5900000000000034"/>
    <x v="1206"/>
    <x v="1"/>
    <x v="68"/>
    <x v="2"/>
    <x v="1"/>
    <x v="0"/>
  </r>
  <r>
    <x v="20"/>
    <n v="86.62"/>
    <n v="4071.1400000000003"/>
    <x v="192"/>
    <x v="0"/>
    <n v="3"/>
    <n v="9"/>
    <n v="2004"/>
    <x v="4"/>
    <n v="74"/>
    <n v="12.620000000000005"/>
    <x v="1207"/>
    <x v="0"/>
    <x v="71"/>
    <x v="16"/>
    <x v="1"/>
    <x v="1"/>
  </r>
  <r>
    <x v="25"/>
    <n v="68.11"/>
    <n v="2656.29"/>
    <x v="17"/>
    <x v="0"/>
    <n v="4"/>
    <n v="10"/>
    <n v="2004"/>
    <x v="4"/>
    <n v="74"/>
    <n v="-5.8900000000000006"/>
    <x v="1208"/>
    <x v="3"/>
    <x v="39"/>
    <x v="0"/>
    <x v="0"/>
    <x v="0"/>
  </r>
  <r>
    <x v="27"/>
    <n v="62.19"/>
    <n v="2736.3599999999997"/>
    <x v="79"/>
    <x v="0"/>
    <n v="4"/>
    <n v="11"/>
    <n v="2004"/>
    <x v="4"/>
    <n v="74"/>
    <n v="-11.810000000000002"/>
    <x v="1204"/>
    <x v="6"/>
    <x v="49"/>
    <x v="6"/>
    <x v="1"/>
    <x v="0"/>
  </r>
  <r>
    <x v="25"/>
    <n v="85.87"/>
    <n v="3348.9300000000003"/>
    <x v="233"/>
    <x v="0"/>
    <n v="4"/>
    <n v="11"/>
    <n v="2004"/>
    <x v="4"/>
    <n v="74"/>
    <n v="11.870000000000005"/>
    <x v="1197"/>
    <x v="0"/>
    <x v="69"/>
    <x v="12"/>
    <x v="1"/>
    <x v="1"/>
  </r>
  <r>
    <x v="24"/>
    <n v="57.86"/>
    <n v="2893"/>
    <x v="58"/>
    <x v="0"/>
    <n v="4"/>
    <n v="11"/>
    <n v="2004"/>
    <x v="4"/>
    <n v="74"/>
    <n v="-16.14"/>
    <x v="1209"/>
    <x v="5"/>
    <x v="29"/>
    <x v="11"/>
    <x v="3"/>
    <x v="0"/>
  </r>
  <r>
    <x v="8"/>
    <n v="75.510000000000005"/>
    <n v="1661.22"/>
    <x v="195"/>
    <x v="0"/>
    <n v="4"/>
    <n v="12"/>
    <n v="2004"/>
    <x v="4"/>
    <n v="74"/>
    <n v="1.5100000000000051"/>
    <x v="1210"/>
    <x v="0"/>
    <x v="35"/>
    <x v="0"/>
    <x v="0"/>
    <x v="0"/>
  </r>
  <r>
    <x v="21"/>
    <n v="100"/>
    <n v="3500"/>
    <x v="21"/>
    <x v="0"/>
    <n v="4"/>
    <n v="12"/>
    <n v="2004"/>
    <x v="4"/>
    <n v="74"/>
    <n v="26"/>
    <x v="1211"/>
    <x v="0"/>
    <x v="17"/>
    <x v="3"/>
    <x v="2"/>
    <x v="1"/>
  </r>
  <r>
    <x v="3"/>
    <n v="55.62"/>
    <n v="2502.9"/>
    <x v="84"/>
    <x v="0"/>
    <n v="1"/>
    <n v="1"/>
    <n v="2005"/>
    <x v="4"/>
    <n v="74"/>
    <n v="-18.380000000000003"/>
    <x v="1212"/>
    <x v="5"/>
    <x v="50"/>
    <x v="4"/>
    <x v="1"/>
    <x v="0"/>
  </r>
  <r>
    <x v="27"/>
    <n v="86.4"/>
    <n v="3801.6000000000004"/>
    <x v="196"/>
    <x v="5"/>
    <n v="1"/>
    <n v="3"/>
    <n v="2005"/>
    <x v="4"/>
    <n v="74"/>
    <n v="12.400000000000006"/>
    <x v="1213"/>
    <x v="0"/>
    <x v="20"/>
    <x v="7"/>
    <x v="1"/>
    <x v="1"/>
  </r>
  <r>
    <x v="5"/>
    <n v="87.36"/>
    <n v="3144.96"/>
    <x v="197"/>
    <x v="0"/>
    <n v="1"/>
    <n v="3"/>
    <n v="2005"/>
    <x v="4"/>
    <n v="74"/>
    <n v="13.36"/>
    <x v="1214"/>
    <x v="0"/>
    <x v="1"/>
    <x v="1"/>
    <x v="1"/>
    <x v="1"/>
  </r>
  <r>
    <x v="11"/>
    <n v="72.55"/>
    <n v="2031.3999999999999"/>
    <x v="213"/>
    <x v="4"/>
    <n v="2"/>
    <n v="4"/>
    <n v="2005"/>
    <x v="4"/>
    <n v="74"/>
    <n v="-1.4500000000000028"/>
    <x v="1203"/>
    <x v="4"/>
    <x v="9"/>
    <x v="0"/>
    <x v="0"/>
    <x v="0"/>
  </r>
  <r>
    <x v="30"/>
    <n v="62.19"/>
    <n v="2674.17"/>
    <x v="198"/>
    <x v="0"/>
    <n v="2"/>
    <n v="5"/>
    <n v="2005"/>
    <x v="4"/>
    <n v="74"/>
    <n v="-11.810000000000002"/>
    <x v="1204"/>
    <x v="6"/>
    <x v="57"/>
    <x v="12"/>
    <x v="1"/>
    <x v="0"/>
  </r>
  <r>
    <x v="7"/>
    <n v="52.64"/>
    <n v="2526.7200000000003"/>
    <x v="186"/>
    <x v="0"/>
    <n v="1"/>
    <n v="2"/>
    <n v="2003"/>
    <x v="4"/>
    <n v="49"/>
    <n v="3.6400000000000006"/>
    <x v="1215"/>
    <x v="0"/>
    <x v="69"/>
    <x v="12"/>
    <x v="1"/>
    <x v="0"/>
  </r>
  <r>
    <x v="11"/>
    <n v="48.17"/>
    <n v="1348.76"/>
    <x v="63"/>
    <x v="0"/>
    <n v="2"/>
    <n v="4"/>
    <n v="2003"/>
    <x v="4"/>
    <n v="49"/>
    <n v="-0.82999999999999829"/>
    <x v="1216"/>
    <x v="4"/>
    <x v="16"/>
    <x v="5"/>
    <x v="1"/>
    <x v="0"/>
  </r>
  <r>
    <x v="15"/>
    <n v="41.71"/>
    <n v="875.91"/>
    <x v="187"/>
    <x v="0"/>
    <n v="2"/>
    <n v="6"/>
    <n v="2003"/>
    <x v="4"/>
    <n v="49"/>
    <n v="-7.2899999999999991"/>
    <x v="1217"/>
    <x v="1"/>
    <x v="63"/>
    <x v="0"/>
    <x v="0"/>
    <x v="0"/>
  </r>
  <r>
    <x v="9"/>
    <n v="50.65"/>
    <n v="1874.05"/>
    <x v="65"/>
    <x v="0"/>
    <n v="3"/>
    <n v="8"/>
    <n v="2003"/>
    <x v="4"/>
    <n v="49"/>
    <n v="1.6499999999999986"/>
    <x v="1218"/>
    <x v="0"/>
    <x v="18"/>
    <x v="0"/>
    <x v="0"/>
    <x v="0"/>
  </r>
  <r>
    <x v="1"/>
    <n v="49.16"/>
    <n v="1671.4399999999998"/>
    <x v="66"/>
    <x v="0"/>
    <n v="4"/>
    <n v="10"/>
    <n v="2003"/>
    <x v="4"/>
    <n v="49"/>
    <n v="0.15999999999999659"/>
    <x v="1219"/>
    <x v="2"/>
    <x v="13"/>
    <x v="4"/>
    <x v="1"/>
    <x v="0"/>
  </r>
  <r>
    <x v="23"/>
    <n v="41.71"/>
    <n v="1668.4"/>
    <x v="67"/>
    <x v="3"/>
    <n v="4"/>
    <n v="10"/>
    <n v="2003"/>
    <x v="4"/>
    <n v="49"/>
    <n v="-7.2899999999999991"/>
    <x v="1217"/>
    <x v="1"/>
    <x v="31"/>
    <x v="8"/>
    <x v="1"/>
    <x v="0"/>
  </r>
  <r>
    <x v="3"/>
    <n v="51.15"/>
    <n v="2301.75"/>
    <x v="68"/>
    <x v="0"/>
    <n v="4"/>
    <n v="11"/>
    <n v="2003"/>
    <x v="4"/>
    <n v="49"/>
    <n v="2.1499999999999986"/>
    <x v="1220"/>
    <x v="0"/>
    <x v="42"/>
    <x v="1"/>
    <x v="1"/>
    <x v="0"/>
  </r>
  <r>
    <x v="11"/>
    <n v="52.14"/>
    <n v="1459.92"/>
    <x v="69"/>
    <x v="0"/>
    <n v="4"/>
    <n v="11"/>
    <n v="2003"/>
    <x v="4"/>
    <n v="49"/>
    <n v="3.1400000000000006"/>
    <x v="1221"/>
    <x v="0"/>
    <x v="41"/>
    <x v="6"/>
    <x v="1"/>
    <x v="0"/>
  </r>
  <r>
    <x v="6"/>
    <n v="41.71"/>
    <n v="1209.5899999999999"/>
    <x v="70"/>
    <x v="0"/>
    <n v="4"/>
    <n v="11"/>
    <n v="2003"/>
    <x v="4"/>
    <n v="49"/>
    <n v="-7.2899999999999991"/>
    <x v="1217"/>
    <x v="1"/>
    <x v="43"/>
    <x v="7"/>
    <x v="1"/>
    <x v="0"/>
  </r>
  <r>
    <x v="7"/>
    <n v="44.69"/>
    <n v="2145.12"/>
    <x v="71"/>
    <x v="0"/>
    <n v="1"/>
    <n v="1"/>
    <n v="2004"/>
    <x v="4"/>
    <n v="49"/>
    <n v="-4.3100000000000023"/>
    <x v="1222"/>
    <x v="3"/>
    <x v="44"/>
    <x v="0"/>
    <x v="0"/>
    <x v="0"/>
  </r>
  <r>
    <x v="28"/>
    <n v="45.69"/>
    <n v="1416.3899999999999"/>
    <x v="72"/>
    <x v="0"/>
    <n v="1"/>
    <n v="2"/>
    <n v="2004"/>
    <x v="4"/>
    <n v="49"/>
    <n v="-3.3100000000000023"/>
    <x v="1223"/>
    <x v="3"/>
    <x v="45"/>
    <x v="0"/>
    <x v="0"/>
    <x v="0"/>
  </r>
  <r>
    <x v="22"/>
    <n v="57.61"/>
    <n v="1843.52"/>
    <x v="232"/>
    <x v="0"/>
    <n v="2"/>
    <n v="5"/>
    <n v="2004"/>
    <x v="4"/>
    <n v="49"/>
    <n v="8.61"/>
    <x v="1224"/>
    <x v="0"/>
    <x v="12"/>
    <x v="0"/>
    <x v="0"/>
    <x v="0"/>
  </r>
  <r>
    <x v="15"/>
    <n v="57.11"/>
    <n v="1199.31"/>
    <x v="190"/>
    <x v="3"/>
    <n v="2"/>
    <n v="6"/>
    <n v="2004"/>
    <x v="4"/>
    <n v="49"/>
    <n v="8.11"/>
    <x v="1225"/>
    <x v="0"/>
    <x v="20"/>
    <x v="7"/>
    <x v="1"/>
    <x v="0"/>
  </r>
  <r>
    <x v="22"/>
    <n v="58.6"/>
    <n v="1875.2"/>
    <x v="75"/>
    <x v="0"/>
    <n v="3"/>
    <n v="7"/>
    <n v="2004"/>
    <x v="4"/>
    <n v="49"/>
    <n v="9.6000000000000014"/>
    <x v="1226"/>
    <x v="0"/>
    <x v="35"/>
    <x v="0"/>
    <x v="0"/>
    <x v="0"/>
  </r>
  <r>
    <x v="30"/>
    <n v="57.61"/>
    <n v="2477.23"/>
    <x v="76"/>
    <x v="0"/>
    <n v="3"/>
    <n v="8"/>
    <n v="2004"/>
    <x v="4"/>
    <n v="49"/>
    <n v="8.61"/>
    <x v="1224"/>
    <x v="0"/>
    <x v="47"/>
    <x v="10"/>
    <x v="0"/>
    <x v="0"/>
  </r>
  <r>
    <x v="15"/>
    <n v="45.19"/>
    <n v="948.99"/>
    <x v="192"/>
    <x v="0"/>
    <n v="3"/>
    <n v="9"/>
    <n v="2004"/>
    <x v="4"/>
    <n v="49"/>
    <n v="-3.8100000000000023"/>
    <x v="1227"/>
    <x v="3"/>
    <x v="71"/>
    <x v="16"/>
    <x v="1"/>
    <x v="0"/>
  </r>
  <r>
    <x v="1"/>
    <n v="53.63"/>
    <n v="1823.42"/>
    <x v="78"/>
    <x v="0"/>
    <n v="4"/>
    <n v="10"/>
    <n v="2004"/>
    <x v="4"/>
    <n v="49"/>
    <n v="4.6300000000000026"/>
    <x v="1228"/>
    <x v="0"/>
    <x v="24"/>
    <x v="0"/>
    <x v="0"/>
    <x v="0"/>
  </r>
  <r>
    <x v="1"/>
    <n v="43.7"/>
    <n v="1485.8000000000002"/>
    <x v="79"/>
    <x v="0"/>
    <n v="4"/>
    <n v="11"/>
    <n v="2004"/>
    <x v="4"/>
    <n v="49"/>
    <n v="-5.2999999999999972"/>
    <x v="1229"/>
    <x v="1"/>
    <x v="49"/>
    <x v="6"/>
    <x v="1"/>
    <x v="0"/>
  </r>
  <r>
    <x v="27"/>
    <n v="86.13"/>
    <n v="3789.72"/>
    <x v="19"/>
    <x v="0"/>
    <n v="4"/>
    <n v="11"/>
    <n v="2004"/>
    <x v="4"/>
    <n v="49"/>
    <n v="37.129999999999995"/>
    <x v="1230"/>
    <x v="0"/>
    <x v="0"/>
    <x v="0"/>
    <x v="0"/>
    <x v="1"/>
  </r>
  <r>
    <x v="26"/>
    <n v="76.31"/>
    <n v="2060.37"/>
    <x v="58"/>
    <x v="0"/>
    <n v="4"/>
    <n v="11"/>
    <n v="2004"/>
    <x v="4"/>
    <n v="49"/>
    <n v="27.310000000000002"/>
    <x v="1231"/>
    <x v="0"/>
    <x v="29"/>
    <x v="11"/>
    <x v="3"/>
    <x v="0"/>
  </r>
  <r>
    <x v="4"/>
    <n v="52.64"/>
    <n v="2579.36"/>
    <x v="195"/>
    <x v="0"/>
    <n v="4"/>
    <n v="12"/>
    <n v="2004"/>
    <x v="4"/>
    <n v="49"/>
    <n v="3.6400000000000006"/>
    <x v="1215"/>
    <x v="0"/>
    <x v="35"/>
    <x v="0"/>
    <x v="0"/>
    <x v="0"/>
  </r>
  <r>
    <x v="10"/>
    <n v="95.2"/>
    <n v="2189.6"/>
    <x v="21"/>
    <x v="0"/>
    <n v="4"/>
    <n v="12"/>
    <n v="2004"/>
    <x v="4"/>
    <n v="49"/>
    <n v="46.2"/>
    <x v="1232"/>
    <x v="0"/>
    <x v="17"/>
    <x v="3"/>
    <x v="2"/>
    <x v="0"/>
  </r>
  <r>
    <x v="32"/>
    <n v="64.97"/>
    <n v="1624.25"/>
    <x v="84"/>
    <x v="0"/>
    <n v="1"/>
    <n v="1"/>
    <n v="2005"/>
    <x v="4"/>
    <n v="49"/>
    <n v="15.969999999999999"/>
    <x v="1233"/>
    <x v="0"/>
    <x v="50"/>
    <x v="4"/>
    <x v="1"/>
    <x v="0"/>
  </r>
  <r>
    <x v="24"/>
    <n v="87.15"/>
    <n v="4357.5"/>
    <x v="196"/>
    <x v="5"/>
    <n v="1"/>
    <n v="3"/>
    <n v="2005"/>
    <x v="4"/>
    <n v="49"/>
    <n v="38.150000000000006"/>
    <x v="1234"/>
    <x v="0"/>
    <x v="20"/>
    <x v="7"/>
    <x v="1"/>
    <x v="1"/>
  </r>
  <r>
    <x v="1"/>
    <n v="40.22"/>
    <n v="1367.48"/>
    <x v="197"/>
    <x v="0"/>
    <n v="1"/>
    <n v="3"/>
    <n v="2005"/>
    <x v="4"/>
    <n v="49"/>
    <n v="-8.7800000000000011"/>
    <x v="1235"/>
    <x v="6"/>
    <x v="1"/>
    <x v="1"/>
    <x v="1"/>
    <x v="0"/>
  </r>
  <r>
    <x v="14"/>
    <n v="56.12"/>
    <n v="1122.3999999999999"/>
    <x v="87"/>
    <x v="0"/>
    <n v="2"/>
    <n v="4"/>
    <n v="2005"/>
    <x v="4"/>
    <n v="49"/>
    <n v="7.1199999999999974"/>
    <x v="1236"/>
    <x v="0"/>
    <x v="51"/>
    <x v="0"/>
    <x v="0"/>
    <x v="0"/>
  </r>
  <r>
    <x v="13"/>
    <n v="57.61"/>
    <n v="2419.62"/>
    <x v="234"/>
    <x v="1"/>
    <n v="2"/>
    <n v="5"/>
    <n v="2005"/>
    <x v="4"/>
    <n v="49"/>
    <n v="8.61"/>
    <x v="1224"/>
    <x v="0"/>
    <x v="70"/>
    <x v="3"/>
    <x v="2"/>
    <x v="0"/>
  </r>
  <r>
    <x v="32"/>
    <n v="56.78"/>
    <n v="1419.5"/>
    <x v="62"/>
    <x v="0"/>
    <n v="1"/>
    <n v="2"/>
    <n v="2003"/>
    <x v="5"/>
    <n v="54"/>
    <n v="2.7800000000000011"/>
    <x v="1237"/>
    <x v="0"/>
    <x v="40"/>
    <x v="13"/>
    <x v="1"/>
    <x v="0"/>
  </r>
  <r>
    <x v="24"/>
    <n v="43.68"/>
    <n v="2184"/>
    <x v="117"/>
    <x v="0"/>
    <n v="2"/>
    <n v="4"/>
    <n v="2003"/>
    <x v="5"/>
    <n v="54"/>
    <n v="-10.32"/>
    <x v="1238"/>
    <x v="6"/>
    <x v="22"/>
    <x v="9"/>
    <x v="2"/>
    <x v="0"/>
  </r>
  <r>
    <x v="22"/>
    <n v="64.97"/>
    <n v="2079.04"/>
    <x v="64"/>
    <x v="0"/>
    <n v="2"/>
    <n v="6"/>
    <n v="2003"/>
    <x v="5"/>
    <n v="54"/>
    <n v="10.969999999999999"/>
    <x v="1239"/>
    <x v="0"/>
    <x v="41"/>
    <x v="6"/>
    <x v="1"/>
    <x v="0"/>
  </r>
  <r>
    <x v="25"/>
    <n v="44.23"/>
    <n v="1724.9699999999998"/>
    <x v="119"/>
    <x v="0"/>
    <n v="3"/>
    <n v="8"/>
    <n v="2003"/>
    <x v="5"/>
    <n v="54"/>
    <n v="-9.7700000000000031"/>
    <x v="1240"/>
    <x v="6"/>
    <x v="33"/>
    <x v="0"/>
    <x v="0"/>
    <x v="0"/>
  </r>
  <r>
    <x v="24"/>
    <n v="60.06"/>
    <n v="3003"/>
    <x v="120"/>
    <x v="0"/>
    <n v="3"/>
    <n v="9"/>
    <n v="2003"/>
    <x v="5"/>
    <n v="54"/>
    <n v="6.0600000000000023"/>
    <x v="926"/>
    <x v="0"/>
    <x v="20"/>
    <x v="7"/>
    <x v="1"/>
    <x v="1"/>
  </r>
  <r>
    <x v="19"/>
    <n v="48.59"/>
    <n v="1846.42"/>
    <x v="67"/>
    <x v="3"/>
    <n v="4"/>
    <n v="10"/>
    <n v="2003"/>
    <x v="5"/>
    <n v="54"/>
    <n v="-5.4099999999999966"/>
    <x v="1241"/>
    <x v="3"/>
    <x v="31"/>
    <x v="8"/>
    <x v="1"/>
    <x v="0"/>
  </r>
  <r>
    <x v="23"/>
    <n v="50.23"/>
    <n v="2009.1999999999998"/>
    <x v="219"/>
    <x v="0"/>
    <n v="4"/>
    <n v="11"/>
    <n v="2003"/>
    <x v="5"/>
    <n v="54"/>
    <n v="-3.7700000000000031"/>
    <x v="1242"/>
    <x v="3"/>
    <x v="20"/>
    <x v="7"/>
    <x v="1"/>
    <x v="0"/>
  </r>
  <r>
    <x v="11"/>
    <n v="64.430000000000007"/>
    <n v="1804.0400000000002"/>
    <x v="69"/>
    <x v="0"/>
    <n v="4"/>
    <n v="11"/>
    <n v="2003"/>
    <x v="5"/>
    <n v="54"/>
    <n v="10.430000000000007"/>
    <x v="1243"/>
    <x v="0"/>
    <x v="18"/>
    <x v="0"/>
    <x v="0"/>
    <x v="0"/>
  </r>
  <r>
    <x v="13"/>
    <n v="50.23"/>
    <n v="2109.66"/>
    <x v="70"/>
    <x v="0"/>
    <n v="4"/>
    <n v="11"/>
    <n v="2003"/>
    <x v="5"/>
    <n v="54"/>
    <n v="-3.7700000000000031"/>
    <x v="1242"/>
    <x v="3"/>
    <x v="43"/>
    <x v="7"/>
    <x v="1"/>
    <x v="0"/>
  </r>
  <r>
    <x v="13"/>
    <n v="63.88"/>
    <n v="2682.96"/>
    <x v="122"/>
    <x v="0"/>
    <n v="1"/>
    <n v="1"/>
    <n v="2004"/>
    <x v="5"/>
    <n v="54"/>
    <n v="9.8800000000000026"/>
    <x v="1244"/>
    <x v="0"/>
    <x v="25"/>
    <x v="1"/>
    <x v="1"/>
    <x v="0"/>
  </r>
  <r>
    <x v="5"/>
    <n v="63.34"/>
    <n v="2280.2400000000002"/>
    <x v="72"/>
    <x v="0"/>
    <n v="1"/>
    <n v="2"/>
    <n v="2004"/>
    <x v="5"/>
    <n v="54"/>
    <n v="9.3400000000000034"/>
    <x v="1245"/>
    <x v="0"/>
    <x v="45"/>
    <x v="0"/>
    <x v="0"/>
    <x v="0"/>
  </r>
  <r>
    <x v="16"/>
    <n v="49.69"/>
    <n v="1192.56"/>
    <x v="221"/>
    <x v="0"/>
    <n v="1"/>
    <n v="3"/>
    <n v="2004"/>
    <x v="5"/>
    <n v="54"/>
    <n v="-4.3100000000000023"/>
    <x v="1246"/>
    <x v="3"/>
    <x v="49"/>
    <x v="6"/>
    <x v="1"/>
    <x v="0"/>
  </r>
  <r>
    <x v="10"/>
    <n v="65.52"/>
    <n v="1506.9599999999998"/>
    <x v="73"/>
    <x v="3"/>
    <n v="2"/>
    <n v="5"/>
    <n v="2004"/>
    <x v="5"/>
    <n v="54"/>
    <n v="11.519999999999996"/>
    <x v="493"/>
    <x v="0"/>
    <x v="0"/>
    <x v="0"/>
    <x v="0"/>
    <x v="0"/>
  </r>
  <r>
    <x v="6"/>
    <n v="50.78"/>
    <n v="1472.6200000000001"/>
    <x v="74"/>
    <x v="0"/>
    <n v="2"/>
    <n v="6"/>
    <n v="2004"/>
    <x v="5"/>
    <n v="54"/>
    <n v="-3.2199999999999989"/>
    <x v="1247"/>
    <x v="3"/>
    <x v="37"/>
    <x v="10"/>
    <x v="0"/>
    <x v="0"/>
  </r>
  <r>
    <x v="9"/>
    <n v="45.86"/>
    <n v="1696.82"/>
    <x v="75"/>
    <x v="0"/>
    <n v="3"/>
    <n v="7"/>
    <n v="2004"/>
    <x v="5"/>
    <n v="54"/>
    <n v="-8.14"/>
    <x v="1248"/>
    <x v="1"/>
    <x v="46"/>
    <x v="14"/>
    <x v="1"/>
    <x v="0"/>
  </r>
  <r>
    <x v="29"/>
    <n v="51.32"/>
    <n v="1693.56"/>
    <x v="76"/>
    <x v="0"/>
    <n v="3"/>
    <n v="8"/>
    <n v="2004"/>
    <x v="5"/>
    <n v="54"/>
    <n v="-2.6799999999999997"/>
    <x v="1249"/>
    <x v="4"/>
    <x v="47"/>
    <x v="10"/>
    <x v="0"/>
    <x v="0"/>
  </r>
  <r>
    <x v="22"/>
    <n v="60.06"/>
    <n v="1921.92"/>
    <x v="127"/>
    <x v="0"/>
    <n v="3"/>
    <n v="9"/>
    <n v="2004"/>
    <x v="5"/>
    <n v="54"/>
    <n v="6.0600000000000023"/>
    <x v="926"/>
    <x v="0"/>
    <x v="30"/>
    <x v="12"/>
    <x v="1"/>
    <x v="0"/>
  </r>
  <r>
    <x v="21"/>
    <n v="59.51"/>
    <n v="2082.85"/>
    <x v="78"/>
    <x v="0"/>
    <n v="4"/>
    <n v="10"/>
    <n v="2004"/>
    <x v="5"/>
    <n v="54"/>
    <n v="5.509999999999998"/>
    <x v="1250"/>
    <x v="0"/>
    <x v="61"/>
    <x v="6"/>
    <x v="1"/>
    <x v="0"/>
  </r>
  <r>
    <x v="23"/>
    <n v="55.69"/>
    <n v="2227.6"/>
    <x v="237"/>
    <x v="0"/>
    <n v="4"/>
    <n v="10"/>
    <n v="2004"/>
    <x v="5"/>
    <n v="54"/>
    <n v="1.6899999999999977"/>
    <x v="1251"/>
    <x v="0"/>
    <x v="11"/>
    <x v="1"/>
    <x v="1"/>
    <x v="0"/>
  </r>
  <r>
    <x v="9"/>
    <n v="86.74"/>
    <n v="3209.3799999999997"/>
    <x v="193"/>
    <x v="5"/>
    <n v="4"/>
    <n v="11"/>
    <n v="2004"/>
    <x v="5"/>
    <n v="54"/>
    <n v="32.739999999999995"/>
    <x v="1252"/>
    <x v="0"/>
    <x v="40"/>
    <x v="13"/>
    <x v="1"/>
    <x v="1"/>
  </r>
  <r>
    <x v="13"/>
    <n v="97.16"/>
    <n v="4080.72"/>
    <x v="81"/>
    <x v="0"/>
    <n v="4"/>
    <n v="11"/>
    <n v="2004"/>
    <x v="5"/>
    <n v="54"/>
    <n v="43.16"/>
    <x v="1253"/>
    <x v="0"/>
    <x v="0"/>
    <x v="0"/>
    <x v="0"/>
    <x v="1"/>
  </r>
  <r>
    <x v="14"/>
    <n v="100"/>
    <n v="2000"/>
    <x v="82"/>
    <x v="0"/>
    <n v="4"/>
    <n v="12"/>
    <n v="2004"/>
    <x v="5"/>
    <n v="54"/>
    <n v="46"/>
    <x v="934"/>
    <x v="0"/>
    <x v="20"/>
    <x v="7"/>
    <x v="1"/>
    <x v="0"/>
  </r>
  <r>
    <x v="6"/>
    <n v="100"/>
    <n v="2900"/>
    <x v="84"/>
    <x v="0"/>
    <n v="1"/>
    <n v="1"/>
    <n v="2005"/>
    <x v="5"/>
    <n v="54"/>
    <n v="46"/>
    <x v="934"/>
    <x v="0"/>
    <x v="50"/>
    <x v="4"/>
    <x v="1"/>
    <x v="1"/>
  </r>
  <r>
    <x v="30"/>
    <n v="100"/>
    <n v="4300"/>
    <x v="196"/>
    <x v="5"/>
    <n v="1"/>
    <n v="3"/>
    <n v="2005"/>
    <x v="5"/>
    <n v="54"/>
    <n v="46"/>
    <x v="934"/>
    <x v="0"/>
    <x v="20"/>
    <x v="7"/>
    <x v="1"/>
    <x v="1"/>
  </r>
  <r>
    <x v="1"/>
    <n v="62.24"/>
    <n v="2116.16"/>
    <x v="250"/>
    <x v="0"/>
    <n v="1"/>
    <n v="3"/>
    <n v="2005"/>
    <x v="5"/>
    <n v="54"/>
    <n v="8.240000000000002"/>
    <x v="1254"/>
    <x v="0"/>
    <x v="42"/>
    <x v="1"/>
    <x v="1"/>
    <x v="0"/>
  </r>
  <r>
    <x v="20"/>
    <n v="65.52"/>
    <n v="3079.4399999999996"/>
    <x v="88"/>
    <x v="4"/>
    <n v="2"/>
    <n v="5"/>
    <n v="2005"/>
    <x v="5"/>
    <n v="54"/>
    <n v="11.519999999999996"/>
    <x v="493"/>
    <x v="0"/>
    <x v="48"/>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DC4E2-7D43-4330-8467-8A68EF4A5D1F}"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N4:AN5" firstHeaderRow="1" firstDataRow="1" firstDataCol="0"/>
  <pivotFields count="20">
    <pivotField showAll="0"/>
    <pivotField dataField="1" numFmtId="1"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items count="1256">
        <item x="543"/>
        <item x="644"/>
        <item x="692"/>
        <item x="915"/>
        <item x="544"/>
        <item x="830"/>
        <item x="645"/>
        <item x="1017"/>
        <item x="832"/>
        <item x="586"/>
        <item x="547"/>
        <item x="916"/>
        <item x="436"/>
        <item x="587"/>
        <item x="1232"/>
        <item x="1015"/>
        <item x="1014"/>
        <item x="132"/>
        <item x="829"/>
        <item x="130"/>
        <item x="934"/>
        <item x="1253"/>
        <item x="1234"/>
        <item x="514"/>
        <item x="1230"/>
        <item x="494"/>
        <item x="1039"/>
        <item x="497"/>
        <item x="127"/>
        <item x="184"/>
        <item x="740"/>
        <item x="211"/>
        <item x="281"/>
        <item x="498"/>
        <item x="1252"/>
        <item x="956"/>
        <item x="437"/>
        <item x="976"/>
        <item x="1231"/>
        <item x="590"/>
        <item x="759"/>
        <item x="757"/>
        <item x="1016"/>
        <item x="1073"/>
        <item x="664"/>
        <item x="609"/>
        <item x="381"/>
        <item x="812"/>
        <item x="454"/>
        <item x="182"/>
        <item x="862"/>
        <item x="476"/>
        <item x="955"/>
        <item x="129"/>
        <item x="1211"/>
        <item x="1138"/>
        <item x="1233"/>
        <item x="566"/>
        <item x="158"/>
        <item x="73"/>
        <item x="346"/>
        <item x="860"/>
        <item x="565"/>
        <item x="1058"/>
        <item x="936"/>
        <item x="571"/>
        <item x="479"/>
        <item x="493"/>
        <item x="878"/>
        <item x="631"/>
        <item x="973"/>
        <item x="179"/>
        <item x="991"/>
        <item x="656"/>
        <item x="1005"/>
        <item x="517"/>
        <item x="910"/>
        <item x="483"/>
        <item x="793"/>
        <item x="683"/>
        <item x="799"/>
        <item x="981"/>
        <item x="1239"/>
        <item x="941"/>
        <item x="554"/>
        <item x="456"/>
        <item x="122"/>
        <item x="155"/>
        <item x="1158"/>
        <item x="657"/>
        <item x="471"/>
        <item x="432"/>
        <item x="336"/>
        <item x="1226"/>
        <item x="746"/>
        <item x="989"/>
        <item x="1243"/>
        <item x="880"/>
        <item x="640"/>
        <item x="1072"/>
        <item x="1024"/>
        <item x="176"/>
        <item x="220"/>
        <item x="156"/>
        <item x="653"/>
        <item x="265"/>
        <item x="509"/>
        <item x="848"/>
        <item x="335"/>
        <item x="1045"/>
        <item x="200"/>
        <item x="1124"/>
        <item x="607"/>
        <item x="74"/>
        <item x="756"/>
        <item x="1244"/>
        <item x="922"/>
        <item x="869"/>
        <item x="1032"/>
        <item x="959"/>
        <item x="226"/>
        <item x="1214"/>
        <item x="149"/>
        <item x="1169"/>
        <item x="850"/>
        <item x="1001"/>
        <item x="222"/>
        <item x="723"/>
        <item x="1224"/>
        <item x="202"/>
        <item x="448"/>
        <item x="608"/>
        <item x="988"/>
        <item x="681"/>
        <item x="370"/>
        <item x="1245"/>
        <item x="923"/>
        <item x="873"/>
        <item x="1074"/>
        <item x="66"/>
        <item x="965"/>
        <item x="1207"/>
        <item x="457"/>
        <item x="1213"/>
        <item x="1002"/>
        <item x="433"/>
        <item x="485"/>
        <item x="1225"/>
        <item x="203"/>
        <item x="595"/>
        <item x="986"/>
        <item x="293"/>
        <item x="924"/>
        <item x="641"/>
        <item x="1060"/>
        <item x="1197"/>
        <item x="172"/>
        <item x="858"/>
        <item x="541"/>
        <item x="1049"/>
        <item x="199"/>
        <item x="600"/>
        <item x="678"/>
        <item x="558"/>
        <item x="1254"/>
        <item x="871"/>
        <item x="632"/>
        <item x="1065"/>
        <item x="977"/>
        <item x="1027"/>
        <item x="578"/>
        <item x="1196"/>
        <item x="1162"/>
        <item x="146"/>
        <item x="410"/>
        <item x="266"/>
        <item x="531"/>
        <item x="482"/>
        <item x="1236"/>
        <item x="196"/>
        <item x="1132"/>
        <item x="443"/>
        <item x="729"/>
        <item x="811"/>
        <item x="984"/>
        <item x="940"/>
        <item x="564"/>
        <item x="690"/>
        <item x="1064"/>
        <item x="69"/>
        <item x="969"/>
        <item x="297"/>
        <item x="282"/>
        <item x="717"/>
        <item x="435"/>
        <item x="906"/>
        <item x="702"/>
        <item x="489"/>
        <item x="444"/>
        <item x="801"/>
        <item x="749"/>
        <item x="688"/>
        <item x="628"/>
        <item x="59"/>
        <item x="1067"/>
        <item x="1031"/>
        <item x="168"/>
        <item x="268"/>
        <item x="1091"/>
        <item x="465"/>
        <item x="854"/>
        <item x="1011"/>
        <item x="537"/>
        <item x="1131"/>
        <item x="728"/>
        <item x="810"/>
        <item x="379"/>
        <item x="744"/>
        <item x="935"/>
        <item x="974"/>
        <item x="1198"/>
        <item x="287"/>
        <item x="574"/>
        <item x="403"/>
        <item x="1040"/>
        <item x="901"/>
        <item x="695"/>
        <item x="535"/>
        <item x="737"/>
        <item x="592"/>
        <item x="917"/>
        <item x="754"/>
        <item x="128"/>
        <item x="926"/>
        <item x="709"/>
        <item x="790"/>
        <item x="646"/>
        <item x="616"/>
        <item x="1028"/>
        <item x="150"/>
        <item x="661"/>
        <item x="277"/>
        <item x="714"/>
        <item x="1106"/>
        <item x="1013"/>
        <item x="1054"/>
        <item x="598"/>
        <item x="807"/>
        <item x="369"/>
        <item x="751"/>
        <item x="550"/>
        <item x="1250"/>
        <item x="876"/>
        <item x="789"/>
        <item x="1034"/>
        <item x="294"/>
        <item x="546"/>
        <item x="581"/>
        <item x="1076"/>
        <item x="117"/>
        <item x="647"/>
        <item x="270"/>
        <item x="1095"/>
        <item x="467"/>
        <item x="1057"/>
        <item x="1228"/>
        <item x="1129"/>
        <item x="603"/>
        <item x="364"/>
        <item x="549"/>
        <item x="952"/>
        <item x="684"/>
        <item x="866"/>
        <item x="775"/>
        <item x="630"/>
        <item x="233"/>
        <item x="153"/>
        <item x="1165"/>
        <item x="580"/>
        <item x="125"/>
        <item x="659"/>
        <item x="272"/>
        <item x="393"/>
        <item x="851"/>
        <item x="900"/>
        <item x="1110"/>
        <item x="338"/>
        <item x="491"/>
        <item x="727"/>
        <item x="1079"/>
        <item x="197"/>
        <item x="367"/>
        <item x="982"/>
        <item x="752"/>
        <item x="302"/>
        <item x="783"/>
        <item x="1069"/>
        <item x="970"/>
        <item x="234"/>
        <item x="1159"/>
        <item x="583"/>
        <item x="815"/>
        <item x="849"/>
        <item x="424"/>
        <item x="694"/>
        <item x="1105"/>
        <item x="214"/>
        <item x="530"/>
        <item x="1007"/>
        <item x="331"/>
        <item x="1215"/>
        <item x="730"/>
        <item x="447"/>
        <item x="596"/>
        <item x="802"/>
        <item x="814"/>
        <item x="954"/>
        <item x="978"/>
        <item x="753"/>
        <item x="932"/>
        <item x="686"/>
        <item x="879"/>
        <item x="567"/>
        <item x="1059"/>
        <item x="823"/>
        <item x="960"/>
        <item x="1030"/>
        <item x="619"/>
        <item x="232"/>
        <item x="143"/>
        <item x="651"/>
        <item x="1099"/>
        <item x="458"/>
        <item x="429"/>
        <item x="1109"/>
        <item x="545"/>
        <item x="496"/>
        <item x="480"/>
        <item x="1127"/>
        <item x="450"/>
        <item x="1221"/>
        <item x="732"/>
        <item x="803"/>
        <item x="938"/>
        <item x="979"/>
        <item x="750"/>
        <item x="643"/>
        <item x="833"/>
        <item x="71"/>
        <item x="1038"/>
        <item x="395"/>
        <item x="238"/>
        <item x="186"/>
        <item x="404"/>
        <item x="126"/>
        <item x="703"/>
        <item x="908"/>
        <item x="1010"/>
        <item x="484"/>
        <item x="1133"/>
        <item x="809"/>
        <item x="4"/>
        <item x="560"/>
        <item x="758"/>
        <item x="1237"/>
        <item x="685"/>
        <item x="785"/>
        <item x="65"/>
        <item x="621"/>
        <item x="177"/>
        <item x="660"/>
        <item x="279"/>
        <item x="466"/>
        <item x="855"/>
        <item x="511"/>
        <item x="1102"/>
        <item x="1137"/>
        <item x="597"/>
        <item x="1220"/>
        <item x="368"/>
        <item x="950"/>
        <item x="882"/>
        <item x="691"/>
        <item x="874"/>
        <item x="782"/>
        <item x="1037"/>
        <item x="286"/>
        <item x="625"/>
        <item x="171"/>
        <item x="415"/>
        <item x="582"/>
        <item x="264"/>
        <item x="7"/>
        <item x="115"/>
        <item x="461"/>
        <item x="434"/>
        <item x="853"/>
        <item x="538"/>
        <item x="696"/>
        <item x="243"/>
        <item x="665"/>
        <item x="1042"/>
        <item x="334"/>
        <item x="1130"/>
        <item x="452"/>
        <item x="725"/>
        <item x="798"/>
        <item x="1218"/>
        <item x="198"/>
        <item x="75"/>
        <item x="1139"/>
        <item x="944"/>
        <item x="919"/>
        <item x="1251"/>
        <item x="839"/>
        <item x="820"/>
        <item x="781"/>
        <item x="638"/>
        <item x="1199"/>
        <item x="63"/>
        <item x="396"/>
        <item x="881"/>
        <item x="1160"/>
        <item x="145"/>
        <item x="228"/>
        <item x="180"/>
        <item x="412"/>
        <item x="161"/>
        <item x="573"/>
        <item x="652"/>
        <item x="274"/>
        <item x="120"/>
        <item x="1094"/>
        <item x="468"/>
        <item x="512"/>
        <item x="223"/>
        <item x="913"/>
        <item x="1043"/>
        <item x="1168"/>
        <item x="453"/>
        <item x="610"/>
        <item x="734"/>
        <item x="804"/>
        <item x="204"/>
        <item x="891"/>
        <item x="939"/>
        <item x="927"/>
        <item x="825"/>
        <item x="1210"/>
        <item x="292"/>
        <item x="210"/>
        <item x="157"/>
        <item x="231"/>
        <item x="174"/>
        <item x="654"/>
        <item x="5"/>
        <item x="276"/>
        <item x="1093"/>
        <item x="462"/>
        <item x="700"/>
        <item x="1104"/>
        <item x="217"/>
        <item x="760"/>
        <item x="332"/>
        <item x="1012"/>
        <item x="445"/>
        <item x="884"/>
        <item x="877"/>
        <item x="779"/>
        <item x="401"/>
        <item x="1075"/>
        <item x="347"/>
        <item x="966"/>
        <item x="1041"/>
        <item x="1164"/>
        <item x="235"/>
        <item x="411"/>
        <item x="301"/>
        <item x="572"/>
        <item x="0"/>
        <item x="1118"/>
        <item x="1097"/>
        <item x="121"/>
        <item x="857"/>
        <item x="1107"/>
        <item x="532"/>
        <item x="902"/>
        <item x="341"/>
        <item x="1046"/>
        <item x="843"/>
        <item x="736"/>
        <item x="1082"/>
        <item x="816"/>
        <item x="1219"/>
        <item x="883"/>
        <item x="201"/>
        <item x="928"/>
        <item x="821"/>
        <item x="1202"/>
        <item x="786"/>
        <item x="319"/>
        <item x="894"/>
        <item x="417"/>
        <item x="655"/>
        <item x="2"/>
        <item x="721"/>
        <item x="131"/>
        <item x="460"/>
        <item x="423"/>
        <item x="905"/>
        <item x="693"/>
        <item x="1048"/>
        <item x="205"/>
        <item x="552"/>
        <item x="992"/>
        <item x="826"/>
        <item x="254"/>
        <item x="682"/>
        <item x="1071"/>
        <item x="972"/>
        <item x="1026"/>
        <item x="175"/>
        <item x="416"/>
        <item x="649"/>
        <item x="470"/>
        <item x="852"/>
        <item x="428"/>
        <item x="909"/>
        <item x="706"/>
        <item x="1108"/>
        <item x="224"/>
        <item x="340"/>
        <item x="937"/>
        <item x="731"/>
        <item x="487"/>
        <item x="446"/>
        <item x="1084"/>
        <item x="1216"/>
        <item x="948"/>
        <item x="1148"/>
        <item x="761"/>
        <item x="827"/>
        <item x="1203"/>
        <item x="102"/>
        <item x="397"/>
        <item x="296"/>
        <item x="67"/>
        <item x="1063"/>
        <item x="961"/>
        <item x="1035"/>
        <item x="620"/>
        <item x="237"/>
        <item x="321"/>
        <item x="8"/>
        <item x="103"/>
        <item x="711"/>
        <item x="1092"/>
        <item x="1140"/>
        <item x="124"/>
        <item x="707"/>
        <item x="1115"/>
        <item x="330"/>
        <item x="1056"/>
        <item x="1126"/>
        <item x="1085"/>
        <item x="478"/>
        <item x="800"/>
        <item x="958"/>
        <item x="555"/>
        <item x="356"/>
        <item x="983"/>
        <item x="748"/>
        <item x="391"/>
        <item x="285"/>
        <item x="777"/>
        <item x="154"/>
        <item x="70"/>
        <item x="1062"/>
        <item x="968"/>
        <item x="677"/>
        <item x="622"/>
        <item x="227"/>
        <item x="284"/>
        <item x="472"/>
        <item x="118"/>
        <item x="510"/>
        <item x="704"/>
        <item x="1193"/>
        <item x="1088"/>
        <item x="605"/>
        <item x="738"/>
        <item x="626"/>
        <item x="1179"/>
        <item x="1185"/>
        <item x="207"/>
        <item x="951"/>
        <item x="920"/>
        <item x="350"/>
        <item x="1175"/>
        <item x="304"/>
        <item x="996"/>
        <item x="1205"/>
        <item x="299"/>
        <item x="148"/>
        <item x="774"/>
        <item x="971"/>
        <item x="679"/>
        <item x="899"/>
        <item x="173"/>
        <item x="406"/>
        <item x="320"/>
        <item x="658"/>
        <item x="713"/>
        <item x="463"/>
        <item x="914"/>
        <item x="534"/>
        <item x="705"/>
        <item x="1103"/>
        <item x="337"/>
        <item x="1051"/>
        <item x="1004"/>
        <item x="1134"/>
        <item x="601"/>
        <item x="797"/>
        <item x="481"/>
        <item x="1114"/>
        <item x="260"/>
        <item x="378"/>
        <item x="382"/>
        <item x="349"/>
        <item x="819"/>
        <item x="1201"/>
        <item x="1249"/>
        <item x="291"/>
        <item x="1157"/>
        <item x="639"/>
        <item x="1068"/>
        <item x="61"/>
        <item x="1036"/>
        <item x="962"/>
        <item x="183"/>
        <item x="893"/>
        <item x="402"/>
        <item x="383"/>
        <item x="273"/>
        <item x="113"/>
        <item x="422"/>
        <item x="699"/>
        <item x="529"/>
        <item x="612"/>
        <item x="842"/>
        <item x="449"/>
        <item x="602"/>
        <item x="490"/>
        <item x="1184"/>
        <item x="372"/>
        <item x="987"/>
        <item x="1247"/>
        <item x="390"/>
        <item x="1166"/>
        <item x="144"/>
        <item x="875"/>
        <item x="776"/>
        <item x="637"/>
        <item x="1070"/>
        <item x="68"/>
        <item x="892"/>
        <item x="1113"/>
        <item x="275"/>
        <item x="662"/>
        <item x="576"/>
        <item x="107"/>
        <item x="716"/>
        <item x="1096"/>
        <item x="305"/>
        <item x="763"/>
        <item x="1000"/>
        <item x="841"/>
        <item x="739"/>
        <item x="492"/>
        <item x="109"/>
        <item x="1223"/>
        <item x="773"/>
        <item x="325"/>
        <item x="392"/>
        <item x="1242"/>
        <item x="724"/>
        <item x="1156"/>
        <item x="788"/>
        <item x="62"/>
        <item x="618"/>
        <item x="236"/>
        <item x="687"/>
        <item x="263"/>
        <item x="1090"/>
        <item x="114"/>
        <item x="342"/>
        <item x="1044"/>
        <item x="1141"/>
        <item x="599"/>
        <item x="1083"/>
        <item x="1190"/>
        <item x="258"/>
        <item x="488"/>
        <item x="376"/>
        <item x="1227"/>
        <item x="561"/>
        <item x="357"/>
        <item x="1174"/>
        <item x="1180"/>
        <item x="764"/>
        <item x="1208"/>
        <item x="289"/>
        <item x="1246"/>
        <item x="1163"/>
        <item x="784"/>
        <item x="1022"/>
        <item x="967"/>
        <item x="324"/>
        <item x="519"/>
        <item x="1120"/>
        <item x="123"/>
        <item x="912"/>
        <item x="219"/>
        <item x="542"/>
        <item x="329"/>
        <item x="1123"/>
        <item x="1080"/>
        <item x="112"/>
        <item x="890"/>
        <item x="1187"/>
        <item x="946"/>
        <item x="1222"/>
        <item x="557"/>
        <item x="1172"/>
        <item x="831"/>
        <item x="745"/>
        <item x="633"/>
        <item x="1061"/>
        <item x="963"/>
        <item x="668"/>
        <item x="6"/>
        <item x="712"/>
        <item x="469"/>
        <item x="312"/>
        <item x="430"/>
        <item x="697"/>
        <item x="221"/>
        <item x="522"/>
        <item x="1077"/>
        <item x="808"/>
        <item x="886"/>
        <item x="1189"/>
        <item x="256"/>
        <item x="377"/>
        <item x="553"/>
        <item x="355"/>
        <item x="929"/>
        <item x="195"/>
        <item x="824"/>
        <item x="769"/>
        <item x="985"/>
        <item x="1241"/>
        <item x="1087"/>
        <item x="642"/>
        <item x="1033"/>
        <item x="624"/>
        <item x="689"/>
        <item x="170"/>
        <item x="327"/>
        <item x="650"/>
        <item x="104"/>
        <item x="1119"/>
        <item x="846"/>
        <item x="772"/>
        <item x="584"/>
        <item x="427"/>
        <item x="539"/>
        <item x="903"/>
        <item x="1053"/>
        <item x="1177"/>
        <item x="840"/>
        <item x="1125"/>
        <item x="524"/>
        <item x="455"/>
        <item x="593"/>
        <item x="1006"/>
        <item x="887"/>
        <item x="500"/>
        <item x="255"/>
        <item x="1229"/>
        <item x="208"/>
        <item x="399"/>
        <item x="225"/>
        <item x="77"/>
        <item x="865"/>
        <item x="634"/>
        <item x="623"/>
        <item x="244"/>
        <item x="409"/>
        <item x="322"/>
        <item x="611"/>
        <item x="1117"/>
        <item x="1100"/>
        <item x="477"/>
        <item x="847"/>
        <item x="536"/>
        <item x="904"/>
        <item x="333"/>
        <item x="1047"/>
        <item x="523"/>
        <item x="594"/>
        <item x="806"/>
        <item x="1009"/>
        <item x="257"/>
        <item x="375"/>
        <item x="499"/>
        <item x="551"/>
        <item x="945"/>
        <item x="918"/>
        <item x="353"/>
        <item x="1173"/>
        <item x="1145"/>
        <item x="209"/>
        <item x="994"/>
        <item x="398"/>
        <item x="160"/>
        <item x="762"/>
        <item x="863"/>
        <item x="872"/>
        <item x="787"/>
        <item x="72"/>
        <item x="975"/>
        <item x="242"/>
        <item x="648"/>
        <item x="3"/>
        <item x="1122"/>
        <item x="106"/>
        <item x="720"/>
        <item x="501"/>
        <item x="540"/>
        <item x="1191"/>
        <item x="339"/>
        <item x="1055"/>
        <item x="525"/>
        <item x="813"/>
        <item x="889"/>
        <item x="259"/>
        <item x="371"/>
        <item x="351"/>
        <item x="1146"/>
        <item x="1206"/>
        <item x="288"/>
        <item x="151"/>
        <item x="84"/>
        <item x="780"/>
        <item x="613"/>
        <item x="241"/>
        <item x="413"/>
        <item x="675"/>
        <item x="861"/>
        <item x="663"/>
        <item x="269"/>
        <item x="742"/>
        <item x="710"/>
        <item x="306"/>
        <item x="579"/>
        <item x="856"/>
        <item x="425"/>
        <item x="508"/>
        <item x="1135"/>
        <item x="520"/>
        <item x="735"/>
        <item x="441"/>
        <item x="604"/>
        <item x="1081"/>
        <item x="888"/>
        <item x="1182"/>
        <item x="261"/>
        <item x="380"/>
        <item x="90"/>
        <item x="562"/>
        <item x="943"/>
        <item x="931"/>
        <item x="1176"/>
        <item x="1144"/>
        <item x="828"/>
        <item x="767"/>
        <item x="1200"/>
        <item x="295"/>
        <item x="747"/>
        <item x="864"/>
        <item x="629"/>
        <item x="76"/>
        <item x="1025"/>
        <item x="964"/>
        <item x="230"/>
        <item x="408"/>
        <item x="1"/>
        <item x="105"/>
        <item x="715"/>
        <item x="307"/>
        <item x="464"/>
        <item x="1019"/>
        <item x="503"/>
        <item x="585"/>
        <item x="426"/>
        <item x="91"/>
        <item x="215"/>
        <item x="49"/>
        <item x="328"/>
        <item x="451"/>
        <item x="591"/>
        <item x="1078"/>
        <item x="50"/>
        <item x="1003"/>
        <item x="374"/>
        <item x="947"/>
        <item x="354"/>
        <item x="921"/>
        <item x="1143"/>
        <item x="1217"/>
        <item x="85"/>
        <item x="822"/>
        <item x="765"/>
        <item x="993"/>
        <item x="290"/>
        <item x="159"/>
        <item x="1248"/>
        <item x="636"/>
        <item x="1023"/>
        <item x="178"/>
        <item x="407"/>
        <item x="15"/>
        <item x="326"/>
        <item x="1121"/>
        <item x="13"/>
        <item x="667"/>
        <item x="108"/>
        <item x="859"/>
        <item x="513"/>
        <item x="698"/>
        <item x="94"/>
        <item x="218"/>
        <item x="1151"/>
        <item x="1052"/>
        <item x="78"/>
        <item x="670"/>
        <item x="885"/>
        <item x="1181"/>
        <item x="373"/>
        <item x="836"/>
        <item x="933"/>
        <item x="817"/>
        <item x="770"/>
        <item x="1204"/>
        <item x="995"/>
        <item x="303"/>
        <item x="152"/>
        <item x="1161"/>
        <item x="980"/>
        <item x="868"/>
        <item x="1029"/>
        <item x="169"/>
        <item x="676"/>
        <item x="271"/>
        <item x="1116"/>
        <item x="718"/>
        <item x="1098"/>
        <item x="313"/>
        <item x="502"/>
        <item x="577"/>
        <item x="93"/>
        <item x="344"/>
        <item x="119"/>
        <item x="805"/>
        <item x="1186"/>
        <item x="563"/>
        <item x="348"/>
        <item x="495"/>
        <item x="997"/>
        <item x="1194"/>
        <item x="755"/>
        <item x="870"/>
        <item x="617"/>
        <item x="229"/>
        <item x="896"/>
        <item x="475"/>
        <item x="386"/>
        <item x="680"/>
        <item x="53"/>
        <item x="419"/>
        <item x="309"/>
        <item x="459"/>
        <item x="1018"/>
        <item x="533"/>
        <item x="575"/>
        <item x="907"/>
        <item x="216"/>
        <item x="1050"/>
        <item x="79"/>
        <item x="726"/>
        <item x="674"/>
        <item x="666"/>
        <item x="1188"/>
        <item x="253"/>
        <item x="1008"/>
        <item x="834"/>
        <item x="559"/>
        <item x="942"/>
        <item x="185"/>
        <item x="486"/>
        <item x="1235"/>
        <item x="766"/>
        <item x="420"/>
        <item x="206"/>
        <item x="394"/>
        <item x="1149"/>
        <item x="147"/>
        <item x="1170"/>
        <item x="52"/>
        <item x="898"/>
        <item x="187"/>
        <item x="1240"/>
        <item x="778"/>
        <item x="64"/>
        <item x="1066"/>
        <item x="615"/>
        <item x="239"/>
        <item x="1101"/>
        <item x="181"/>
        <item x="414"/>
        <item x="384"/>
        <item x="14"/>
        <item x="278"/>
        <item x="1089"/>
        <item x="308"/>
        <item x="474"/>
        <item x="505"/>
        <item x="189"/>
        <item x="911"/>
        <item x="548"/>
        <item x="1152"/>
        <item x="116"/>
        <item x="844"/>
        <item x="1136"/>
        <item x="518"/>
        <item x="442"/>
        <item x="606"/>
        <item x="366"/>
        <item x="556"/>
        <item x="953"/>
        <item x="930"/>
        <item x="1171"/>
        <item x="1142"/>
        <item x="86"/>
        <item x="768"/>
        <item x="818"/>
        <item x="212"/>
        <item x="743"/>
        <item x="1238"/>
        <item x="867"/>
        <item x="635"/>
        <item x="60"/>
        <item x="614"/>
        <item x="240"/>
        <item x="895"/>
        <item x="405"/>
        <item x="323"/>
        <item x="385"/>
        <item x="133"/>
        <item x="267"/>
        <item x="719"/>
        <item x="431"/>
        <item x="504"/>
        <item x="188"/>
        <item x="701"/>
        <item x="92"/>
        <item x="11"/>
        <item x="521"/>
        <item x="1128"/>
        <item x="669"/>
        <item x="733"/>
        <item x="134"/>
        <item x="1183"/>
        <item x="365"/>
        <item x="835"/>
        <item x="949"/>
        <item x="352"/>
        <item x="925"/>
        <item x="1147"/>
        <item x="1195"/>
        <item x="1167"/>
        <item x="838"/>
        <item x="1111"/>
        <item x="192"/>
        <item x="506"/>
        <item x="1209"/>
        <item x="194"/>
        <item x="473"/>
        <item x="1178"/>
        <item x="516"/>
        <item x="89"/>
        <item x="9"/>
        <item x="250"/>
        <item x="300"/>
        <item x="345"/>
        <item x="507"/>
        <item x="1212"/>
        <item x="672"/>
        <item x="343"/>
        <item x="358"/>
        <item x="22"/>
        <item x="97"/>
        <item x="42"/>
        <item x="792"/>
        <item x="1192"/>
        <item x="515"/>
        <item x="588"/>
        <item x="791"/>
        <item x="51"/>
        <item x="794"/>
        <item x="283"/>
        <item x="98"/>
        <item x="162"/>
        <item x="389"/>
        <item x="998"/>
        <item x="589"/>
        <item x="99"/>
        <item x="359"/>
        <item x="400"/>
        <item x="741"/>
        <item x="27"/>
        <item x="438"/>
        <item x="795"/>
        <item x="418"/>
        <item x="44"/>
        <item x="1086"/>
        <item x="101"/>
        <item x="46"/>
        <item x="360"/>
        <item x="570"/>
        <item x="527"/>
        <item x="990"/>
        <item x="88"/>
        <item x="708"/>
        <item x="897"/>
        <item x="213"/>
        <item x="137"/>
        <item x="138"/>
        <item x="1020"/>
        <item x="54"/>
        <item x="100"/>
        <item x="1154"/>
        <item x="166"/>
        <item x="362"/>
        <item x="245"/>
        <item x="316"/>
        <item x="568"/>
        <item x="141"/>
        <item x="16"/>
        <item x="1153"/>
        <item x="957"/>
        <item x="55"/>
        <item x="387"/>
        <item x="1155"/>
        <item x="83"/>
        <item x="247"/>
        <item x="87"/>
        <item x="25"/>
        <item x="317"/>
        <item x="58"/>
        <item x="388"/>
        <item x="81"/>
        <item x="1150"/>
        <item x="167"/>
        <item x="298"/>
        <item x="45"/>
        <item x="845"/>
        <item x="19"/>
        <item x="31"/>
        <item x="36"/>
        <item x="193"/>
        <item x="314"/>
        <item x="1112"/>
        <item x="363"/>
        <item x="80"/>
        <item x="111"/>
        <item x="1021"/>
        <item x="251"/>
        <item x="37"/>
        <item x="280"/>
        <item x="361"/>
        <item x="999"/>
        <item x="23"/>
        <item x="421"/>
        <item x="12"/>
        <item x="249"/>
        <item x="43"/>
        <item x="526"/>
        <item x="164"/>
        <item x="135"/>
        <item x="440"/>
        <item x="315"/>
        <item x="310"/>
        <item x="21"/>
        <item x="262"/>
        <item x="29"/>
        <item x="34"/>
        <item x="142"/>
        <item x="17"/>
        <item x="96"/>
        <item x="837"/>
        <item x="28"/>
        <item x="627"/>
        <item x="569"/>
        <item x="33"/>
        <item x="722"/>
        <item x="26"/>
        <item x="20"/>
        <item x="252"/>
        <item x="439"/>
        <item x="35"/>
        <item x="311"/>
        <item x="528"/>
        <item x="796"/>
        <item x="18"/>
        <item x="32"/>
        <item x="10"/>
        <item x="139"/>
        <item x="48"/>
        <item x="56"/>
        <item x="671"/>
        <item x="47"/>
        <item x="57"/>
        <item x="110"/>
        <item x="24"/>
        <item x="140"/>
        <item x="771"/>
        <item x="95"/>
        <item x="136"/>
        <item x="318"/>
        <item x="41"/>
        <item x="30"/>
        <item x="246"/>
        <item x="673"/>
        <item x="38"/>
        <item x="190"/>
        <item x="165"/>
        <item x="82"/>
        <item x="191"/>
        <item x="248"/>
        <item x="39"/>
        <item x="40"/>
        <item x="163"/>
        <item t="default"/>
      </items>
    </pivotField>
    <pivotField showAll="0"/>
    <pivotField showAll="0"/>
    <pivotField showAll="0"/>
    <pivotField showAll="0">
      <items count="5">
        <item x="2"/>
        <item x="1"/>
        <item x="3"/>
        <item x="0"/>
        <item t="default"/>
      </items>
    </pivotField>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PRICE EACH"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784C0-9B82-45A1-974E-7933087DC35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J4:AK12" firstHeaderRow="1" firstDataRow="1" firstDataCol="1"/>
  <pivotFields count="20">
    <pivotField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numFmtId="1"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axis="axisRow" showAll="0">
      <items count="8">
        <item x="5"/>
        <item x="2"/>
        <item x="4"/>
        <item x="1"/>
        <item x="6"/>
        <item x="3"/>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Fields count="1">
    <field x="12"/>
  </rowFields>
  <rowItems count="8">
    <i>
      <x/>
    </i>
    <i>
      <x v="1"/>
    </i>
    <i>
      <x v="2"/>
    </i>
    <i>
      <x v="3"/>
    </i>
    <i>
      <x v="4"/>
    </i>
    <i>
      <x v="5"/>
    </i>
    <i>
      <x v="6"/>
    </i>
    <i t="grand">
      <x/>
    </i>
  </rowItems>
  <colItems count="1">
    <i/>
  </colItems>
  <dataFields count="1">
    <dataField name="Sum of SALES" fld="2" baseField="0" baseItem="0" numFmtId="164"/>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EBD381-BE64-4460-893A-1878C7C3B53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O4:P15" firstHeaderRow="1" firstDataRow="1" firstDataCol="1"/>
  <pivotFields count="20">
    <pivotField showAll="0"/>
    <pivotField numFmtId="1"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showAll="0"/>
    <pivotField axis="axisRow" showAll="0" measureFilter="1" sortType="descending">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autoSortScope>
        <pivotArea dataOnly="0" outline="0" fieldPosition="0">
          <references count="1">
            <reference field="4294967294" count="1" selected="0">
              <x v="0"/>
            </reference>
          </references>
        </pivotArea>
      </autoSortScope>
    </pivotField>
    <pivotField showAll="0"/>
    <pivotField showAll="0">
      <items count="5">
        <item x="2"/>
        <item x="1"/>
        <item x="3"/>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11">
    <i>
      <x v="34"/>
    </i>
    <i>
      <x v="61"/>
    </i>
    <i>
      <x v="48"/>
    </i>
    <i>
      <x v="63"/>
    </i>
    <i>
      <x v="52"/>
    </i>
    <i>
      <x v="59"/>
    </i>
    <i>
      <x v="42"/>
    </i>
    <i>
      <x v="44"/>
    </i>
    <i>
      <x v="38"/>
    </i>
    <i>
      <x v="7"/>
    </i>
    <i t="grand">
      <x/>
    </i>
  </rowItems>
  <colItems count="1">
    <i/>
  </colItems>
  <dataFields count="1">
    <dataField name="Sum of SALES" fld="2" baseField="0" baseItem="0" numFmtId="164"/>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3" count="1" selected="0">
            <x v="34"/>
          </reference>
        </references>
      </pivotArea>
    </chartFormat>
    <chartFormat chart="5" format="4">
      <pivotArea type="data" outline="0" fieldPosition="0">
        <references count="2">
          <reference field="4294967294" count="1" selected="0">
            <x v="0"/>
          </reference>
          <reference field="13" count="1" selected="0">
            <x v="52"/>
          </reference>
        </references>
      </pivotArea>
    </chartFormat>
    <chartFormat chart="5" format="5">
      <pivotArea type="data" outline="0" fieldPosition="0">
        <references count="2">
          <reference field="4294967294" count="1" selected="0">
            <x v="0"/>
          </reference>
          <reference field="13" count="1" selected="0">
            <x v="48"/>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A8906-F345-426B-B380-AE83928AB02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F4:AF5" firstHeaderRow="1" firstDataRow="1" firstDataCol="0"/>
  <pivotFields count="20">
    <pivotField dataField="1" showAll="0"/>
    <pivotField numFmtId="1"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showAll="0"/>
    <pivotField showAll="0"/>
    <pivotField showAll="0"/>
    <pivotField showAll="0">
      <items count="5">
        <item x="2"/>
        <item x="1"/>
        <item x="3"/>
        <item x="0"/>
        <item t="default"/>
      </items>
    </pivotField>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QUANTITY ORDERED" fld="0" subtotal="average" baseField="0" baseItem="0" numFmtId="1"/>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76C65B-4D8D-4338-B8B7-5C1E93C9D77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J4:K15" firstHeaderRow="1" firstDataRow="1" firstDataCol="1"/>
  <pivotFields count="20">
    <pivotField showAll="0"/>
    <pivotField numFmtId="1"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showAll="0"/>
    <pivotField showAll="0"/>
    <pivotField axis="axisRow"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1">
    <i>
      <x v="18"/>
    </i>
    <i>
      <x v="14"/>
    </i>
    <i>
      <x v="6"/>
    </i>
    <i>
      <x/>
    </i>
    <i>
      <x v="17"/>
    </i>
    <i>
      <x v="9"/>
    </i>
    <i>
      <x v="5"/>
    </i>
    <i>
      <x v="11"/>
    </i>
    <i>
      <x v="13"/>
    </i>
    <i>
      <x v="3"/>
    </i>
    <i t="grand">
      <x/>
    </i>
  </rowItems>
  <colItems count="1">
    <i/>
  </colItems>
  <dataFields count="1">
    <dataField name="Sum of SALES" fld="2" baseField="0" baseItem="0" numFmtId="164"/>
  </dataFields>
  <chartFormats count="11">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4" count="1" selected="0">
            <x v="18"/>
          </reference>
        </references>
      </pivotArea>
    </chartFormat>
    <chartFormat chart="23" format="4">
      <pivotArea type="data" outline="0" fieldPosition="0">
        <references count="2">
          <reference field="4294967294" count="1" selected="0">
            <x v="0"/>
          </reference>
          <reference field="14" count="1" selected="0">
            <x v="3"/>
          </reference>
        </references>
      </pivotArea>
    </chartFormat>
    <chartFormat chart="23" format="5">
      <pivotArea type="data" outline="0" fieldPosition="0">
        <references count="2">
          <reference field="4294967294" count="1" selected="0">
            <x v="0"/>
          </reference>
          <reference field="14" count="1" selected="0">
            <x v="13"/>
          </reference>
        </references>
      </pivotArea>
    </chartFormat>
    <chartFormat chart="23" format="6">
      <pivotArea type="data" outline="0" fieldPosition="0">
        <references count="2">
          <reference field="4294967294" count="1" selected="0">
            <x v="0"/>
          </reference>
          <reference field="14" count="1" selected="0">
            <x v="11"/>
          </reference>
        </references>
      </pivotArea>
    </chartFormat>
    <chartFormat chart="23" format="7">
      <pivotArea type="data" outline="0" fieldPosition="0">
        <references count="2">
          <reference field="4294967294" count="1" selected="0">
            <x v="0"/>
          </reference>
          <reference field="14" count="1" selected="0">
            <x v="5"/>
          </reference>
        </references>
      </pivotArea>
    </chartFormat>
    <chartFormat chart="23" format="8">
      <pivotArea type="data" outline="0" fieldPosition="0">
        <references count="2">
          <reference field="4294967294" count="1" selected="0">
            <x v="0"/>
          </reference>
          <reference field="14" count="1" selected="0">
            <x v="9"/>
          </reference>
        </references>
      </pivotArea>
    </chartFormat>
    <chartFormat chart="23" format="9">
      <pivotArea type="data" outline="0" fieldPosition="0">
        <references count="2">
          <reference field="4294967294" count="1" selected="0">
            <x v="0"/>
          </reference>
          <reference field="14" count="1" selected="0">
            <x v="17"/>
          </reference>
        </references>
      </pivotArea>
    </chartFormat>
    <chartFormat chart="23" format="10">
      <pivotArea type="data" outline="0" fieldPosition="0">
        <references count="2">
          <reference field="4294967294" count="1" selected="0">
            <x v="0"/>
          </reference>
          <reference field="14" count="1" selected="0">
            <x v="0"/>
          </reference>
        </references>
      </pivotArea>
    </chartFormat>
    <chartFormat chart="23" format="11">
      <pivotArea type="data" outline="0" fieldPosition="0">
        <references count="2">
          <reference field="4294967294" count="1" selected="0">
            <x v="0"/>
          </reference>
          <reference field="14" count="1" selected="0">
            <x v="6"/>
          </reference>
        </references>
      </pivotArea>
    </chartFormat>
    <chartFormat chart="23" format="12">
      <pivotArea type="data" outline="0" fieldPosition="0">
        <references count="2">
          <reference field="4294967294" count="1" selected="0">
            <x v="0"/>
          </reference>
          <reference field="14" count="1" selected="0">
            <x v="14"/>
          </reference>
        </references>
      </pivotArea>
    </chartFormat>
  </chartFormats>
  <pivotTableStyleInfo name="PivotStyleLight16" showRowHeaders="1" showColHeaders="1" showRowStripes="0" showColStripes="0" showLastColumn="1"/>
  <filters count="1">
    <filter fld="1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44B82B-A11E-4AAE-9446-4185C747CF6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E5" firstHeaderRow="1" firstDataRow="1" firstDataCol="0"/>
  <pivotFields count="20">
    <pivotField showAll="0"/>
    <pivotField numFmtId="1"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dataField="1" numFmtId="9" showAll="0"/>
    <pivotField showAll="0"/>
    <pivotField showAll="0"/>
    <pivotField showAll="0"/>
    <pivotField showAll="0">
      <items count="5">
        <item x="2"/>
        <item x="1"/>
        <item x="3"/>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AVG DISCOUNT"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559F3B-4D17-4281-BC4B-A2ABA15D74D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X4:Y17" firstHeaderRow="1" firstDataRow="1" firstDataCol="1"/>
  <pivotFields count="20">
    <pivotField showAll="0"/>
    <pivotField numFmtId="1"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showAll="0">
      <items count="8">
        <item x="5"/>
        <item x="2"/>
        <item x="4"/>
        <item x="1"/>
        <item x="6"/>
        <item x="3"/>
        <item x="0"/>
        <item t="default"/>
      </items>
    </pivotField>
    <pivotField showAll="0"/>
    <pivotField showAll="0"/>
    <pivotField showAll="0">
      <items count="5">
        <item x="2"/>
        <item x="1"/>
        <item x="3"/>
        <item x="0"/>
        <item t="default"/>
      </items>
    </pivotField>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SALES" fld="2" baseField="0" baseItem="0" numFmtId="164"/>
  </dataFields>
  <chartFormats count="13">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7" count="1" selected="0">
            <x v="12"/>
          </reference>
        </references>
      </pivotArea>
    </chartFormat>
    <chartFormat chart="27" format="4">
      <pivotArea type="data" outline="0" fieldPosition="0">
        <references count="2">
          <reference field="4294967294" count="1" selected="0">
            <x v="0"/>
          </reference>
          <reference field="17" count="1" selected="0">
            <x v="1"/>
          </reference>
        </references>
      </pivotArea>
    </chartFormat>
    <chartFormat chart="27" format="5">
      <pivotArea type="data" outline="0" fieldPosition="0">
        <references count="2">
          <reference field="4294967294" count="1" selected="0">
            <x v="0"/>
          </reference>
          <reference field="17" count="1" selected="0">
            <x v="2"/>
          </reference>
        </references>
      </pivotArea>
    </chartFormat>
    <chartFormat chart="27" format="6">
      <pivotArea type="data" outline="0" fieldPosition="0">
        <references count="2">
          <reference field="4294967294" count="1" selected="0">
            <x v="0"/>
          </reference>
          <reference field="17" count="1" selected="0">
            <x v="3"/>
          </reference>
        </references>
      </pivotArea>
    </chartFormat>
    <chartFormat chart="27" format="7">
      <pivotArea type="data" outline="0" fieldPosition="0">
        <references count="2">
          <reference field="4294967294" count="1" selected="0">
            <x v="0"/>
          </reference>
          <reference field="17" count="1" selected="0">
            <x v="4"/>
          </reference>
        </references>
      </pivotArea>
    </chartFormat>
    <chartFormat chart="27" format="8">
      <pivotArea type="data" outline="0" fieldPosition="0">
        <references count="2">
          <reference field="4294967294" count="1" selected="0">
            <x v="0"/>
          </reference>
          <reference field="17" count="1" selected="0">
            <x v="5"/>
          </reference>
        </references>
      </pivotArea>
    </chartFormat>
    <chartFormat chart="27" format="9">
      <pivotArea type="data" outline="0" fieldPosition="0">
        <references count="2">
          <reference field="4294967294" count="1" selected="0">
            <x v="0"/>
          </reference>
          <reference field="17" count="1" selected="0">
            <x v="11"/>
          </reference>
        </references>
      </pivotArea>
    </chartFormat>
    <chartFormat chart="27" format="10">
      <pivotArea type="data" outline="0" fieldPosition="0">
        <references count="2">
          <reference field="4294967294" count="1" selected="0">
            <x v="0"/>
          </reference>
          <reference field="17" count="1" selected="0">
            <x v="10"/>
          </reference>
        </references>
      </pivotArea>
    </chartFormat>
    <chartFormat chart="27" format="11">
      <pivotArea type="data" outline="0" fieldPosition="0">
        <references count="2">
          <reference field="4294967294" count="1" selected="0">
            <x v="0"/>
          </reference>
          <reference field="17" count="1" selected="0">
            <x v="9"/>
          </reference>
        </references>
      </pivotArea>
    </chartFormat>
    <chartFormat chart="27" format="12">
      <pivotArea type="data" outline="0" fieldPosition="0">
        <references count="2">
          <reference field="4294967294" count="1" selected="0">
            <x v="0"/>
          </reference>
          <reference field="17" count="1" selected="0">
            <x v="8"/>
          </reference>
        </references>
      </pivotArea>
    </chartFormat>
    <chartFormat chart="27" format="13">
      <pivotArea type="data" outline="0" fieldPosition="0">
        <references count="2">
          <reference field="4294967294" count="1" selected="0">
            <x v="0"/>
          </reference>
          <reference field="17" count="1" selected="0">
            <x v="7"/>
          </reference>
        </references>
      </pivotArea>
    </chartFormat>
    <chartFormat chart="27" format="14">
      <pivotArea type="data" outline="0" fieldPosition="0">
        <references count="2">
          <reference field="4294967294" count="1" selected="0">
            <x v="0"/>
          </reference>
          <reference field="1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1145A3-D2D1-43C2-9F1A-12DA95F018D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B4:AC11" firstHeaderRow="1" firstDataRow="1" firstDataCol="1"/>
  <pivotFields count="20">
    <pivotField showAll="0"/>
    <pivotField numFmtId="1"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axis="axisRow" dataField="1"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showAll="0"/>
    <pivotField showAll="0"/>
    <pivotField showAll="0"/>
    <pivotField showAll="0">
      <items count="5">
        <item x="2"/>
        <item x="1"/>
        <item x="3"/>
        <item x="0"/>
        <item t="default"/>
      </items>
    </pivotField>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Fields count="1">
    <field x="4"/>
  </rowFields>
  <rowItems count="7">
    <i>
      <x/>
    </i>
    <i>
      <x v="1"/>
    </i>
    <i>
      <x v="2"/>
    </i>
    <i>
      <x v="3"/>
    </i>
    <i>
      <x v="4"/>
    </i>
    <i>
      <x v="5"/>
    </i>
    <i t="grand">
      <x/>
    </i>
  </rowItems>
  <colItems count="1">
    <i/>
  </colItems>
  <dataFields count="1">
    <dataField name="Count of STATUS" fld="4" subtotal="count" showDataAs="percentOfTotal" baseField="4" baseItem="0" numFmtId="165"/>
  </dataFields>
  <formats count="1">
    <format dxfId="28">
      <pivotArea outline="0" collapsedLevelsAreSubtotals="1" fieldPosition="0"/>
    </format>
  </formats>
  <chartFormats count="19">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5"/>
          </reference>
        </references>
      </pivotArea>
    </chartFormat>
    <chartFormat chart="8" format="2">
      <pivotArea type="data" outline="0" fieldPosition="0">
        <references count="2">
          <reference field="4294967294" count="1" selected="0">
            <x v="0"/>
          </reference>
          <reference field="4" count="1" selected="0">
            <x v="4"/>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4" count="1" selected="0">
            <x v="0"/>
          </reference>
        </references>
      </pivotArea>
    </chartFormat>
    <chartFormat chart="19" format="3">
      <pivotArea type="data" outline="0" fieldPosition="0">
        <references count="2">
          <reference field="4294967294" count="1" selected="0">
            <x v="0"/>
          </reference>
          <reference field="4" count="1" selected="0">
            <x v="1"/>
          </reference>
        </references>
      </pivotArea>
    </chartFormat>
    <chartFormat chart="19" format="4">
      <pivotArea type="data" outline="0" fieldPosition="0">
        <references count="2">
          <reference field="4294967294" count="1" selected="0">
            <x v="0"/>
          </reference>
          <reference field="4" count="1" selected="0">
            <x v="2"/>
          </reference>
        </references>
      </pivotArea>
    </chartFormat>
    <chartFormat chart="19" format="5">
      <pivotArea type="data" outline="0" fieldPosition="0">
        <references count="2">
          <reference field="4294967294" count="1" selected="0">
            <x v="0"/>
          </reference>
          <reference field="4" count="1" selected="0">
            <x v="3"/>
          </reference>
        </references>
      </pivotArea>
    </chartFormat>
    <chartFormat chart="19" format="6">
      <pivotArea type="data" outline="0" fieldPosition="0">
        <references count="2">
          <reference field="4294967294" count="1" selected="0">
            <x v="0"/>
          </reference>
          <reference field="4" count="1" selected="0">
            <x v="4"/>
          </reference>
        </references>
      </pivotArea>
    </chartFormat>
    <chartFormat chart="19" format="7">
      <pivotArea type="data" outline="0" fieldPosition="0">
        <references count="2">
          <reference field="4294967294" count="1" selected="0">
            <x v="0"/>
          </reference>
          <reference field="4" count="1" selected="0">
            <x v="5"/>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4" count="1" selected="0">
            <x v="0"/>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 chart="20" format="11">
      <pivotArea type="data" outline="0" fieldPosition="0">
        <references count="2">
          <reference field="4294967294" count="1" selected="0">
            <x v="0"/>
          </reference>
          <reference field="4" count="1" selected="0">
            <x v="2"/>
          </reference>
        </references>
      </pivotArea>
    </chartFormat>
    <chartFormat chart="20" format="12">
      <pivotArea type="data" outline="0" fieldPosition="0">
        <references count="2">
          <reference field="4294967294" count="1" selected="0">
            <x v="0"/>
          </reference>
          <reference field="4" count="1" selected="0">
            <x v="3"/>
          </reference>
        </references>
      </pivotArea>
    </chartFormat>
    <chartFormat chart="20" format="13">
      <pivotArea type="data" outline="0" fieldPosition="0">
        <references count="2">
          <reference field="4294967294" count="1" selected="0">
            <x v="0"/>
          </reference>
          <reference field="4" count="1" selected="0">
            <x v="4"/>
          </reference>
        </references>
      </pivotArea>
    </chartFormat>
    <chartFormat chart="20"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F56D35-C19C-41C7-896A-494F3293F1C6}"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A5" firstHeaderRow="1" firstDataRow="1" firstDataCol="0"/>
  <pivotFields count="20">
    <pivotField showAll="0"/>
    <pivotField numFmtId="1"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numFmtId="164" showAll="0"/>
    <pivotField numFmtId="164" showAll="0"/>
    <pivotField numFmtId="9" showAll="0"/>
    <pivotField showAll="0"/>
    <pivotField showAll="0"/>
    <pivotField showAll="0"/>
    <pivotField showAll="0">
      <items count="5">
        <item x="2"/>
        <item x="1"/>
        <item x="3"/>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CA22E0-08EF-46E4-968D-43FBB1ED08C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T4:U12" firstHeaderRow="1" firstDataRow="1" firstDataCol="1"/>
  <pivotFields count="20">
    <pivotField showAll="0"/>
    <pivotField numFmtId="1"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showAll="0"/>
    <pivotField showAll="0"/>
    <pivotField showAll="0">
      <items count="5">
        <item x="2"/>
        <item x="1"/>
        <item x="3"/>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6"/>
    </i>
    <i>
      <x v="1"/>
    </i>
    <i>
      <x v="5"/>
    </i>
    <i>
      <x v="2"/>
    </i>
    <i>
      <x v="3"/>
    </i>
    <i>
      <x v="4"/>
    </i>
    <i t="grand">
      <x/>
    </i>
  </rowItems>
  <colItems count="1">
    <i/>
  </colItems>
  <dataFields count="1">
    <dataField name="Sum of SALES" fld="2"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A40FE77-60B7-446C-89B6-AA206C70BF19}" sourceName="PRODUCT LIN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tabular pivotCacheId="1016030388">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01F4804B-B893-4B7D-9302-294DE375CAA8}" sourceName="TERRITORY">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tabular pivotCacheId="1016030388">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IZE" xr10:uid="{AE2DB0A5-774B-42C2-83D0-38ADA2A8535F}" sourceName="DEAL SIZE">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s>
  <data>
    <tabular pivotCacheId="101603038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7C5132F2-C23D-4BF4-B258-ED28F1C1EF1D}" cache="Slicer_PRODUCT_LINE" caption="PRODUCT LINE" columnCount="2" style="Slicer Style 1" rowHeight="247650"/>
  <slicer name="TERRITORY" xr10:uid="{5D92D38F-E2FC-4E3F-9CDF-97BA98D4DFA7}" cache="Slicer_TERRITORY" caption="TERRITORY" columnCount="3" style="Slicer Style 1" rowHeight="247650"/>
  <slicer name="DEAL SIZE" xr10:uid="{2F07C82B-6E48-4F8C-BE5C-FD404F809C3B}" cache="Slicer_DEAL_SIZE" caption="DEAL SIZE" columnCount="3"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8D54FF-ADCF-4409-BB12-ACBCE637C652}" name="sales" displayName="sales" ref="A1:Q2824" totalsRowShown="0" headerRowDxfId="8" dataDxfId="9" tableBorderDxfId="27">
  <autoFilter ref="A1:Q2824" xr:uid="{CD8D54FF-ADCF-4409-BB12-ACBCE637C652}"/>
  <tableColumns count="17">
    <tableColumn id="1" xr3:uid="{DA89D89B-CBDB-483F-8008-C29E147C961F}" name="QUANTITY ORDERED" dataDxfId="26"/>
    <tableColumn id="2" xr3:uid="{3839D0F0-8C5B-4457-B679-DE9196E3E56E}" name="PRICE EACH" dataDxfId="25"/>
    <tableColumn id="3" xr3:uid="{2DFD4D3A-BFD5-4E3F-9FD6-9ECEB5A58A8D}" name="SALES" dataDxfId="24">
      <calculatedColumnFormula>Sales!$B2*Sales!$A2</calculatedColumnFormula>
    </tableColumn>
    <tableColumn id="4" xr3:uid="{43DA7A39-7A2C-4FA1-B2EA-58B2BFE9E45C}" name="ORDER DATE" dataDxfId="23"/>
    <tableColumn id="5" xr3:uid="{5C0738A9-A10E-4AF8-9100-026F3F22432A}" name="STATUS" dataDxfId="22"/>
    <tableColumn id="6" xr3:uid="{04E02BB2-DBEA-480A-B0F1-153896CF48DC}" name="QTR_ID" dataDxfId="21"/>
    <tableColumn id="7" xr3:uid="{989A724A-C03B-4D55-AE35-601B0060F758}" name="MONTH_ID" dataDxfId="20"/>
    <tableColumn id="8" xr3:uid="{2DB00318-C481-472E-BCA2-4FD484929DB4}" name="YEAR_ID" dataDxfId="19"/>
    <tableColumn id="9" xr3:uid="{3B0846AD-10DF-44CD-9663-44E0B7B12922}" name="PRODUCT LINE" dataDxfId="18"/>
    <tableColumn id="10" xr3:uid="{FBED4381-137C-413E-A349-4D91D9C69E99}" name="MSRP" dataDxfId="17"/>
    <tableColumn id="11" xr3:uid="{9EAD6F19-7092-423B-A86A-E106AF65628B}" name="PRICE VARIANCE" dataDxfId="16">
      <calculatedColumnFormula>Sales!$B2-Sales!$J2</calculatedColumnFormula>
    </tableColumn>
    <tableColumn id="12" xr3:uid="{ABE5DB1E-7560-41F7-8018-DF2A048C5834}" name="AVG DISCOUNT" dataDxfId="15">
      <calculatedColumnFormula>(Sales!$J2-Sales!$B2)/Sales!$J2</calculatedColumnFormula>
    </tableColumn>
    <tableColumn id="13" xr3:uid="{6397842F-9A06-40F7-BD3E-A8A95E035B7D}" name="DISCOUNT RANGE" dataDxfId="14">
      <calculatedColumnFormula>IF(L2&lt;0%,"Below 0%",IF(L2=0%,"0%",IF(AND(L2&lt;=5%,L2&gt;0%),"0%-5%",IF(AND(L2&lt;=10%,L2&gt;5%),"5%-10%",IF(AND(L2&lt;=15%,L2&gt;10%),"10%-15%",IF(AND(L2&lt;=20%,L2&gt;15%),"15%-20%","+20%"))))))</calculatedColumnFormula>
    </tableColumn>
    <tableColumn id="14" xr3:uid="{203331D5-7833-455F-BD3A-2080CB4C686A}" name="CITY" dataDxfId="13"/>
    <tableColumn id="15" xr3:uid="{E04A0E19-1A7F-43FF-86BF-DCC16FF9D54C}" name="COUNTRY" dataDxfId="12"/>
    <tableColumn id="16" xr3:uid="{AC4DD514-81E8-4FDA-B57B-CD3CE4BC9FEA}" name="TERRITORY" dataDxfId="11"/>
    <tableColumn id="17" xr3:uid="{DF78D7B6-CCF7-4881-8BC1-C3E5292DEA41}" name="DEAL SIZE"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EE40619-A7BC-4ECA-B0D5-891A17C083AC}" sourceName="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1016030388"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4D4059F-7C39-400F-A468-952F1AE038A7}" cache="NativeTimeline_ORDER_DATE" caption="ORDER DATE" level="0" selectionLevel="0" scrollPosition="200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B02A-4E26-4CF3-B96E-68DA3B82CBA4}">
  <sheetPr>
    <tabColor rgb="FF36BF98"/>
  </sheetPr>
  <dimension ref="A1:S2824"/>
  <sheetViews>
    <sheetView zoomScale="87" workbookViewId="0">
      <selection activeCell="T3" sqref="T3:T10"/>
    </sheetView>
  </sheetViews>
  <sheetFormatPr defaultRowHeight="14.4" x14ac:dyDescent="0.3"/>
  <cols>
    <col min="1" max="1" width="20" customWidth="1"/>
    <col min="2" max="2" width="13.109375" style="1" customWidth="1"/>
    <col min="3" max="3" width="10.109375" style="3" bestFit="1" customWidth="1"/>
    <col min="4" max="4" width="14.33203125" style="2" bestFit="1" customWidth="1"/>
    <col min="5" max="5" width="9.5546875" bestFit="1" customWidth="1"/>
    <col min="6" max="6" width="9.109375" bestFit="1" customWidth="1"/>
    <col min="7" max="7" width="12.109375" bestFit="1" customWidth="1"/>
    <col min="8" max="8" width="10" bestFit="1" customWidth="1"/>
    <col min="9" max="9" width="15.44140625" customWidth="1"/>
    <col min="10" max="10" width="8" style="3" bestFit="1" customWidth="1"/>
    <col min="11" max="11" width="17.21875" style="3" bestFit="1" customWidth="1"/>
    <col min="12" max="12" width="16.109375" style="4" bestFit="1" customWidth="1"/>
    <col min="13" max="13" width="18.44140625" style="4" bestFit="1" customWidth="1"/>
    <col min="14" max="14" width="13.109375" bestFit="1" customWidth="1"/>
    <col min="15" max="15" width="11.33203125" bestFit="1" customWidth="1"/>
    <col min="16" max="16" width="12.21875" bestFit="1" customWidth="1"/>
    <col min="17" max="17" width="11.33203125" customWidth="1"/>
    <col min="19" max="19" width="11.5546875" bestFit="1" customWidth="1"/>
  </cols>
  <sheetData>
    <row r="1" spans="1:19" x14ac:dyDescent="0.3">
      <c r="A1" s="29" t="s">
        <v>120</v>
      </c>
      <c r="B1" s="30" t="s">
        <v>121</v>
      </c>
      <c r="C1" s="31" t="s">
        <v>0</v>
      </c>
      <c r="D1" s="32" t="s">
        <v>122</v>
      </c>
      <c r="E1" s="29" t="s">
        <v>1</v>
      </c>
      <c r="F1" s="29" t="s">
        <v>2</v>
      </c>
      <c r="G1" s="29" t="s">
        <v>3</v>
      </c>
      <c r="H1" s="29" t="s">
        <v>4</v>
      </c>
      <c r="I1" s="29" t="s">
        <v>123</v>
      </c>
      <c r="J1" s="31" t="s">
        <v>5</v>
      </c>
      <c r="K1" s="31" t="s">
        <v>125</v>
      </c>
      <c r="L1" s="33" t="s">
        <v>126</v>
      </c>
      <c r="M1" s="33" t="s">
        <v>129</v>
      </c>
      <c r="N1" s="29" t="s">
        <v>6</v>
      </c>
      <c r="O1" s="29" t="s">
        <v>7</v>
      </c>
      <c r="P1" s="29" t="s">
        <v>8</v>
      </c>
      <c r="Q1" s="29" t="s">
        <v>124</v>
      </c>
    </row>
    <row r="2" spans="1:19" x14ac:dyDescent="0.3">
      <c r="A2" s="22">
        <v>30</v>
      </c>
      <c r="B2" s="19">
        <v>95.7</v>
      </c>
      <c r="C2" s="20">
        <f>Sales!$B2*Sales!$A2</f>
        <v>2871</v>
      </c>
      <c r="D2" s="21">
        <v>37676</v>
      </c>
      <c r="E2" s="22" t="s">
        <v>9</v>
      </c>
      <c r="F2" s="22">
        <v>1</v>
      </c>
      <c r="G2" s="22">
        <v>2</v>
      </c>
      <c r="H2" s="22">
        <v>2003</v>
      </c>
      <c r="I2" s="22" t="s">
        <v>10</v>
      </c>
      <c r="J2" s="20">
        <v>95</v>
      </c>
      <c r="K2" s="20">
        <f>Sales!$B2-Sales!$J2</f>
        <v>0.70000000000000284</v>
      </c>
      <c r="L2" s="23">
        <f>(Sales!$J2-Sales!$B2)/Sales!$J2</f>
        <v>-7.3684210526316091E-3</v>
      </c>
      <c r="M2" s="23" t="str">
        <f>IF(L2&lt;0%,"Below 0%",IF(L2=0%,"0%",IF(AND(L2&lt;=5%,L2&gt;0%),"0%-5%",IF(AND(L2&lt;=10%,L2&gt;5%),"5%-10%",IF(AND(L2&lt;=15%,L2&gt;10%),"10%-15%",IF(AND(L2&lt;=20%,L2&gt;15%),"15%-20%","+20%"))))))</f>
        <v>Below 0%</v>
      </c>
      <c r="N2" s="22" t="s">
        <v>11</v>
      </c>
      <c r="O2" s="22" t="s">
        <v>12</v>
      </c>
      <c r="P2" s="22" t="s">
        <v>13</v>
      </c>
      <c r="Q2" s="22" t="s">
        <v>14</v>
      </c>
    </row>
    <row r="3" spans="1:19" x14ac:dyDescent="0.3">
      <c r="A3" s="27">
        <v>34</v>
      </c>
      <c r="B3" s="24">
        <v>81.349999999999994</v>
      </c>
      <c r="C3" s="25">
        <f>Sales!$B3*Sales!$A3</f>
        <v>2765.8999999999996</v>
      </c>
      <c r="D3" s="26">
        <v>37748</v>
      </c>
      <c r="E3" s="27" t="s">
        <v>9</v>
      </c>
      <c r="F3" s="27">
        <v>2</v>
      </c>
      <c r="G3" s="27">
        <v>5</v>
      </c>
      <c r="H3" s="27">
        <v>2003</v>
      </c>
      <c r="I3" s="27" t="s">
        <v>10</v>
      </c>
      <c r="J3" s="25">
        <v>95</v>
      </c>
      <c r="K3" s="25">
        <f>Sales!$B3-Sales!$J3</f>
        <v>-13.650000000000006</v>
      </c>
      <c r="L3" s="28">
        <f>(Sales!$J3-Sales!$B3)/Sales!$J3</f>
        <v>0.14368421052631586</v>
      </c>
      <c r="M3" s="28" t="str">
        <f>IF(L3&lt;0%,"Below 0%",IF(L3=0%,"0%",IF(AND(L3&lt;=5%,L3&gt;0%),"0%-5%",IF(AND(L3&lt;=10%,L3&gt;5%),"5%-10%",IF(AND(L3&lt;=15%,L3&gt;10%),"10%-15%",IF(AND(L3&lt;=20%,L3&gt;15%),"15%-20%","+20%"))))))</f>
        <v>10%-15%</v>
      </c>
      <c r="N3" s="27" t="s">
        <v>15</v>
      </c>
      <c r="O3" s="27" t="s">
        <v>16</v>
      </c>
      <c r="P3" s="27" t="s">
        <v>17</v>
      </c>
      <c r="Q3" s="27" t="s">
        <v>14</v>
      </c>
    </row>
    <row r="4" spans="1:19" x14ac:dyDescent="0.3">
      <c r="A4" s="22">
        <v>41</v>
      </c>
      <c r="B4" s="19">
        <v>94.74</v>
      </c>
      <c r="C4" s="20">
        <f>Sales!$B4*Sales!$A4</f>
        <v>3884.3399999999997</v>
      </c>
      <c r="D4" s="21">
        <v>37803</v>
      </c>
      <c r="E4" s="22" t="s">
        <v>9</v>
      </c>
      <c r="F4" s="22">
        <v>3</v>
      </c>
      <c r="G4" s="22">
        <v>7</v>
      </c>
      <c r="H4" s="22">
        <v>2003</v>
      </c>
      <c r="I4" s="22" t="s">
        <v>10</v>
      </c>
      <c r="J4" s="20">
        <v>95</v>
      </c>
      <c r="K4" s="20">
        <f>Sales!$B4-Sales!$J4</f>
        <v>-0.26000000000000512</v>
      </c>
      <c r="L4" s="23">
        <f>(Sales!$J4-Sales!$B4)/Sales!$J4</f>
        <v>2.736842105263212E-3</v>
      </c>
      <c r="M4" s="23" t="s">
        <v>130</v>
      </c>
      <c r="N4" s="22" t="s">
        <v>18</v>
      </c>
      <c r="O4" s="22" t="s">
        <v>16</v>
      </c>
      <c r="P4" s="22" t="s">
        <v>17</v>
      </c>
      <c r="Q4" s="22" t="s">
        <v>19</v>
      </c>
    </row>
    <row r="5" spans="1:19" x14ac:dyDescent="0.3">
      <c r="A5" s="27">
        <v>45</v>
      </c>
      <c r="B5" s="24">
        <v>83.26</v>
      </c>
      <c r="C5" s="25">
        <f>Sales!$B5*Sales!$A5</f>
        <v>3746.7000000000003</v>
      </c>
      <c r="D5" s="26">
        <v>37858</v>
      </c>
      <c r="E5" s="27" t="s">
        <v>9</v>
      </c>
      <c r="F5" s="27">
        <v>3</v>
      </c>
      <c r="G5" s="27">
        <v>8</v>
      </c>
      <c r="H5" s="27">
        <v>2003</v>
      </c>
      <c r="I5" s="27" t="s">
        <v>10</v>
      </c>
      <c r="J5" s="25">
        <v>95</v>
      </c>
      <c r="K5" s="25">
        <f>Sales!$B5-Sales!$J5</f>
        <v>-11.739999999999995</v>
      </c>
      <c r="L5" s="28">
        <f>(Sales!$J5-Sales!$B5)/Sales!$J5</f>
        <v>0.123578947368421</v>
      </c>
      <c r="M5" s="28" t="str">
        <f t="shared" ref="M5:M63" si="0">IF(L5&lt;0%,"Below 0%",IF(L5=0%,"0%",IF(AND(L5&lt;=5%,L5&gt;0%),"0%-5%",IF(AND(L5&lt;=10%,L5&gt;5%),"5%-10%",IF(AND(L5&lt;=15%,L5&gt;10%),"10%-15%",IF(AND(L5&lt;=20%,L5&gt;15%),"15%-20%","+20%"))))))</f>
        <v>10%-15%</v>
      </c>
      <c r="N5" s="27" t="s">
        <v>20</v>
      </c>
      <c r="O5" s="27" t="s">
        <v>12</v>
      </c>
      <c r="P5" s="27" t="s">
        <v>13</v>
      </c>
      <c r="Q5" s="27" t="s">
        <v>19</v>
      </c>
    </row>
    <row r="6" spans="1:19" x14ac:dyDescent="0.3">
      <c r="A6" s="22">
        <v>49</v>
      </c>
      <c r="B6" s="19">
        <v>100</v>
      </c>
      <c r="C6" s="20">
        <f>Sales!$B6*Sales!$A6</f>
        <v>4900</v>
      </c>
      <c r="D6" s="21">
        <v>37904</v>
      </c>
      <c r="E6" s="22" t="s">
        <v>9</v>
      </c>
      <c r="F6" s="22">
        <v>4</v>
      </c>
      <c r="G6" s="22">
        <v>10</v>
      </c>
      <c r="H6" s="22">
        <v>2003</v>
      </c>
      <c r="I6" s="22" t="s">
        <v>10</v>
      </c>
      <c r="J6" s="20">
        <v>95</v>
      </c>
      <c r="K6" s="20">
        <f>Sales!$B6-Sales!$J6</f>
        <v>5</v>
      </c>
      <c r="L6" s="23">
        <f>(Sales!$J6-Sales!$B6)/Sales!$J6</f>
        <v>-5.2631578947368418E-2</v>
      </c>
      <c r="M6" s="23" t="str">
        <f t="shared" si="0"/>
        <v>Below 0%</v>
      </c>
      <c r="N6" s="22" t="s">
        <v>21</v>
      </c>
      <c r="O6" s="22" t="s">
        <v>12</v>
      </c>
      <c r="P6" s="22" t="s">
        <v>13</v>
      </c>
      <c r="Q6" s="22" t="s">
        <v>19</v>
      </c>
      <c r="S6" s="15"/>
    </row>
    <row r="7" spans="1:19" x14ac:dyDescent="0.3">
      <c r="A7" s="27">
        <v>36</v>
      </c>
      <c r="B7" s="24">
        <v>96.66</v>
      </c>
      <c r="C7" s="25">
        <f>Sales!$B7*Sales!$A7</f>
        <v>3479.7599999999998</v>
      </c>
      <c r="D7" s="26">
        <v>37922</v>
      </c>
      <c r="E7" s="27" t="s">
        <v>9</v>
      </c>
      <c r="F7" s="27">
        <v>4</v>
      </c>
      <c r="G7" s="27">
        <v>10</v>
      </c>
      <c r="H7" s="27">
        <v>2003</v>
      </c>
      <c r="I7" s="27" t="s">
        <v>10</v>
      </c>
      <c r="J7" s="25">
        <v>95</v>
      </c>
      <c r="K7" s="25">
        <f>Sales!$B7-Sales!$J7</f>
        <v>1.6599999999999966</v>
      </c>
      <c r="L7" s="28">
        <f>(Sales!$J7-Sales!$B7)/Sales!$J7</f>
        <v>-1.747368421052628E-2</v>
      </c>
      <c r="M7" s="28" t="str">
        <f t="shared" si="0"/>
        <v>Below 0%</v>
      </c>
      <c r="N7" s="27" t="s">
        <v>22</v>
      </c>
      <c r="O7" s="27" t="s">
        <v>12</v>
      </c>
      <c r="P7" s="27" t="s">
        <v>13</v>
      </c>
      <c r="Q7" s="27" t="s">
        <v>19</v>
      </c>
      <c r="S7" s="15"/>
    </row>
    <row r="8" spans="1:19" x14ac:dyDescent="0.3">
      <c r="A8" s="22">
        <v>29</v>
      </c>
      <c r="B8" s="19">
        <v>86.13</v>
      </c>
      <c r="C8" s="20">
        <f>Sales!$B8*Sales!$A8</f>
        <v>2497.77</v>
      </c>
      <c r="D8" s="21">
        <v>37936</v>
      </c>
      <c r="E8" s="22" t="s">
        <v>9</v>
      </c>
      <c r="F8" s="22">
        <v>4</v>
      </c>
      <c r="G8" s="22">
        <v>11</v>
      </c>
      <c r="H8" s="22">
        <v>2003</v>
      </c>
      <c r="I8" s="22" t="s">
        <v>10</v>
      </c>
      <c r="J8" s="20">
        <v>95</v>
      </c>
      <c r="K8" s="20">
        <f>Sales!$B8-Sales!$J8</f>
        <v>-8.8700000000000045</v>
      </c>
      <c r="L8" s="23">
        <f>(Sales!$J8-Sales!$B8)/Sales!$J8</f>
        <v>9.3368421052631628E-2</v>
      </c>
      <c r="M8" s="23" t="str">
        <f t="shared" si="0"/>
        <v>5%-10%</v>
      </c>
      <c r="N8" s="22" t="s">
        <v>23</v>
      </c>
      <c r="O8" s="22" t="s">
        <v>16</v>
      </c>
      <c r="P8" s="22" t="s">
        <v>17</v>
      </c>
      <c r="Q8" s="22" t="s">
        <v>14</v>
      </c>
    </row>
    <row r="9" spans="1:19" x14ac:dyDescent="0.3">
      <c r="A9" s="27">
        <v>48</v>
      </c>
      <c r="B9" s="24">
        <v>100</v>
      </c>
      <c r="C9" s="25">
        <f>Sales!$B9*Sales!$A9</f>
        <v>4800</v>
      </c>
      <c r="D9" s="26">
        <v>37943</v>
      </c>
      <c r="E9" s="27" t="s">
        <v>9</v>
      </c>
      <c r="F9" s="27">
        <v>4</v>
      </c>
      <c r="G9" s="27">
        <v>11</v>
      </c>
      <c r="H9" s="27">
        <v>2003</v>
      </c>
      <c r="I9" s="27" t="s">
        <v>10</v>
      </c>
      <c r="J9" s="25">
        <v>95</v>
      </c>
      <c r="K9" s="25">
        <f>Sales!$B9-Sales!$J9</f>
        <v>5</v>
      </c>
      <c r="L9" s="28">
        <f>(Sales!$J9-Sales!$B9)/Sales!$J9</f>
        <v>-5.2631578947368418E-2</v>
      </c>
      <c r="M9" s="28" t="str">
        <f t="shared" si="0"/>
        <v>Below 0%</v>
      </c>
      <c r="N9" s="27" t="s">
        <v>24</v>
      </c>
      <c r="O9" s="27" t="s">
        <v>25</v>
      </c>
      <c r="P9" s="27" t="s">
        <v>17</v>
      </c>
      <c r="Q9" s="27" t="s">
        <v>19</v>
      </c>
    </row>
    <row r="10" spans="1:19" x14ac:dyDescent="0.3">
      <c r="A10" s="22">
        <v>22</v>
      </c>
      <c r="B10" s="19">
        <v>98.57</v>
      </c>
      <c r="C10" s="20">
        <f>Sales!$B10*Sales!$A10</f>
        <v>2168.54</v>
      </c>
      <c r="D10" s="21">
        <v>37956</v>
      </c>
      <c r="E10" s="22" t="s">
        <v>9</v>
      </c>
      <c r="F10" s="22">
        <v>4</v>
      </c>
      <c r="G10" s="22">
        <v>12</v>
      </c>
      <c r="H10" s="22">
        <v>2003</v>
      </c>
      <c r="I10" s="22" t="s">
        <v>10</v>
      </c>
      <c r="J10" s="20">
        <v>95</v>
      </c>
      <c r="K10" s="20">
        <f>Sales!$B10-Sales!$J10</f>
        <v>3.5699999999999932</v>
      </c>
      <c r="L10" s="23">
        <f>(Sales!$J10-Sales!$B10)/Sales!$J10</f>
        <v>-3.7578947368420983E-2</v>
      </c>
      <c r="M10" s="23" t="str">
        <f t="shared" si="0"/>
        <v>Below 0%</v>
      </c>
      <c r="N10" s="22" t="s">
        <v>21</v>
      </c>
      <c r="O10" s="22" t="s">
        <v>12</v>
      </c>
      <c r="P10" s="22" t="s">
        <v>13</v>
      </c>
      <c r="Q10" s="22" t="s">
        <v>14</v>
      </c>
    </row>
    <row r="11" spans="1:19" x14ac:dyDescent="0.3">
      <c r="A11" s="27">
        <v>41</v>
      </c>
      <c r="B11" s="24">
        <v>100</v>
      </c>
      <c r="C11" s="25">
        <f>Sales!$B11*Sales!$A11</f>
        <v>4100</v>
      </c>
      <c r="D11" s="26">
        <v>38001</v>
      </c>
      <c r="E11" s="27" t="s">
        <v>9</v>
      </c>
      <c r="F11" s="27">
        <v>1</v>
      </c>
      <c r="G11" s="27">
        <v>1</v>
      </c>
      <c r="H11" s="27">
        <v>2004</v>
      </c>
      <c r="I11" s="27" t="s">
        <v>10</v>
      </c>
      <c r="J11" s="25">
        <v>95</v>
      </c>
      <c r="K11" s="25">
        <f>Sales!$B11-Sales!$J11</f>
        <v>5</v>
      </c>
      <c r="L11" s="28">
        <f>(Sales!$J11-Sales!$B11)/Sales!$J11</f>
        <v>-5.2631578947368418E-2</v>
      </c>
      <c r="M11" s="28" t="str">
        <f t="shared" si="0"/>
        <v>Below 0%</v>
      </c>
      <c r="N11" s="27" t="s">
        <v>18</v>
      </c>
      <c r="O11" s="27" t="s">
        <v>16</v>
      </c>
      <c r="P11" s="27" t="s">
        <v>17</v>
      </c>
      <c r="Q11" s="27" t="s">
        <v>19</v>
      </c>
    </row>
    <row r="12" spans="1:19" x14ac:dyDescent="0.3">
      <c r="A12" s="22">
        <v>37</v>
      </c>
      <c r="B12" s="19">
        <v>100</v>
      </c>
      <c r="C12" s="20">
        <f>Sales!$B12*Sales!$A12</f>
        <v>3700</v>
      </c>
      <c r="D12" s="21">
        <v>38037</v>
      </c>
      <c r="E12" s="22" t="s">
        <v>9</v>
      </c>
      <c r="F12" s="22">
        <v>1</v>
      </c>
      <c r="G12" s="22">
        <v>2</v>
      </c>
      <c r="H12" s="22">
        <v>2004</v>
      </c>
      <c r="I12" s="22" t="s">
        <v>10</v>
      </c>
      <c r="J12" s="20">
        <v>95</v>
      </c>
      <c r="K12" s="20">
        <f>Sales!$B12-Sales!$J12</f>
        <v>5</v>
      </c>
      <c r="L12" s="23">
        <f>(Sales!$J12-Sales!$B12)/Sales!$J12</f>
        <v>-5.2631578947368418E-2</v>
      </c>
      <c r="M12" s="23" t="str">
        <f t="shared" si="0"/>
        <v>Below 0%</v>
      </c>
      <c r="N12" s="22" t="s">
        <v>26</v>
      </c>
      <c r="O12" s="22" t="s">
        <v>27</v>
      </c>
      <c r="P12" s="22" t="s">
        <v>28</v>
      </c>
      <c r="Q12" s="22" t="s">
        <v>19</v>
      </c>
    </row>
    <row r="13" spans="1:19" x14ac:dyDescent="0.3">
      <c r="A13" s="27">
        <v>23</v>
      </c>
      <c r="B13" s="24">
        <v>100</v>
      </c>
      <c r="C13" s="25">
        <f>Sales!$B13*Sales!$A13</f>
        <v>2300</v>
      </c>
      <c r="D13" s="26">
        <v>38082</v>
      </c>
      <c r="E13" s="27" t="s">
        <v>9</v>
      </c>
      <c r="F13" s="27">
        <v>2</v>
      </c>
      <c r="G13" s="27">
        <v>4</v>
      </c>
      <c r="H13" s="27">
        <v>2004</v>
      </c>
      <c r="I13" s="27" t="s">
        <v>10</v>
      </c>
      <c r="J13" s="25">
        <v>95</v>
      </c>
      <c r="K13" s="25">
        <f>Sales!$B13-Sales!$J13</f>
        <v>5</v>
      </c>
      <c r="L13" s="28">
        <f>(Sales!$J13-Sales!$B13)/Sales!$J13</f>
        <v>-5.2631578947368418E-2</v>
      </c>
      <c r="M13" s="28" t="str">
        <f t="shared" si="0"/>
        <v>Below 0%</v>
      </c>
      <c r="N13" s="27" t="s">
        <v>11</v>
      </c>
      <c r="O13" s="27" t="s">
        <v>12</v>
      </c>
      <c r="P13" s="27" t="s">
        <v>13</v>
      </c>
      <c r="Q13" s="27" t="s">
        <v>14</v>
      </c>
    </row>
    <row r="14" spans="1:19" x14ac:dyDescent="0.3">
      <c r="A14" s="22">
        <v>28</v>
      </c>
      <c r="B14" s="19">
        <v>100</v>
      </c>
      <c r="C14" s="20">
        <f>Sales!$B14*Sales!$A14</f>
        <v>2800</v>
      </c>
      <c r="D14" s="21">
        <v>38125</v>
      </c>
      <c r="E14" s="22" t="s">
        <v>9</v>
      </c>
      <c r="F14" s="22">
        <v>2</v>
      </c>
      <c r="G14" s="22">
        <v>5</v>
      </c>
      <c r="H14" s="22">
        <v>2004</v>
      </c>
      <c r="I14" s="22" t="s">
        <v>10</v>
      </c>
      <c r="J14" s="20">
        <v>95</v>
      </c>
      <c r="K14" s="20">
        <f>Sales!$B14-Sales!$J14</f>
        <v>5</v>
      </c>
      <c r="L14" s="23">
        <f>(Sales!$J14-Sales!$B14)/Sales!$J14</f>
        <v>-5.2631578947368418E-2</v>
      </c>
      <c r="M14" s="23" t="str">
        <f t="shared" si="0"/>
        <v>Below 0%</v>
      </c>
      <c r="N14" s="22" t="s">
        <v>29</v>
      </c>
      <c r="O14" s="22" t="s">
        <v>12</v>
      </c>
      <c r="P14" s="22" t="s">
        <v>13</v>
      </c>
      <c r="Q14" s="22" t="s">
        <v>19</v>
      </c>
    </row>
    <row r="15" spans="1:19" x14ac:dyDescent="0.3">
      <c r="A15" s="27">
        <v>34</v>
      </c>
      <c r="B15" s="24">
        <v>100</v>
      </c>
      <c r="C15" s="25">
        <f>Sales!$B15*Sales!$A15</f>
        <v>3400</v>
      </c>
      <c r="D15" s="26">
        <v>38166</v>
      </c>
      <c r="E15" s="27" t="s">
        <v>9</v>
      </c>
      <c r="F15" s="27">
        <v>2</v>
      </c>
      <c r="G15" s="27">
        <v>6</v>
      </c>
      <c r="H15" s="27">
        <v>2004</v>
      </c>
      <c r="I15" s="27" t="s">
        <v>10</v>
      </c>
      <c r="J15" s="25">
        <v>95</v>
      </c>
      <c r="K15" s="25">
        <f>Sales!$B15-Sales!$J15</f>
        <v>5</v>
      </c>
      <c r="L15" s="28">
        <f>(Sales!$J15-Sales!$B15)/Sales!$J15</f>
        <v>-5.2631578947368418E-2</v>
      </c>
      <c r="M15" s="28" t="str">
        <f t="shared" si="0"/>
        <v>Below 0%</v>
      </c>
      <c r="N15" s="27" t="s">
        <v>30</v>
      </c>
      <c r="O15" s="27" t="s">
        <v>12</v>
      </c>
      <c r="P15" s="27" t="s">
        <v>13</v>
      </c>
      <c r="Q15" s="27" t="s">
        <v>19</v>
      </c>
    </row>
    <row r="16" spans="1:19" x14ac:dyDescent="0.3">
      <c r="A16" s="22">
        <v>45</v>
      </c>
      <c r="B16" s="19">
        <v>92.83</v>
      </c>
      <c r="C16" s="20">
        <f>Sales!$B16*Sales!$A16</f>
        <v>4177.3500000000004</v>
      </c>
      <c r="D16" s="21">
        <v>38191</v>
      </c>
      <c r="E16" s="22" t="s">
        <v>9</v>
      </c>
      <c r="F16" s="22">
        <v>3</v>
      </c>
      <c r="G16" s="22">
        <v>7</v>
      </c>
      <c r="H16" s="22">
        <v>2004</v>
      </c>
      <c r="I16" s="22" t="s">
        <v>10</v>
      </c>
      <c r="J16" s="20">
        <v>95</v>
      </c>
      <c r="K16" s="20">
        <f>Sales!$B16-Sales!$J16</f>
        <v>-2.1700000000000017</v>
      </c>
      <c r="L16" s="23">
        <f>(Sales!$J16-Sales!$B16)/Sales!$J16</f>
        <v>2.2842105263157914E-2</v>
      </c>
      <c r="M16" s="23" t="str">
        <f t="shared" si="0"/>
        <v>0%-5%</v>
      </c>
      <c r="N16" s="22" t="s">
        <v>31</v>
      </c>
      <c r="O16" s="22" t="s">
        <v>16</v>
      </c>
      <c r="P16" s="22" t="s">
        <v>17</v>
      </c>
      <c r="Q16" s="22" t="s">
        <v>19</v>
      </c>
    </row>
    <row r="17" spans="1:17" x14ac:dyDescent="0.3">
      <c r="A17" s="27">
        <v>36</v>
      </c>
      <c r="B17" s="24">
        <v>100</v>
      </c>
      <c r="C17" s="25">
        <f>Sales!$B17*Sales!$A17</f>
        <v>3600</v>
      </c>
      <c r="D17" s="26">
        <v>38226</v>
      </c>
      <c r="E17" s="27" t="s">
        <v>9</v>
      </c>
      <c r="F17" s="27">
        <v>3</v>
      </c>
      <c r="G17" s="27">
        <v>8</v>
      </c>
      <c r="H17" s="27">
        <v>2004</v>
      </c>
      <c r="I17" s="27" t="s">
        <v>10</v>
      </c>
      <c r="J17" s="25">
        <v>95</v>
      </c>
      <c r="K17" s="25">
        <f>Sales!$B17-Sales!$J17</f>
        <v>5</v>
      </c>
      <c r="L17" s="28">
        <f>(Sales!$J17-Sales!$B17)/Sales!$J17</f>
        <v>-5.2631578947368418E-2</v>
      </c>
      <c r="M17" s="28" t="str">
        <f t="shared" si="0"/>
        <v>Below 0%</v>
      </c>
      <c r="N17" s="27" t="s">
        <v>32</v>
      </c>
      <c r="O17" s="27" t="s">
        <v>12</v>
      </c>
      <c r="P17" s="27" t="s">
        <v>13</v>
      </c>
      <c r="Q17" s="27" t="s">
        <v>19</v>
      </c>
    </row>
    <row r="18" spans="1:17" x14ac:dyDescent="0.3">
      <c r="A18" s="22">
        <v>23</v>
      </c>
      <c r="B18" s="19">
        <v>100</v>
      </c>
      <c r="C18" s="20">
        <f>Sales!$B18*Sales!$A18</f>
        <v>2300</v>
      </c>
      <c r="D18" s="21">
        <v>38260</v>
      </c>
      <c r="E18" s="22" t="s">
        <v>9</v>
      </c>
      <c r="F18" s="22">
        <v>3</v>
      </c>
      <c r="G18" s="22">
        <v>9</v>
      </c>
      <c r="H18" s="22">
        <v>2004</v>
      </c>
      <c r="I18" s="22" t="s">
        <v>10</v>
      </c>
      <c r="J18" s="20">
        <v>95</v>
      </c>
      <c r="K18" s="20">
        <f>Sales!$B18-Sales!$J18</f>
        <v>5</v>
      </c>
      <c r="L18" s="23">
        <f>(Sales!$J18-Sales!$B18)/Sales!$J18</f>
        <v>-5.2631578947368418E-2</v>
      </c>
      <c r="M18" s="23" t="str">
        <f t="shared" si="0"/>
        <v>Below 0%</v>
      </c>
      <c r="N18" s="22" t="s">
        <v>33</v>
      </c>
      <c r="O18" s="22" t="s">
        <v>34</v>
      </c>
      <c r="P18" s="22" t="s">
        <v>17</v>
      </c>
      <c r="Q18" s="22" t="s">
        <v>14</v>
      </c>
    </row>
    <row r="19" spans="1:17" x14ac:dyDescent="0.3">
      <c r="A19" s="27">
        <v>41</v>
      </c>
      <c r="B19" s="24">
        <v>100</v>
      </c>
      <c r="C19" s="25">
        <f>Sales!$B19*Sales!$A19</f>
        <v>4100</v>
      </c>
      <c r="D19" s="26">
        <v>38275</v>
      </c>
      <c r="E19" s="27" t="s">
        <v>9</v>
      </c>
      <c r="F19" s="27">
        <v>4</v>
      </c>
      <c r="G19" s="27">
        <v>10</v>
      </c>
      <c r="H19" s="27">
        <v>2004</v>
      </c>
      <c r="I19" s="27" t="s">
        <v>10</v>
      </c>
      <c r="J19" s="25">
        <v>95</v>
      </c>
      <c r="K19" s="25">
        <f>Sales!$B19-Sales!$J19</f>
        <v>5</v>
      </c>
      <c r="L19" s="28">
        <f>(Sales!$J19-Sales!$B19)/Sales!$J19</f>
        <v>-5.2631578947368418E-2</v>
      </c>
      <c r="M19" s="28" t="str">
        <f t="shared" si="0"/>
        <v>Below 0%</v>
      </c>
      <c r="N19" s="27" t="s">
        <v>35</v>
      </c>
      <c r="O19" s="27" t="s">
        <v>25</v>
      </c>
      <c r="P19" s="27" t="s">
        <v>17</v>
      </c>
      <c r="Q19" s="27" t="s">
        <v>19</v>
      </c>
    </row>
    <row r="20" spans="1:17" x14ac:dyDescent="0.3">
      <c r="A20" s="22">
        <v>46</v>
      </c>
      <c r="B20" s="19">
        <v>94.74</v>
      </c>
      <c r="C20" s="20">
        <f>Sales!$B20*Sales!$A20</f>
        <v>4358.04</v>
      </c>
      <c r="D20" s="21">
        <v>38293</v>
      </c>
      <c r="E20" s="22" t="s">
        <v>9</v>
      </c>
      <c r="F20" s="22">
        <v>4</v>
      </c>
      <c r="G20" s="22">
        <v>11</v>
      </c>
      <c r="H20" s="22">
        <v>2004</v>
      </c>
      <c r="I20" s="22" t="s">
        <v>10</v>
      </c>
      <c r="J20" s="20">
        <v>95</v>
      </c>
      <c r="K20" s="20">
        <f>Sales!$B20-Sales!$J20</f>
        <v>-0.26000000000000512</v>
      </c>
      <c r="L20" s="23">
        <f>(Sales!$J20-Sales!$B20)/Sales!$J20</f>
        <v>2.736842105263212E-3</v>
      </c>
      <c r="M20" s="23" t="s">
        <v>130</v>
      </c>
      <c r="N20" s="22" t="s">
        <v>36</v>
      </c>
      <c r="O20" s="22" t="s">
        <v>12</v>
      </c>
      <c r="P20" s="22" t="s">
        <v>13</v>
      </c>
      <c r="Q20" s="22" t="s">
        <v>19</v>
      </c>
    </row>
    <row r="21" spans="1:17" x14ac:dyDescent="0.3">
      <c r="A21" s="27">
        <v>42</v>
      </c>
      <c r="B21" s="24">
        <v>100</v>
      </c>
      <c r="C21" s="25">
        <f>Sales!$B21*Sales!$A21</f>
        <v>4200</v>
      </c>
      <c r="D21" s="26">
        <v>38306</v>
      </c>
      <c r="E21" s="27" t="s">
        <v>9</v>
      </c>
      <c r="F21" s="27">
        <v>4</v>
      </c>
      <c r="G21" s="27">
        <v>11</v>
      </c>
      <c r="H21" s="27">
        <v>2004</v>
      </c>
      <c r="I21" s="27" t="s">
        <v>10</v>
      </c>
      <c r="J21" s="25">
        <v>95</v>
      </c>
      <c r="K21" s="25">
        <f>Sales!$B21-Sales!$J21</f>
        <v>5</v>
      </c>
      <c r="L21" s="28">
        <f>(Sales!$J21-Sales!$B21)/Sales!$J21</f>
        <v>-5.2631578947368418E-2</v>
      </c>
      <c r="M21" s="28" t="str">
        <f t="shared" si="0"/>
        <v>Below 0%</v>
      </c>
      <c r="N21" s="27" t="s">
        <v>11</v>
      </c>
      <c r="O21" s="27" t="s">
        <v>12</v>
      </c>
      <c r="P21" s="27" t="s">
        <v>13</v>
      </c>
      <c r="Q21" s="27" t="s">
        <v>19</v>
      </c>
    </row>
    <row r="22" spans="1:17" x14ac:dyDescent="0.3">
      <c r="A22" s="22">
        <v>41</v>
      </c>
      <c r="B22" s="19">
        <v>100</v>
      </c>
      <c r="C22" s="20">
        <f>Sales!$B22*Sales!$A22</f>
        <v>4100</v>
      </c>
      <c r="D22" s="21">
        <v>38315</v>
      </c>
      <c r="E22" s="22" t="s">
        <v>9</v>
      </c>
      <c r="F22" s="22">
        <v>4</v>
      </c>
      <c r="G22" s="22">
        <v>11</v>
      </c>
      <c r="H22" s="22">
        <v>2004</v>
      </c>
      <c r="I22" s="22" t="s">
        <v>10</v>
      </c>
      <c r="J22" s="20">
        <v>95</v>
      </c>
      <c r="K22" s="20">
        <f>Sales!$B22-Sales!$J22</f>
        <v>5</v>
      </c>
      <c r="L22" s="23">
        <f>(Sales!$J22-Sales!$B22)/Sales!$J22</f>
        <v>-5.2631578947368418E-2</v>
      </c>
      <c r="M22" s="23" t="str">
        <f t="shared" si="0"/>
        <v>Below 0%</v>
      </c>
      <c r="N22" s="22" t="s">
        <v>37</v>
      </c>
      <c r="O22" s="22" t="s">
        <v>38</v>
      </c>
      <c r="P22" s="22" t="s">
        <v>17</v>
      </c>
      <c r="Q22" s="22" t="s">
        <v>39</v>
      </c>
    </row>
    <row r="23" spans="1:17" x14ac:dyDescent="0.3">
      <c r="A23" s="27">
        <v>20</v>
      </c>
      <c r="B23" s="24">
        <v>72.55</v>
      </c>
      <c r="C23" s="25">
        <f>Sales!$B23*Sales!$A23</f>
        <v>1451</v>
      </c>
      <c r="D23" s="26">
        <v>38338</v>
      </c>
      <c r="E23" s="27" t="s">
        <v>9</v>
      </c>
      <c r="F23" s="27">
        <v>4</v>
      </c>
      <c r="G23" s="27">
        <v>12</v>
      </c>
      <c r="H23" s="27">
        <v>2004</v>
      </c>
      <c r="I23" s="27" t="s">
        <v>10</v>
      </c>
      <c r="J23" s="25">
        <v>95</v>
      </c>
      <c r="K23" s="25">
        <f>Sales!$B23-Sales!$J23</f>
        <v>-22.450000000000003</v>
      </c>
      <c r="L23" s="28">
        <f>(Sales!$J23-Sales!$B23)/Sales!$J23</f>
        <v>0.23631578947368423</v>
      </c>
      <c r="M23" s="28" t="str">
        <f t="shared" si="0"/>
        <v>+20%</v>
      </c>
      <c r="N23" s="27" t="s">
        <v>40</v>
      </c>
      <c r="O23" s="27" t="s">
        <v>27</v>
      </c>
      <c r="P23" s="27" t="s">
        <v>28</v>
      </c>
      <c r="Q23" s="27" t="s">
        <v>14</v>
      </c>
    </row>
    <row r="24" spans="1:17" x14ac:dyDescent="0.3">
      <c r="A24" s="22">
        <v>21</v>
      </c>
      <c r="B24" s="19">
        <v>34.909999999999997</v>
      </c>
      <c r="C24" s="20">
        <f>Sales!$B24*Sales!$A24</f>
        <v>733.1099999999999</v>
      </c>
      <c r="D24" s="21">
        <v>38386</v>
      </c>
      <c r="E24" s="22" t="s">
        <v>9</v>
      </c>
      <c r="F24" s="22">
        <v>1</v>
      </c>
      <c r="G24" s="22">
        <v>2</v>
      </c>
      <c r="H24" s="22">
        <v>2005</v>
      </c>
      <c r="I24" s="22" t="s">
        <v>10</v>
      </c>
      <c r="J24" s="20">
        <v>95</v>
      </c>
      <c r="K24" s="20">
        <f>Sales!$B24-Sales!$J24</f>
        <v>-60.09</v>
      </c>
      <c r="L24" s="23">
        <f>(Sales!$J24-Sales!$B24)/Sales!$J24</f>
        <v>0.63252631578947371</v>
      </c>
      <c r="M24" s="23" t="str">
        <f t="shared" si="0"/>
        <v>+20%</v>
      </c>
      <c r="N24" s="22" t="s">
        <v>31</v>
      </c>
      <c r="O24" s="22" t="s">
        <v>16</v>
      </c>
      <c r="P24" s="22" t="s">
        <v>17</v>
      </c>
      <c r="Q24" s="22" t="s">
        <v>14</v>
      </c>
    </row>
    <row r="25" spans="1:17" x14ac:dyDescent="0.3">
      <c r="A25" s="27">
        <v>42</v>
      </c>
      <c r="B25" s="24">
        <v>76.36</v>
      </c>
      <c r="C25" s="25">
        <f>Sales!$B25*Sales!$A25</f>
        <v>3207.12</v>
      </c>
      <c r="D25" s="26">
        <v>38414</v>
      </c>
      <c r="E25" s="27" t="s">
        <v>9</v>
      </c>
      <c r="F25" s="27">
        <v>1</v>
      </c>
      <c r="G25" s="27">
        <v>3</v>
      </c>
      <c r="H25" s="27">
        <v>2005</v>
      </c>
      <c r="I25" s="27" t="s">
        <v>10</v>
      </c>
      <c r="J25" s="25">
        <v>95</v>
      </c>
      <c r="K25" s="25">
        <f>Sales!$B25-Sales!$J25</f>
        <v>-18.64</v>
      </c>
      <c r="L25" s="28">
        <f>(Sales!$J25-Sales!$B25)/Sales!$J25</f>
        <v>0.19621052631578947</v>
      </c>
      <c r="M25" s="28" t="str">
        <f t="shared" si="0"/>
        <v>15%-20%</v>
      </c>
      <c r="N25" s="27" t="s">
        <v>41</v>
      </c>
      <c r="O25" s="27" t="s">
        <v>12</v>
      </c>
      <c r="P25" s="27" t="s">
        <v>13</v>
      </c>
      <c r="Q25" s="27" t="s">
        <v>19</v>
      </c>
    </row>
    <row r="26" spans="1:17" x14ac:dyDescent="0.3">
      <c r="A26" s="22">
        <v>24</v>
      </c>
      <c r="B26" s="19">
        <v>100</v>
      </c>
      <c r="C26" s="20">
        <f>Sales!$B26*Sales!$A26</f>
        <v>2400</v>
      </c>
      <c r="D26" s="21">
        <v>38450</v>
      </c>
      <c r="E26" s="22" t="s">
        <v>9</v>
      </c>
      <c r="F26" s="22">
        <v>2</v>
      </c>
      <c r="G26" s="22">
        <v>4</v>
      </c>
      <c r="H26" s="22">
        <v>2005</v>
      </c>
      <c r="I26" s="22" t="s">
        <v>10</v>
      </c>
      <c r="J26" s="20">
        <v>95</v>
      </c>
      <c r="K26" s="20">
        <f>Sales!$B26-Sales!$J26</f>
        <v>5</v>
      </c>
      <c r="L26" s="23">
        <f>(Sales!$J26-Sales!$B26)/Sales!$J26</f>
        <v>-5.2631578947368418E-2</v>
      </c>
      <c r="M26" s="23" t="str">
        <f t="shared" si="0"/>
        <v>Below 0%</v>
      </c>
      <c r="N26" s="22" t="s">
        <v>42</v>
      </c>
      <c r="O26" s="22" t="s">
        <v>43</v>
      </c>
      <c r="P26" s="22" t="s">
        <v>17</v>
      </c>
      <c r="Q26" s="22" t="s">
        <v>14</v>
      </c>
    </row>
    <row r="27" spans="1:17" x14ac:dyDescent="0.3">
      <c r="A27" s="27">
        <v>66</v>
      </c>
      <c r="B27" s="24">
        <v>100</v>
      </c>
      <c r="C27" s="25">
        <f>Sales!$B27*Sales!$A27</f>
        <v>6600</v>
      </c>
      <c r="D27" s="26">
        <v>38485</v>
      </c>
      <c r="E27" s="27" t="s">
        <v>44</v>
      </c>
      <c r="F27" s="27">
        <v>2</v>
      </c>
      <c r="G27" s="27">
        <v>5</v>
      </c>
      <c r="H27" s="27">
        <v>2005</v>
      </c>
      <c r="I27" s="27" t="s">
        <v>10</v>
      </c>
      <c r="J27" s="25">
        <v>95</v>
      </c>
      <c r="K27" s="25">
        <f>Sales!$B27-Sales!$J27</f>
        <v>5</v>
      </c>
      <c r="L27" s="28">
        <f>(Sales!$J27-Sales!$B27)/Sales!$J27</f>
        <v>-5.2631578947368418E-2</v>
      </c>
      <c r="M27" s="28" t="str">
        <f t="shared" si="0"/>
        <v>Below 0%</v>
      </c>
      <c r="N27" s="27" t="s">
        <v>45</v>
      </c>
      <c r="O27" s="27" t="s">
        <v>46</v>
      </c>
      <c r="P27" s="27" t="s">
        <v>17</v>
      </c>
      <c r="Q27" s="27" t="s">
        <v>39</v>
      </c>
    </row>
    <row r="28" spans="1:17" x14ac:dyDescent="0.3">
      <c r="A28" s="22">
        <v>26</v>
      </c>
      <c r="B28" s="19">
        <v>100</v>
      </c>
      <c r="C28" s="20">
        <f>Sales!$B28*Sales!$A28</f>
        <v>2600</v>
      </c>
      <c r="D28" s="21">
        <v>37650</v>
      </c>
      <c r="E28" s="22" t="s">
        <v>9</v>
      </c>
      <c r="F28" s="22">
        <v>1</v>
      </c>
      <c r="G28" s="22">
        <v>1</v>
      </c>
      <c r="H28" s="22">
        <v>2003</v>
      </c>
      <c r="I28" s="22" t="s">
        <v>47</v>
      </c>
      <c r="J28" s="20">
        <v>214</v>
      </c>
      <c r="K28" s="20">
        <f>Sales!$B28-Sales!$J28</f>
        <v>-114</v>
      </c>
      <c r="L28" s="23">
        <f>(Sales!$J28-Sales!$B28)/Sales!$J28</f>
        <v>0.53271028037383172</v>
      </c>
      <c r="M28" s="23" t="str">
        <f t="shared" si="0"/>
        <v>+20%</v>
      </c>
      <c r="N28" s="22" t="s">
        <v>35</v>
      </c>
      <c r="O28" s="22" t="s">
        <v>25</v>
      </c>
      <c r="P28" s="22" t="s">
        <v>17</v>
      </c>
      <c r="Q28" s="22" t="s">
        <v>19</v>
      </c>
    </row>
    <row r="29" spans="1:17" x14ac:dyDescent="0.3">
      <c r="A29" s="27">
        <v>29</v>
      </c>
      <c r="B29" s="24">
        <v>100</v>
      </c>
      <c r="C29" s="25">
        <f>Sales!$B29*Sales!$A29</f>
        <v>2900</v>
      </c>
      <c r="D29" s="26">
        <v>37704</v>
      </c>
      <c r="E29" s="27" t="s">
        <v>9</v>
      </c>
      <c r="F29" s="27">
        <v>1</v>
      </c>
      <c r="G29" s="27">
        <v>3</v>
      </c>
      <c r="H29" s="27">
        <v>2003</v>
      </c>
      <c r="I29" s="27" t="s">
        <v>47</v>
      </c>
      <c r="J29" s="25">
        <v>214</v>
      </c>
      <c r="K29" s="25">
        <f>Sales!$B29-Sales!$J29</f>
        <v>-114</v>
      </c>
      <c r="L29" s="28">
        <f>(Sales!$J29-Sales!$B29)/Sales!$J29</f>
        <v>0.53271028037383172</v>
      </c>
      <c r="M29" s="28" t="str">
        <f t="shared" si="0"/>
        <v>+20%</v>
      </c>
      <c r="N29" s="27" t="s">
        <v>48</v>
      </c>
      <c r="O29" s="27" t="s">
        <v>49</v>
      </c>
      <c r="P29" s="27" t="s">
        <v>17</v>
      </c>
      <c r="Q29" s="27" t="s">
        <v>39</v>
      </c>
    </row>
    <row r="30" spans="1:17" x14ac:dyDescent="0.3">
      <c r="A30" s="22">
        <v>38</v>
      </c>
      <c r="B30" s="19">
        <v>100</v>
      </c>
      <c r="C30" s="20">
        <f>Sales!$B30*Sales!$A30</f>
        <v>3800</v>
      </c>
      <c r="D30" s="21">
        <v>37769</v>
      </c>
      <c r="E30" s="22" t="s">
        <v>9</v>
      </c>
      <c r="F30" s="22">
        <v>2</v>
      </c>
      <c r="G30" s="22">
        <v>5</v>
      </c>
      <c r="H30" s="22">
        <v>2003</v>
      </c>
      <c r="I30" s="22" t="s">
        <v>47</v>
      </c>
      <c r="J30" s="20">
        <v>214</v>
      </c>
      <c r="K30" s="20">
        <f>Sales!$B30-Sales!$J30</f>
        <v>-114</v>
      </c>
      <c r="L30" s="23">
        <f>(Sales!$J30-Sales!$B30)/Sales!$J30</f>
        <v>0.53271028037383172</v>
      </c>
      <c r="M30" s="23" t="str">
        <f t="shared" si="0"/>
        <v>+20%</v>
      </c>
      <c r="N30" s="22" t="s">
        <v>45</v>
      </c>
      <c r="O30" s="22" t="s">
        <v>46</v>
      </c>
      <c r="P30" s="22" t="s">
        <v>17</v>
      </c>
      <c r="Q30" s="22" t="s">
        <v>39</v>
      </c>
    </row>
    <row r="31" spans="1:17" x14ac:dyDescent="0.3">
      <c r="A31" s="27">
        <v>37</v>
      </c>
      <c r="B31" s="24">
        <v>100</v>
      </c>
      <c r="C31" s="25">
        <f>Sales!$B31*Sales!$A31</f>
        <v>3700</v>
      </c>
      <c r="D31" s="26">
        <v>37826</v>
      </c>
      <c r="E31" s="27" t="s">
        <v>9</v>
      </c>
      <c r="F31" s="27">
        <v>3</v>
      </c>
      <c r="G31" s="27">
        <v>7</v>
      </c>
      <c r="H31" s="27">
        <v>2003</v>
      </c>
      <c r="I31" s="27" t="s">
        <v>47</v>
      </c>
      <c r="J31" s="25">
        <v>214</v>
      </c>
      <c r="K31" s="25">
        <f>Sales!$B31-Sales!$J31</f>
        <v>-114</v>
      </c>
      <c r="L31" s="28">
        <f>(Sales!$J31-Sales!$B31)/Sales!$J31</f>
        <v>0.53271028037383172</v>
      </c>
      <c r="M31" s="28" t="str">
        <f t="shared" si="0"/>
        <v>+20%</v>
      </c>
      <c r="N31" s="27" t="s">
        <v>22</v>
      </c>
      <c r="O31" s="27" t="s">
        <v>12</v>
      </c>
      <c r="P31" s="27" t="s">
        <v>13</v>
      </c>
      <c r="Q31" s="27" t="s">
        <v>39</v>
      </c>
    </row>
    <row r="32" spans="1:17" x14ac:dyDescent="0.3">
      <c r="A32" s="22">
        <v>45</v>
      </c>
      <c r="B32" s="19">
        <v>100</v>
      </c>
      <c r="C32" s="20">
        <f>Sales!$B32*Sales!$A32</f>
        <v>4500</v>
      </c>
      <c r="D32" s="21">
        <v>37883</v>
      </c>
      <c r="E32" s="22" t="s">
        <v>9</v>
      </c>
      <c r="F32" s="22">
        <v>3</v>
      </c>
      <c r="G32" s="22">
        <v>9</v>
      </c>
      <c r="H32" s="22">
        <v>2003</v>
      </c>
      <c r="I32" s="22" t="s">
        <v>47</v>
      </c>
      <c r="J32" s="20">
        <v>214</v>
      </c>
      <c r="K32" s="20">
        <f>Sales!$B32-Sales!$J32</f>
        <v>-114</v>
      </c>
      <c r="L32" s="23">
        <f>(Sales!$J32-Sales!$B32)/Sales!$J32</f>
        <v>0.53271028037383172</v>
      </c>
      <c r="M32" s="23" t="str">
        <f t="shared" si="0"/>
        <v>+20%</v>
      </c>
      <c r="N32" s="22" t="s">
        <v>50</v>
      </c>
      <c r="O32" s="22" t="s">
        <v>50</v>
      </c>
      <c r="P32" s="22" t="s">
        <v>28</v>
      </c>
      <c r="Q32" s="22" t="s">
        <v>39</v>
      </c>
    </row>
    <row r="33" spans="1:17" x14ac:dyDescent="0.3">
      <c r="A33" s="27">
        <v>21</v>
      </c>
      <c r="B33" s="24">
        <v>100</v>
      </c>
      <c r="C33" s="25">
        <f>Sales!$B33*Sales!$A33</f>
        <v>2100</v>
      </c>
      <c r="D33" s="26">
        <v>37914</v>
      </c>
      <c r="E33" s="27" t="s">
        <v>9</v>
      </c>
      <c r="F33" s="27">
        <v>4</v>
      </c>
      <c r="G33" s="27">
        <v>10</v>
      </c>
      <c r="H33" s="27">
        <v>2003</v>
      </c>
      <c r="I33" s="27" t="s">
        <v>47</v>
      </c>
      <c r="J33" s="25">
        <v>214</v>
      </c>
      <c r="K33" s="25">
        <f>Sales!$B33-Sales!$J33</f>
        <v>-114</v>
      </c>
      <c r="L33" s="28">
        <f>(Sales!$J33-Sales!$B33)/Sales!$J33</f>
        <v>0.53271028037383172</v>
      </c>
      <c r="M33" s="28" t="str">
        <f t="shared" si="0"/>
        <v>+20%</v>
      </c>
      <c r="N33" s="27" t="s">
        <v>11</v>
      </c>
      <c r="O33" s="27" t="s">
        <v>12</v>
      </c>
      <c r="P33" s="27" t="s">
        <v>13</v>
      </c>
      <c r="Q33" s="27" t="s">
        <v>19</v>
      </c>
    </row>
    <row r="34" spans="1:17" x14ac:dyDescent="0.3">
      <c r="A34" s="22">
        <v>34</v>
      </c>
      <c r="B34" s="19">
        <v>100</v>
      </c>
      <c r="C34" s="20">
        <f>Sales!$B34*Sales!$A34</f>
        <v>3400</v>
      </c>
      <c r="D34" s="21">
        <v>37931</v>
      </c>
      <c r="E34" s="22" t="s">
        <v>9</v>
      </c>
      <c r="F34" s="22">
        <v>4</v>
      </c>
      <c r="G34" s="22">
        <v>11</v>
      </c>
      <c r="H34" s="22">
        <v>2003</v>
      </c>
      <c r="I34" s="22" t="s">
        <v>47</v>
      </c>
      <c r="J34" s="20">
        <v>214</v>
      </c>
      <c r="K34" s="20">
        <f>Sales!$B34-Sales!$J34</f>
        <v>-114</v>
      </c>
      <c r="L34" s="23">
        <f>(Sales!$J34-Sales!$B34)/Sales!$J34</f>
        <v>0.53271028037383172</v>
      </c>
      <c r="M34" s="23" t="str">
        <f t="shared" si="0"/>
        <v>+20%</v>
      </c>
      <c r="N34" s="22" t="s">
        <v>52</v>
      </c>
      <c r="O34" s="22" t="s">
        <v>27</v>
      </c>
      <c r="P34" s="22" t="s">
        <v>28</v>
      </c>
      <c r="Q34" s="22" t="s">
        <v>39</v>
      </c>
    </row>
    <row r="35" spans="1:17" x14ac:dyDescent="0.3">
      <c r="A35" s="27">
        <v>23</v>
      </c>
      <c r="B35" s="24">
        <v>100</v>
      </c>
      <c r="C35" s="25">
        <f>Sales!$B35*Sales!$A35</f>
        <v>2300</v>
      </c>
      <c r="D35" s="26">
        <v>37938</v>
      </c>
      <c r="E35" s="27" t="s">
        <v>9</v>
      </c>
      <c r="F35" s="27">
        <v>4</v>
      </c>
      <c r="G35" s="27">
        <v>11</v>
      </c>
      <c r="H35" s="27">
        <v>2003</v>
      </c>
      <c r="I35" s="27" t="s">
        <v>47</v>
      </c>
      <c r="J35" s="25">
        <v>214</v>
      </c>
      <c r="K35" s="25">
        <f>Sales!$B35-Sales!$J35</f>
        <v>-114</v>
      </c>
      <c r="L35" s="28">
        <f>(Sales!$J35-Sales!$B35)/Sales!$J35</f>
        <v>0.53271028037383172</v>
      </c>
      <c r="M35" s="28" t="str">
        <f t="shared" si="0"/>
        <v>+20%</v>
      </c>
      <c r="N35" s="27" t="s">
        <v>53</v>
      </c>
      <c r="O35" s="27" t="s">
        <v>12</v>
      </c>
      <c r="P35" s="27" t="s">
        <v>13</v>
      </c>
      <c r="Q35" s="27" t="s">
        <v>19</v>
      </c>
    </row>
    <row r="36" spans="1:17" x14ac:dyDescent="0.3">
      <c r="A36" s="22">
        <v>42</v>
      </c>
      <c r="B36" s="19">
        <v>100</v>
      </c>
      <c r="C36" s="20">
        <f>Sales!$B36*Sales!$A36</f>
        <v>4200</v>
      </c>
      <c r="D36" s="21">
        <v>37950</v>
      </c>
      <c r="E36" s="22" t="s">
        <v>9</v>
      </c>
      <c r="F36" s="22">
        <v>4</v>
      </c>
      <c r="G36" s="22">
        <v>11</v>
      </c>
      <c r="H36" s="22">
        <v>2003</v>
      </c>
      <c r="I36" s="22" t="s">
        <v>47</v>
      </c>
      <c r="J36" s="20">
        <v>214</v>
      </c>
      <c r="K36" s="20">
        <f>Sales!$B36-Sales!$J36</f>
        <v>-114</v>
      </c>
      <c r="L36" s="23">
        <f>(Sales!$J36-Sales!$B36)/Sales!$J36</f>
        <v>0.53271028037383172</v>
      </c>
      <c r="M36" s="23" t="str">
        <f t="shared" si="0"/>
        <v>+20%</v>
      </c>
      <c r="N36" s="22" t="s">
        <v>54</v>
      </c>
      <c r="O36" s="22" t="s">
        <v>16</v>
      </c>
      <c r="P36" s="22" t="s">
        <v>17</v>
      </c>
      <c r="Q36" s="22" t="s">
        <v>39</v>
      </c>
    </row>
    <row r="37" spans="1:17" x14ac:dyDescent="0.3">
      <c r="A37" s="27">
        <v>47</v>
      </c>
      <c r="B37" s="24">
        <v>100</v>
      </c>
      <c r="C37" s="25">
        <f>Sales!$B37*Sales!$A37</f>
        <v>4700</v>
      </c>
      <c r="D37" s="26">
        <v>37960</v>
      </c>
      <c r="E37" s="27" t="s">
        <v>9</v>
      </c>
      <c r="F37" s="27">
        <v>4</v>
      </c>
      <c r="G37" s="27">
        <v>12</v>
      </c>
      <c r="H37" s="27">
        <v>2003</v>
      </c>
      <c r="I37" s="27" t="s">
        <v>47</v>
      </c>
      <c r="J37" s="25">
        <v>214</v>
      </c>
      <c r="K37" s="25">
        <f>Sales!$B37-Sales!$J37</f>
        <v>-114</v>
      </c>
      <c r="L37" s="28">
        <f>(Sales!$J37-Sales!$B37)/Sales!$J37</f>
        <v>0.53271028037383172</v>
      </c>
      <c r="M37" s="28" t="str">
        <f t="shared" si="0"/>
        <v>+20%</v>
      </c>
      <c r="N37" s="27" t="s">
        <v>55</v>
      </c>
      <c r="O37" s="27" t="s">
        <v>56</v>
      </c>
      <c r="P37" s="27" t="s">
        <v>13</v>
      </c>
      <c r="Q37" s="27" t="s">
        <v>39</v>
      </c>
    </row>
    <row r="38" spans="1:17" x14ac:dyDescent="0.3">
      <c r="A38" s="22">
        <v>35</v>
      </c>
      <c r="B38" s="19">
        <v>100</v>
      </c>
      <c r="C38" s="20">
        <f>Sales!$B38*Sales!$A38</f>
        <v>3500</v>
      </c>
      <c r="D38" s="21">
        <v>38015</v>
      </c>
      <c r="E38" s="22" t="s">
        <v>9</v>
      </c>
      <c r="F38" s="22">
        <v>1</v>
      </c>
      <c r="G38" s="22">
        <v>1</v>
      </c>
      <c r="H38" s="22">
        <v>2004</v>
      </c>
      <c r="I38" s="22" t="s">
        <v>47</v>
      </c>
      <c r="J38" s="20">
        <v>214</v>
      </c>
      <c r="K38" s="20">
        <f>Sales!$B38-Sales!$J38</f>
        <v>-114</v>
      </c>
      <c r="L38" s="23">
        <f>(Sales!$J38-Sales!$B38)/Sales!$J38</f>
        <v>0.53271028037383172</v>
      </c>
      <c r="M38" s="23" t="str">
        <f t="shared" si="0"/>
        <v>+20%</v>
      </c>
      <c r="N38" s="22" t="s">
        <v>57</v>
      </c>
      <c r="O38" s="22" t="s">
        <v>12</v>
      </c>
      <c r="P38" s="22" t="s">
        <v>13</v>
      </c>
      <c r="Q38" s="22" t="s">
        <v>19</v>
      </c>
    </row>
    <row r="39" spans="1:17" x14ac:dyDescent="0.3">
      <c r="A39" s="27">
        <v>29</v>
      </c>
      <c r="B39" s="24">
        <v>100</v>
      </c>
      <c r="C39" s="25">
        <f>Sales!$B39*Sales!$A39</f>
        <v>2900</v>
      </c>
      <c r="D39" s="26">
        <v>38056</v>
      </c>
      <c r="E39" s="27" t="s">
        <v>9</v>
      </c>
      <c r="F39" s="27">
        <v>1</v>
      </c>
      <c r="G39" s="27">
        <v>3</v>
      </c>
      <c r="H39" s="27">
        <v>2004</v>
      </c>
      <c r="I39" s="27" t="s">
        <v>47</v>
      </c>
      <c r="J39" s="25">
        <v>214</v>
      </c>
      <c r="K39" s="25">
        <f>Sales!$B39-Sales!$J39</f>
        <v>-114</v>
      </c>
      <c r="L39" s="28">
        <f>(Sales!$J39-Sales!$B39)/Sales!$J39</f>
        <v>0.53271028037383172</v>
      </c>
      <c r="M39" s="28" t="str">
        <f t="shared" si="0"/>
        <v>+20%</v>
      </c>
      <c r="N39" s="27" t="s">
        <v>32</v>
      </c>
      <c r="O39" s="27" t="s">
        <v>12</v>
      </c>
      <c r="P39" s="27" t="s">
        <v>13</v>
      </c>
      <c r="Q39" s="27" t="s">
        <v>19</v>
      </c>
    </row>
    <row r="40" spans="1:17" x14ac:dyDescent="0.3">
      <c r="A40" s="22">
        <v>34</v>
      </c>
      <c r="B40" s="19">
        <v>100</v>
      </c>
      <c r="C40" s="20">
        <f>Sales!$B40*Sales!$A40</f>
        <v>3400</v>
      </c>
      <c r="D40" s="21">
        <v>38111</v>
      </c>
      <c r="E40" s="22" t="s">
        <v>9</v>
      </c>
      <c r="F40" s="22">
        <v>2</v>
      </c>
      <c r="G40" s="22">
        <v>5</v>
      </c>
      <c r="H40" s="22">
        <v>2004</v>
      </c>
      <c r="I40" s="22" t="s">
        <v>47</v>
      </c>
      <c r="J40" s="20">
        <v>214</v>
      </c>
      <c r="K40" s="20">
        <f>Sales!$B40-Sales!$J40</f>
        <v>-114</v>
      </c>
      <c r="L40" s="23">
        <f>(Sales!$J40-Sales!$B40)/Sales!$J40</f>
        <v>0.53271028037383172</v>
      </c>
      <c r="M40" s="23" t="str">
        <f t="shared" si="0"/>
        <v>+20%</v>
      </c>
      <c r="N40" s="22" t="s">
        <v>58</v>
      </c>
      <c r="O40" s="22" t="s">
        <v>12</v>
      </c>
      <c r="P40" s="22" t="s">
        <v>13</v>
      </c>
      <c r="Q40" s="22" t="s">
        <v>19</v>
      </c>
    </row>
    <row r="41" spans="1:17" x14ac:dyDescent="0.3">
      <c r="A41" s="27">
        <v>32</v>
      </c>
      <c r="B41" s="24">
        <v>100</v>
      </c>
      <c r="C41" s="25">
        <f>Sales!$B41*Sales!$A41</f>
        <v>3200</v>
      </c>
      <c r="D41" s="26">
        <v>38153</v>
      </c>
      <c r="E41" s="27" t="s">
        <v>9</v>
      </c>
      <c r="F41" s="27">
        <v>2</v>
      </c>
      <c r="G41" s="27">
        <v>6</v>
      </c>
      <c r="H41" s="27">
        <v>2004</v>
      </c>
      <c r="I41" s="27" t="s">
        <v>47</v>
      </c>
      <c r="J41" s="25">
        <v>214</v>
      </c>
      <c r="K41" s="25">
        <f>Sales!$B41-Sales!$J41</f>
        <v>-114</v>
      </c>
      <c r="L41" s="28">
        <f>(Sales!$J41-Sales!$B41)/Sales!$J41</f>
        <v>0.53271028037383172</v>
      </c>
      <c r="M41" s="28" t="str">
        <f t="shared" si="0"/>
        <v>+20%</v>
      </c>
      <c r="N41" s="27" t="s">
        <v>59</v>
      </c>
      <c r="O41" s="27" t="s">
        <v>51</v>
      </c>
      <c r="P41" s="27" t="s">
        <v>51</v>
      </c>
      <c r="Q41" s="27" t="s">
        <v>39</v>
      </c>
    </row>
    <row r="42" spans="1:17" x14ac:dyDescent="0.3">
      <c r="A42" s="22">
        <v>21</v>
      </c>
      <c r="B42" s="19">
        <v>100</v>
      </c>
      <c r="C42" s="20">
        <f>Sales!$B42*Sales!$A42</f>
        <v>2100</v>
      </c>
      <c r="D42" s="21">
        <v>38187</v>
      </c>
      <c r="E42" s="22" t="s">
        <v>9</v>
      </c>
      <c r="F42" s="22">
        <v>3</v>
      </c>
      <c r="G42" s="22">
        <v>7</v>
      </c>
      <c r="H42" s="22">
        <v>2004</v>
      </c>
      <c r="I42" s="22" t="s">
        <v>47</v>
      </c>
      <c r="J42" s="20">
        <v>214</v>
      </c>
      <c r="K42" s="20">
        <f>Sales!$B42-Sales!$J42</f>
        <v>-114</v>
      </c>
      <c r="L42" s="23">
        <f>(Sales!$J42-Sales!$B42)/Sales!$J42</f>
        <v>0.53271028037383172</v>
      </c>
      <c r="M42" s="23" t="str">
        <f t="shared" si="0"/>
        <v>+20%</v>
      </c>
      <c r="N42" s="22" t="s">
        <v>40</v>
      </c>
      <c r="O42" s="22" t="s">
        <v>27</v>
      </c>
      <c r="P42" s="22" t="s">
        <v>28</v>
      </c>
      <c r="Q42" s="22" t="s">
        <v>19</v>
      </c>
    </row>
    <row r="43" spans="1:17" x14ac:dyDescent="0.3">
      <c r="A43" s="27">
        <v>34</v>
      </c>
      <c r="B43" s="24">
        <v>100</v>
      </c>
      <c r="C43" s="25">
        <f>Sales!$B43*Sales!$A43</f>
        <v>3400</v>
      </c>
      <c r="D43" s="26">
        <v>38216</v>
      </c>
      <c r="E43" s="27" t="s">
        <v>9</v>
      </c>
      <c r="F43" s="27">
        <v>3</v>
      </c>
      <c r="G43" s="27">
        <v>8</v>
      </c>
      <c r="H43" s="27">
        <v>2004</v>
      </c>
      <c r="I43" s="27" t="s">
        <v>47</v>
      </c>
      <c r="J43" s="25">
        <v>214</v>
      </c>
      <c r="K43" s="25">
        <f>Sales!$B43-Sales!$J43</f>
        <v>-114</v>
      </c>
      <c r="L43" s="28">
        <f>(Sales!$J43-Sales!$B43)/Sales!$J43</f>
        <v>0.53271028037383172</v>
      </c>
      <c r="M43" s="28" t="str">
        <f t="shared" si="0"/>
        <v>+20%</v>
      </c>
      <c r="N43" s="27" t="s">
        <v>60</v>
      </c>
      <c r="O43" s="27" t="s">
        <v>61</v>
      </c>
      <c r="P43" s="27" t="s">
        <v>17</v>
      </c>
      <c r="Q43" s="27" t="s">
        <v>39</v>
      </c>
    </row>
    <row r="44" spans="1:17" x14ac:dyDescent="0.3">
      <c r="A44" s="22">
        <v>37</v>
      </c>
      <c r="B44" s="19">
        <v>100</v>
      </c>
      <c r="C44" s="20">
        <f>Sales!$B44*Sales!$A44</f>
        <v>3700</v>
      </c>
      <c r="D44" s="21">
        <v>38238</v>
      </c>
      <c r="E44" s="22" t="s">
        <v>9</v>
      </c>
      <c r="F44" s="22">
        <v>3</v>
      </c>
      <c r="G44" s="22">
        <v>9</v>
      </c>
      <c r="H44" s="22">
        <v>2004</v>
      </c>
      <c r="I44" s="22" t="s">
        <v>47</v>
      </c>
      <c r="J44" s="20">
        <v>214</v>
      </c>
      <c r="K44" s="20">
        <f>Sales!$B44-Sales!$J44</f>
        <v>-114</v>
      </c>
      <c r="L44" s="23">
        <f>(Sales!$J44-Sales!$B44)/Sales!$J44</f>
        <v>0.53271028037383172</v>
      </c>
      <c r="M44" s="23" t="str">
        <f t="shared" si="0"/>
        <v>+20%</v>
      </c>
      <c r="N44" s="22" t="s">
        <v>62</v>
      </c>
      <c r="O44" s="22" t="s">
        <v>49</v>
      </c>
      <c r="P44" s="22" t="s">
        <v>17</v>
      </c>
      <c r="Q44" s="22" t="s">
        <v>39</v>
      </c>
    </row>
    <row r="45" spans="1:17" x14ac:dyDescent="0.3">
      <c r="A45" s="27">
        <v>47</v>
      </c>
      <c r="B45" s="24">
        <v>100</v>
      </c>
      <c r="C45" s="25">
        <f>Sales!$B45*Sales!$A45</f>
        <v>4700</v>
      </c>
      <c r="D45" s="26">
        <v>38271</v>
      </c>
      <c r="E45" s="27" t="s">
        <v>9</v>
      </c>
      <c r="F45" s="27">
        <v>4</v>
      </c>
      <c r="G45" s="27">
        <v>10</v>
      </c>
      <c r="H45" s="27">
        <v>2004</v>
      </c>
      <c r="I45" s="27" t="s">
        <v>47</v>
      </c>
      <c r="J45" s="25">
        <v>214</v>
      </c>
      <c r="K45" s="25">
        <f>Sales!$B45-Sales!$J45</f>
        <v>-114</v>
      </c>
      <c r="L45" s="28">
        <f>(Sales!$J45-Sales!$B45)/Sales!$J45</f>
        <v>0.53271028037383172</v>
      </c>
      <c r="M45" s="28" t="str">
        <f t="shared" si="0"/>
        <v>+20%</v>
      </c>
      <c r="N45" s="27" t="s">
        <v>63</v>
      </c>
      <c r="O45" s="27" t="s">
        <v>16</v>
      </c>
      <c r="P45" s="27" t="s">
        <v>17</v>
      </c>
      <c r="Q45" s="27" t="s">
        <v>39</v>
      </c>
    </row>
    <row r="46" spans="1:17" x14ac:dyDescent="0.3">
      <c r="A46" s="22">
        <v>48</v>
      </c>
      <c r="B46" s="19">
        <v>100</v>
      </c>
      <c r="C46" s="20">
        <f>Sales!$B46*Sales!$A46</f>
        <v>4800</v>
      </c>
      <c r="D46" s="21">
        <v>38281</v>
      </c>
      <c r="E46" s="22" t="s">
        <v>9</v>
      </c>
      <c r="F46" s="22">
        <v>4</v>
      </c>
      <c r="G46" s="22">
        <v>10</v>
      </c>
      <c r="H46" s="22">
        <v>2004</v>
      </c>
      <c r="I46" s="22" t="s">
        <v>47</v>
      </c>
      <c r="J46" s="20">
        <v>214</v>
      </c>
      <c r="K46" s="20">
        <f>Sales!$B46-Sales!$J46</f>
        <v>-114</v>
      </c>
      <c r="L46" s="23">
        <f>(Sales!$J46-Sales!$B46)/Sales!$J46</f>
        <v>0.53271028037383172</v>
      </c>
      <c r="M46" s="23" t="str">
        <f t="shared" si="0"/>
        <v>+20%</v>
      </c>
      <c r="N46" s="22" t="s">
        <v>64</v>
      </c>
      <c r="O46" s="22" t="s">
        <v>12</v>
      </c>
      <c r="P46" s="22" t="s">
        <v>13</v>
      </c>
      <c r="Q46" s="22" t="s">
        <v>39</v>
      </c>
    </row>
    <row r="47" spans="1:17" x14ac:dyDescent="0.3">
      <c r="A47" s="27">
        <v>40</v>
      </c>
      <c r="B47" s="24">
        <v>100</v>
      </c>
      <c r="C47" s="25">
        <f>Sales!$B47*Sales!$A47</f>
        <v>4000</v>
      </c>
      <c r="D47" s="26">
        <v>38295</v>
      </c>
      <c r="E47" s="27" t="s">
        <v>9</v>
      </c>
      <c r="F47" s="27">
        <v>4</v>
      </c>
      <c r="G47" s="27">
        <v>11</v>
      </c>
      <c r="H47" s="27">
        <v>2004</v>
      </c>
      <c r="I47" s="27" t="s">
        <v>47</v>
      </c>
      <c r="J47" s="25">
        <v>214</v>
      </c>
      <c r="K47" s="25">
        <f>Sales!$B47-Sales!$J47</f>
        <v>-114</v>
      </c>
      <c r="L47" s="28">
        <f>(Sales!$J47-Sales!$B47)/Sales!$J47</f>
        <v>0.53271028037383172</v>
      </c>
      <c r="M47" s="28" t="str">
        <f t="shared" si="0"/>
        <v>+20%</v>
      </c>
      <c r="N47" s="27" t="s">
        <v>65</v>
      </c>
      <c r="O47" s="27" t="s">
        <v>12</v>
      </c>
      <c r="P47" s="27" t="s">
        <v>13</v>
      </c>
      <c r="Q47" s="27" t="s">
        <v>19</v>
      </c>
    </row>
    <row r="48" spans="1:17" x14ac:dyDescent="0.3">
      <c r="A48" s="22">
        <v>26</v>
      </c>
      <c r="B48" s="19">
        <v>100</v>
      </c>
      <c r="C48" s="20">
        <f>Sales!$B48*Sales!$A48</f>
        <v>2600</v>
      </c>
      <c r="D48" s="21">
        <v>38309</v>
      </c>
      <c r="E48" s="22" t="s">
        <v>9</v>
      </c>
      <c r="F48" s="22">
        <v>4</v>
      </c>
      <c r="G48" s="22">
        <v>11</v>
      </c>
      <c r="H48" s="22">
        <v>2004</v>
      </c>
      <c r="I48" s="22" t="s">
        <v>47</v>
      </c>
      <c r="J48" s="20">
        <v>214</v>
      </c>
      <c r="K48" s="20">
        <f>Sales!$B48-Sales!$J48</f>
        <v>-114</v>
      </c>
      <c r="L48" s="23">
        <f>(Sales!$J48-Sales!$B48)/Sales!$J48</f>
        <v>0.53271028037383172</v>
      </c>
      <c r="M48" s="23" t="str">
        <f t="shared" si="0"/>
        <v>+20%</v>
      </c>
      <c r="N48" s="22" t="s">
        <v>21</v>
      </c>
      <c r="O48" s="22" t="s">
        <v>12</v>
      </c>
      <c r="P48" s="22" t="s">
        <v>13</v>
      </c>
      <c r="Q48" s="22" t="s">
        <v>19</v>
      </c>
    </row>
    <row r="49" spans="1:17" x14ac:dyDescent="0.3">
      <c r="A49" s="27">
        <v>30</v>
      </c>
      <c r="B49" s="24">
        <v>100</v>
      </c>
      <c r="C49" s="25">
        <f>Sales!$B49*Sales!$A49</f>
        <v>3000</v>
      </c>
      <c r="D49" s="26">
        <v>38320</v>
      </c>
      <c r="E49" s="27" t="s">
        <v>9</v>
      </c>
      <c r="F49" s="27">
        <v>4</v>
      </c>
      <c r="G49" s="27">
        <v>11</v>
      </c>
      <c r="H49" s="27">
        <v>2004</v>
      </c>
      <c r="I49" s="27" t="s">
        <v>47</v>
      </c>
      <c r="J49" s="25">
        <v>214</v>
      </c>
      <c r="K49" s="25">
        <f>Sales!$B49-Sales!$J49</f>
        <v>-114</v>
      </c>
      <c r="L49" s="28">
        <f>(Sales!$J49-Sales!$B49)/Sales!$J49</f>
        <v>0.53271028037383172</v>
      </c>
      <c r="M49" s="28" t="str">
        <f t="shared" si="0"/>
        <v>+20%</v>
      </c>
      <c r="N49" s="27" t="s">
        <v>26</v>
      </c>
      <c r="O49" s="27" t="s">
        <v>27</v>
      </c>
      <c r="P49" s="27" t="s">
        <v>28</v>
      </c>
      <c r="Q49" s="27" t="s">
        <v>19</v>
      </c>
    </row>
    <row r="50" spans="1:17" x14ac:dyDescent="0.3">
      <c r="A50" s="22">
        <v>32</v>
      </c>
      <c r="B50" s="19">
        <v>100</v>
      </c>
      <c r="C50" s="20">
        <f>Sales!$B50*Sales!$A50</f>
        <v>3200</v>
      </c>
      <c r="D50" s="21">
        <v>38331</v>
      </c>
      <c r="E50" s="22" t="s">
        <v>9</v>
      </c>
      <c r="F50" s="22">
        <v>4</v>
      </c>
      <c r="G50" s="22">
        <v>12</v>
      </c>
      <c r="H50" s="22">
        <v>2004</v>
      </c>
      <c r="I50" s="22" t="s">
        <v>47</v>
      </c>
      <c r="J50" s="20">
        <v>214</v>
      </c>
      <c r="K50" s="20">
        <f>Sales!$B50-Sales!$J50</f>
        <v>-114</v>
      </c>
      <c r="L50" s="23">
        <f>(Sales!$J50-Sales!$B50)/Sales!$J50</f>
        <v>0.53271028037383172</v>
      </c>
      <c r="M50" s="23" t="str">
        <f t="shared" si="0"/>
        <v>+20%</v>
      </c>
      <c r="N50" s="22" t="s">
        <v>64</v>
      </c>
      <c r="O50" s="22" t="s">
        <v>12</v>
      </c>
      <c r="P50" s="22" t="s">
        <v>13</v>
      </c>
      <c r="Q50" s="22" t="s">
        <v>19</v>
      </c>
    </row>
    <row r="51" spans="1:17" x14ac:dyDescent="0.3">
      <c r="A51" s="27">
        <v>41</v>
      </c>
      <c r="B51" s="24">
        <v>100</v>
      </c>
      <c r="C51" s="25">
        <f>Sales!$B51*Sales!$A51</f>
        <v>4100</v>
      </c>
      <c r="D51" s="26">
        <v>38372</v>
      </c>
      <c r="E51" s="27" t="s">
        <v>9</v>
      </c>
      <c r="F51" s="27">
        <v>1</v>
      </c>
      <c r="G51" s="27">
        <v>1</v>
      </c>
      <c r="H51" s="27">
        <v>2005</v>
      </c>
      <c r="I51" s="27" t="s">
        <v>47</v>
      </c>
      <c r="J51" s="25">
        <v>214</v>
      </c>
      <c r="K51" s="25">
        <f>Sales!$B51-Sales!$J51</f>
        <v>-114</v>
      </c>
      <c r="L51" s="28">
        <f>(Sales!$J51-Sales!$B51)/Sales!$J51</f>
        <v>0.53271028037383172</v>
      </c>
      <c r="M51" s="28" t="str">
        <f t="shared" si="0"/>
        <v>+20%</v>
      </c>
      <c r="N51" s="27" t="s">
        <v>66</v>
      </c>
      <c r="O51" s="27" t="s">
        <v>12</v>
      </c>
      <c r="P51" s="27" t="s">
        <v>13</v>
      </c>
      <c r="Q51" s="27" t="s">
        <v>19</v>
      </c>
    </row>
    <row r="52" spans="1:17" x14ac:dyDescent="0.3">
      <c r="A52" s="22">
        <v>36</v>
      </c>
      <c r="B52" s="19">
        <v>100</v>
      </c>
      <c r="C52" s="20">
        <f>Sales!$B52*Sales!$A52</f>
        <v>3600</v>
      </c>
      <c r="D52" s="21">
        <v>38400</v>
      </c>
      <c r="E52" s="22" t="s">
        <v>9</v>
      </c>
      <c r="F52" s="22">
        <v>1</v>
      </c>
      <c r="G52" s="22">
        <v>2</v>
      </c>
      <c r="H52" s="22">
        <v>2005</v>
      </c>
      <c r="I52" s="22" t="s">
        <v>47</v>
      </c>
      <c r="J52" s="20">
        <v>214</v>
      </c>
      <c r="K52" s="20">
        <f>Sales!$B52-Sales!$J52</f>
        <v>-114</v>
      </c>
      <c r="L52" s="23">
        <f>(Sales!$J52-Sales!$B52)/Sales!$J52</f>
        <v>0.53271028037383172</v>
      </c>
      <c r="M52" s="23" t="str">
        <f t="shared" si="0"/>
        <v>+20%</v>
      </c>
      <c r="N52" s="22" t="s">
        <v>21</v>
      </c>
      <c r="O52" s="22" t="s">
        <v>12</v>
      </c>
      <c r="P52" s="22" t="s">
        <v>13</v>
      </c>
      <c r="Q52" s="22" t="s">
        <v>39</v>
      </c>
    </row>
    <row r="53" spans="1:17" x14ac:dyDescent="0.3">
      <c r="A53" s="27">
        <v>24</v>
      </c>
      <c r="B53" s="24">
        <v>100</v>
      </c>
      <c r="C53" s="25">
        <f>Sales!$B53*Sales!$A53</f>
        <v>2400</v>
      </c>
      <c r="D53" s="26">
        <v>38420</v>
      </c>
      <c r="E53" s="27" t="s">
        <v>9</v>
      </c>
      <c r="F53" s="27">
        <v>1</v>
      </c>
      <c r="G53" s="27">
        <v>3</v>
      </c>
      <c r="H53" s="27">
        <v>2005</v>
      </c>
      <c r="I53" s="27" t="s">
        <v>47</v>
      </c>
      <c r="J53" s="25">
        <v>214</v>
      </c>
      <c r="K53" s="25">
        <f>Sales!$B53-Sales!$J53</f>
        <v>-114</v>
      </c>
      <c r="L53" s="28">
        <f>(Sales!$J53-Sales!$B53)/Sales!$J53</f>
        <v>0.53271028037383172</v>
      </c>
      <c r="M53" s="28" t="str">
        <f t="shared" si="0"/>
        <v>+20%</v>
      </c>
      <c r="N53" s="27" t="s">
        <v>67</v>
      </c>
      <c r="O53" s="27" t="s">
        <v>27</v>
      </c>
      <c r="P53" s="27" t="s">
        <v>28</v>
      </c>
      <c r="Q53" s="27" t="s">
        <v>14</v>
      </c>
    </row>
    <row r="54" spans="1:17" x14ac:dyDescent="0.3">
      <c r="A54" s="22">
        <v>23</v>
      </c>
      <c r="B54" s="19">
        <v>100</v>
      </c>
      <c r="C54" s="20">
        <f>Sales!$B54*Sales!$A54</f>
        <v>2300</v>
      </c>
      <c r="D54" s="21">
        <v>38473</v>
      </c>
      <c r="E54" s="22" t="s">
        <v>9</v>
      </c>
      <c r="F54" s="22">
        <v>2</v>
      </c>
      <c r="G54" s="22">
        <v>5</v>
      </c>
      <c r="H54" s="22">
        <v>2005</v>
      </c>
      <c r="I54" s="22" t="s">
        <v>47</v>
      </c>
      <c r="J54" s="20">
        <v>214</v>
      </c>
      <c r="K54" s="20">
        <f>Sales!$B54-Sales!$J54</f>
        <v>-114</v>
      </c>
      <c r="L54" s="23">
        <f>(Sales!$J54-Sales!$B54)/Sales!$J54</f>
        <v>0.53271028037383172</v>
      </c>
      <c r="M54" s="23" t="str">
        <f t="shared" si="0"/>
        <v>+20%</v>
      </c>
      <c r="N54" s="22" t="s">
        <v>68</v>
      </c>
      <c r="O54" s="22" t="s">
        <v>56</v>
      </c>
      <c r="P54" s="22" t="s">
        <v>13</v>
      </c>
      <c r="Q54" s="22" t="s">
        <v>19</v>
      </c>
    </row>
    <row r="55" spans="1:17" x14ac:dyDescent="0.3">
      <c r="A55" s="27">
        <v>50</v>
      </c>
      <c r="B55" s="24">
        <v>100</v>
      </c>
      <c r="C55" s="25">
        <f>Sales!$B55*Sales!$A55</f>
        <v>5000</v>
      </c>
      <c r="D55" s="26">
        <v>38503</v>
      </c>
      <c r="E55" s="27" t="s">
        <v>69</v>
      </c>
      <c r="F55" s="27">
        <v>2</v>
      </c>
      <c r="G55" s="27">
        <v>5</v>
      </c>
      <c r="H55" s="27">
        <v>2005</v>
      </c>
      <c r="I55" s="27" t="s">
        <v>47</v>
      </c>
      <c r="J55" s="25">
        <v>214</v>
      </c>
      <c r="K55" s="25">
        <f>Sales!$B55-Sales!$J55</f>
        <v>-114</v>
      </c>
      <c r="L55" s="28">
        <f>(Sales!$J55-Sales!$B55)/Sales!$J55</f>
        <v>0.53271028037383172</v>
      </c>
      <c r="M55" s="28" t="str">
        <f t="shared" si="0"/>
        <v>+20%</v>
      </c>
      <c r="N55" s="27" t="s">
        <v>45</v>
      </c>
      <c r="O55" s="27" t="s">
        <v>46</v>
      </c>
      <c r="P55" s="27" t="s">
        <v>17</v>
      </c>
      <c r="Q55" s="27" t="s">
        <v>39</v>
      </c>
    </row>
    <row r="56" spans="1:17" x14ac:dyDescent="0.3">
      <c r="A56" s="22">
        <v>39</v>
      </c>
      <c r="B56" s="19">
        <v>99.91</v>
      </c>
      <c r="C56" s="20">
        <f>Sales!$B56*Sales!$A56</f>
        <v>3896.49</v>
      </c>
      <c r="D56" s="21">
        <v>37676</v>
      </c>
      <c r="E56" s="22" t="s">
        <v>9</v>
      </c>
      <c r="F56" s="22">
        <v>1</v>
      </c>
      <c r="G56" s="22">
        <v>2</v>
      </c>
      <c r="H56" s="22">
        <v>2003</v>
      </c>
      <c r="I56" s="22" t="s">
        <v>10</v>
      </c>
      <c r="J56" s="20">
        <v>118</v>
      </c>
      <c r="K56" s="20">
        <f>Sales!$B56-Sales!$J56</f>
        <v>-18.090000000000003</v>
      </c>
      <c r="L56" s="23">
        <f>(Sales!$J56-Sales!$B56)/Sales!$J56</f>
        <v>0.15330508474576274</v>
      </c>
      <c r="M56" s="23" t="s">
        <v>132</v>
      </c>
      <c r="N56" s="22" t="s">
        <v>11</v>
      </c>
      <c r="O56" s="22" t="s">
        <v>12</v>
      </c>
      <c r="P56" s="22" t="s">
        <v>13</v>
      </c>
      <c r="Q56" s="22" t="s">
        <v>19</v>
      </c>
    </row>
    <row r="57" spans="1:17" x14ac:dyDescent="0.3">
      <c r="A57" s="27">
        <v>29</v>
      </c>
      <c r="B57" s="24">
        <v>96.34</v>
      </c>
      <c r="C57" s="25">
        <f>Sales!$B57*Sales!$A57</f>
        <v>2793.86</v>
      </c>
      <c r="D57" s="26">
        <v>37740</v>
      </c>
      <c r="E57" s="27" t="s">
        <v>9</v>
      </c>
      <c r="F57" s="27">
        <v>2</v>
      </c>
      <c r="G57" s="27">
        <v>4</v>
      </c>
      <c r="H57" s="27">
        <v>2003</v>
      </c>
      <c r="I57" s="27" t="s">
        <v>10</v>
      </c>
      <c r="J57" s="25">
        <v>118</v>
      </c>
      <c r="K57" s="25">
        <f>Sales!$B57-Sales!$J57</f>
        <v>-21.659999999999997</v>
      </c>
      <c r="L57" s="28">
        <f>(Sales!$J57-Sales!$B57)/Sales!$J57</f>
        <v>0.18355932203389827</v>
      </c>
      <c r="M57" s="28" t="str">
        <f t="shared" si="0"/>
        <v>15%-20%</v>
      </c>
      <c r="N57" s="27" t="s">
        <v>26</v>
      </c>
      <c r="O57" s="27" t="s">
        <v>27</v>
      </c>
      <c r="P57" s="27" t="s">
        <v>28</v>
      </c>
      <c r="Q57" s="27" t="s">
        <v>14</v>
      </c>
    </row>
    <row r="58" spans="1:17" x14ac:dyDescent="0.3">
      <c r="A58" s="22">
        <v>27</v>
      </c>
      <c r="B58" s="19">
        <v>100</v>
      </c>
      <c r="C58" s="20">
        <f>Sales!$B58*Sales!$A58</f>
        <v>2700</v>
      </c>
      <c r="D58" s="21">
        <v>37803</v>
      </c>
      <c r="E58" s="22" t="s">
        <v>9</v>
      </c>
      <c r="F58" s="22">
        <v>3</v>
      </c>
      <c r="G58" s="22">
        <v>7</v>
      </c>
      <c r="H58" s="22">
        <v>2003</v>
      </c>
      <c r="I58" s="22" t="s">
        <v>10</v>
      </c>
      <c r="J58" s="20">
        <v>118</v>
      </c>
      <c r="K58" s="20">
        <f>Sales!$B58-Sales!$J58</f>
        <v>-18</v>
      </c>
      <c r="L58" s="23">
        <f>(Sales!$J58-Sales!$B58)/Sales!$J58</f>
        <v>0.15254237288135594</v>
      </c>
      <c r="M58" s="23" t="s">
        <v>132</v>
      </c>
      <c r="N58" s="22" t="s">
        <v>18</v>
      </c>
      <c r="O58" s="22" t="s">
        <v>16</v>
      </c>
      <c r="P58" s="22" t="s">
        <v>17</v>
      </c>
      <c r="Q58" s="22" t="s">
        <v>19</v>
      </c>
    </row>
    <row r="59" spans="1:17" x14ac:dyDescent="0.3">
      <c r="A59" s="27">
        <v>37</v>
      </c>
      <c r="B59" s="24">
        <v>100</v>
      </c>
      <c r="C59" s="25">
        <f>Sales!$B59*Sales!$A59</f>
        <v>3700</v>
      </c>
      <c r="D59" s="26">
        <v>37858</v>
      </c>
      <c r="E59" s="27" t="s">
        <v>9</v>
      </c>
      <c r="F59" s="27">
        <v>3</v>
      </c>
      <c r="G59" s="27">
        <v>8</v>
      </c>
      <c r="H59" s="27">
        <v>2003</v>
      </c>
      <c r="I59" s="27" t="s">
        <v>10</v>
      </c>
      <c r="J59" s="25">
        <v>118</v>
      </c>
      <c r="K59" s="25">
        <f>Sales!$B59-Sales!$J59</f>
        <v>-18</v>
      </c>
      <c r="L59" s="28">
        <f>(Sales!$J59-Sales!$B59)/Sales!$J59</f>
        <v>0.15254237288135594</v>
      </c>
      <c r="M59" s="28" t="s">
        <v>132</v>
      </c>
      <c r="N59" s="27" t="s">
        <v>20</v>
      </c>
      <c r="O59" s="27" t="s">
        <v>12</v>
      </c>
      <c r="P59" s="27" t="s">
        <v>13</v>
      </c>
      <c r="Q59" s="27" t="s">
        <v>19</v>
      </c>
    </row>
    <row r="60" spans="1:17" x14ac:dyDescent="0.3">
      <c r="A60" s="22">
        <v>37</v>
      </c>
      <c r="B60" s="19">
        <v>100</v>
      </c>
      <c r="C60" s="20">
        <f>Sales!$B60*Sales!$A60</f>
        <v>3700</v>
      </c>
      <c r="D60" s="21">
        <v>37904</v>
      </c>
      <c r="E60" s="22" t="s">
        <v>9</v>
      </c>
      <c r="F60" s="22">
        <v>4</v>
      </c>
      <c r="G60" s="22">
        <v>10</v>
      </c>
      <c r="H60" s="22">
        <v>2003</v>
      </c>
      <c r="I60" s="22" t="s">
        <v>10</v>
      </c>
      <c r="J60" s="20">
        <v>118</v>
      </c>
      <c r="K60" s="20">
        <f>Sales!$B60-Sales!$J60</f>
        <v>-18</v>
      </c>
      <c r="L60" s="23">
        <f>(Sales!$J60-Sales!$B60)/Sales!$J60</f>
        <v>0.15254237288135594</v>
      </c>
      <c r="M60" s="23" t="s">
        <v>132</v>
      </c>
      <c r="N60" s="22" t="s">
        <v>21</v>
      </c>
      <c r="O60" s="22" t="s">
        <v>12</v>
      </c>
      <c r="P60" s="22" t="s">
        <v>13</v>
      </c>
      <c r="Q60" s="22" t="s">
        <v>19</v>
      </c>
    </row>
    <row r="61" spans="1:17" x14ac:dyDescent="0.3">
      <c r="A61" s="27">
        <v>27</v>
      </c>
      <c r="B61" s="24">
        <v>100</v>
      </c>
      <c r="C61" s="25">
        <f>Sales!$B61*Sales!$A61</f>
        <v>2700</v>
      </c>
      <c r="D61" s="26">
        <v>37922</v>
      </c>
      <c r="E61" s="27" t="s">
        <v>9</v>
      </c>
      <c r="F61" s="27">
        <v>4</v>
      </c>
      <c r="G61" s="27">
        <v>10</v>
      </c>
      <c r="H61" s="27">
        <v>2003</v>
      </c>
      <c r="I61" s="27" t="s">
        <v>10</v>
      </c>
      <c r="J61" s="25">
        <v>118</v>
      </c>
      <c r="K61" s="25">
        <f>Sales!$B61-Sales!$J61</f>
        <v>-18</v>
      </c>
      <c r="L61" s="28">
        <f>(Sales!$J61-Sales!$B61)/Sales!$J61</f>
        <v>0.15254237288135594</v>
      </c>
      <c r="M61" s="28" t="s">
        <v>132</v>
      </c>
      <c r="N61" s="27" t="s">
        <v>22</v>
      </c>
      <c r="O61" s="27" t="s">
        <v>12</v>
      </c>
      <c r="P61" s="27" t="s">
        <v>13</v>
      </c>
      <c r="Q61" s="27" t="s">
        <v>19</v>
      </c>
    </row>
    <row r="62" spans="1:17" x14ac:dyDescent="0.3">
      <c r="A62" s="22">
        <v>42</v>
      </c>
      <c r="B62" s="19">
        <v>100</v>
      </c>
      <c r="C62" s="20">
        <f>Sales!$B62*Sales!$A62</f>
        <v>4200</v>
      </c>
      <c r="D62" s="21">
        <v>37936</v>
      </c>
      <c r="E62" s="22" t="s">
        <v>9</v>
      </c>
      <c r="F62" s="22">
        <v>4</v>
      </c>
      <c r="G62" s="22">
        <v>11</v>
      </c>
      <c r="H62" s="22">
        <v>2003</v>
      </c>
      <c r="I62" s="22" t="s">
        <v>10</v>
      </c>
      <c r="J62" s="20">
        <v>118</v>
      </c>
      <c r="K62" s="20">
        <f>Sales!$B62-Sales!$J62</f>
        <v>-18</v>
      </c>
      <c r="L62" s="23">
        <f>(Sales!$J62-Sales!$B62)/Sales!$J62</f>
        <v>0.15254237288135594</v>
      </c>
      <c r="M62" s="23" t="s">
        <v>132</v>
      </c>
      <c r="N62" s="22" t="s">
        <v>23</v>
      </c>
      <c r="O62" s="22" t="s">
        <v>16</v>
      </c>
      <c r="P62" s="22" t="s">
        <v>17</v>
      </c>
      <c r="Q62" s="22" t="s">
        <v>19</v>
      </c>
    </row>
    <row r="63" spans="1:17" x14ac:dyDescent="0.3">
      <c r="A63" s="27">
        <v>38</v>
      </c>
      <c r="B63" s="24">
        <v>96.34</v>
      </c>
      <c r="C63" s="25">
        <f>Sales!$B63*Sales!$A63</f>
        <v>3660.92</v>
      </c>
      <c r="D63" s="26">
        <v>37943</v>
      </c>
      <c r="E63" s="27" t="s">
        <v>9</v>
      </c>
      <c r="F63" s="27">
        <v>4</v>
      </c>
      <c r="G63" s="27">
        <v>11</v>
      </c>
      <c r="H63" s="27">
        <v>2003</v>
      </c>
      <c r="I63" s="27" t="s">
        <v>10</v>
      </c>
      <c r="J63" s="25">
        <v>118</v>
      </c>
      <c r="K63" s="25">
        <f>Sales!$B63-Sales!$J63</f>
        <v>-21.659999999999997</v>
      </c>
      <c r="L63" s="28">
        <f>(Sales!$J63-Sales!$B63)/Sales!$J63</f>
        <v>0.18355932203389827</v>
      </c>
      <c r="M63" s="28" t="str">
        <f t="shared" si="0"/>
        <v>15%-20%</v>
      </c>
      <c r="N63" s="27" t="s">
        <v>24</v>
      </c>
      <c r="O63" s="27" t="s">
        <v>25</v>
      </c>
      <c r="P63" s="27" t="s">
        <v>17</v>
      </c>
      <c r="Q63" s="27" t="s">
        <v>19</v>
      </c>
    </row>
    <row r="64" spans="1:17" x14ac:dyDescent="0.3">
      <c r="A64" s="22">
        <v>24</v>
      </c>
      <c r="B64" s="19">
        <v>100</v>
      </c>
      <c r="C64" s="20">
        <f>Sales!$B64*Sales!$A64</f>
        <v>2400</v>
      </c>
      <c r="D64" s="21">
        <v>37956</v>
      </c>
      <c r="E64" s="22" t="s">
        <v>9</v>
      </c>
      <c r="F64" s="22">
        <v>4</v>
      </c>
      <c r="G64" s="22">
        <v>12</v>
      </c>
      <c r="H64" s="22">
        <v>2003</v>
      </c>
      <c r="I64" s="22" t="s">
        <v>10</v>
      </c>
      <c r="J64" s="20">
        <v>118</v>
      </c>
      <c r="K64" s="20">
        <f>Sales!$B64-Sales!$J64</f>
        <v>-18</v>
      </c>
      <c r="L64" s="23">
        <f>(Sales!$J64-Sales!$B64)/Sales!$J64</f>
        <v>0.15254237288135594</v>
      </c>
      <c r="M64" s="23" t="s">
        <v>132</v>
      </c>
      <c r="N64" s="22" t="s">
        <v>21</v>
      </c>
      <c r="O64" s="22" t="s">
        <v>12</v>
      </c>
      <c r="P64" s="22" t="s">
        <v>13</v>
      </c>
      <c r="Q64" s="22" t="s">
        <v>19</v>
      </c>
    </row>
    <row r="65" spans="1:17" x14ac:dyDescent="0.3">
      <c r="A65" s="27">
        <v>23</v>
      </c>
      <c r="B65" s="24">
        <v>100</v>
      </c>
      <c r="C65" s="25">
        <f>Sales!$B65*Sales!$A65</f>
        <v>2300</v>
      </c>
      <c r="D65" s="26">
        <v>37998</v>
      </c>
      <c r="E65" s="27" t="s">
        <v>9</v>
      </c>
      <c r="F65" s="27">
        <v>1</v>
      </c>
      <c r="G65" s="27">
        <v>1</v>
      </c>
      <c r="H65" s="27">
        <v>2004</v>
      </c>
      <c r="I65" s="27" t="s">
        <v>10</v>
      </c>
      <c r="J65" s="25">
        <v>118</v>
      </c>
      <c r="K65" s="25">
        <f>Sales!$B65-Sales!$J65</f>
        <v>-18</v>
      </c>
      <c r="L65" s="28">
        <f>(Sales!$J65-Sales!$B65)/Sales!$J65</f>
        <v>0.15254237288135594</v>
      </c>
      <c r="M65" s="28" t="s">
        <v>132</v>
      </c>
      <c r="N65" s="27" t="s">
        <v>70</v>
      </c>
      <c r="O65" s="27" t="s">
        <v>51</v>
      </c>
      <c r="P65" s="27" t="s">
        <v>51</v>
      </c>
      <c r="Q65" s="27" t="s">
        <v>19</v>
      </c>
    </row>
    <row r="66" spans="1:17" x14ac:dyDescent="0.3">
      <c r="A66" s="22">
        <v>47</v>
      </c>
      <c r="B66" s="19">
        <v>100</v>
      </c>
      <c r="C66" s="20">
        <f>Sales!$B66*Sales!$A66</f>
        <v>4700</v>
      </c>
      <c r="D66" s="21">
        <v>38037</v>
      </c>
      <c r="E66" s="22" t="s">
        <v>9</v>
      </c>
      <c r="F66" s="22">
        <v>1</v>
      </c>
      <c r="G66" s="22">
        <v>2</v>
      </c>
      <c r="H66" s="22">
        <v>2004</v>
      </c>
      <c r="I66" s="22" t="s">
        <v>10</v>
      </c>
      <c r="J66" s="20">
        <v>118</v>
      </c>
      <c r="K66" s="20">
        <f>Sales!$B66-Sales!$J66</f>
        <v>-18</v>
      </c>
      <c r="L66" s="23">
        <f>(Sales!$J66-Sales!$B66)/Sales!$J66</f>
        <v>0.15254237288135594</v>
      </c>
      <c r="M66" s="23" t="s">
        <v>132</v>
      </c>
      <c r="N66" s="22" t="s">
        <v>26</v>
      </c>
      <c r="O66" s="22" t="s">
        <v>27</v>
      </c>
      <c r="P66" s="22" t="s">
        <v>28</v>
      </c>
      <c r="Q66" s="22" t="s">
        <v>19</v>
      </c>
    </row>
    <row r="67" spans="1:17" x14ac:dyDescent="0.3">
      <c r="A67" s="27">
        <v>22</v>
      </c>
      <c r="B67" s="24">
        <v>100</v>
      </c>
      <c r="C67" s="25">
        <f>Sales!$B67*Sales!$A67</f>
        <v>2200</v>
      </c>
      <c r="D67" s="26">
        <v>38080</v>
      </c>
      <c r="E67" s="27" t="s">
        <v>9</v>
      </c>
      <c r="F67" s="27">
        <v>2</v>
      </c>
      <c r="G67" s="27">
        <v>4</v>
      </c>
      <c r="H67" s="27">
        <v>2004</v>
      </c>
      <c r="I67" s="27" t="s">
        <v>10</v>
      </c>
      <c r="J67" s="25">
        <v>118</v>
      </c>
      <c r="K67" s="25">
        <f>Sales!$B67-Sales!$J67</f>
        <v>-18</v>
      </c>
      <c r="L67" s="28">
        <f>(Sales!$J67-Sales!$B67)/Sales!$J67</f>
        <v>0.15254237288135594</v>
      </c>
      <c r="M67" s="28" t="s">
        <v>132</v>
      </c>
      <c r="N67" s="27" t="s">
        <v>53</v>
      </c>
      <c r="O67" s="27" t="s">
        <v>12</v>
      </c>
      <c r="P67" s="27" t="s">
        <v>13</v>
      </c>
      <c r="Q67" s="27" t="s">
        <v>14</v>
      </c>
    </row>
    <row r="68" spans="1:17" x14ac:dyDescent="0.3">
      <c r="A68" s="22">
        <v>44</v>
      </c>
      <c r="B68" s="19">
        <v>100</v>
      </c>
      <c r="C68" s="20">
        <f>Sales!$B68*Sales!$A68</f>
        <v>4400</v>
      </c>
      <c r="D68" s="21">
        <v>38125</v>
      </c>
      <c r="E68" s="22" t="s">
        <v>9</v>
      </c>
      <c r="F68" s="22">
        <v>2</v>
      </c>
      <c r="G68" s="22">
        <v>5</v>
      </c>
      <c r="H68" s="22">
        <v>2004</v>
      </c>
      <c r="I68" s="22" t="s">
        <v>10</v>
      </c>
      <c r="J68" s="20">
        <v>118</v>
      </c>
      <c r="K68" s="20">
        <f>Sales!$B68-Sales!$J68</f>
        <v>-18</v>
      </c>
      <c r="L68" s="23">
        <f>(Sales!$J68-Sales!$B68)/Sales!$J68</f>
        <v>0.15254237288135594</v>
      </c>
      <c r="M68" s="23" t="s">
        <v>132</v>
      </c>
      <c r="N68" s="22" t="s">
        <v>29</v>
      </c>
      <c r="O68" s="22" t="s">
        <v>12</v>
      </c>
      <c r="P68" s="22" t="s">
        <v>13</v>
      </c>
      <c r="Q68" s="22" t="s">
        <v>19</v>
      </c>
    </row>
    <row r="69" spans="1:17" x14ac:dyDescent="0.3">
      <c r="A69" s="27">
        <v>40</v>
      </c>
      <c r="B69" s="24">
        <v>100</v>
      </c>
      <c r="C69" s="25">
        <f>Sales!$B69*Sales!$A69</f>
        <v>4000</v>
      </c>
      <c r="D69" s="26">
        <v>38166</v>
      </c>
      <c r="E69" s="27" t="s">
        <v>9</v>
      </c>
      <c r="F69" s="27">
        <v>2</v>
      </c>
      <c r="G69" s="27">
        <v>6</v>
      </c>
      <c r="H69" s="27">
        <v>2004</v>
      </c>
      <c r="I69" s="27" t="s">
        <v>10</v>
      </c>
      <c r="J69" s="25">
        <v>118</v>
      </c>
      <c r="K69" s="25">
        <f>Sales!$B69-Sales!$J69</f>
        <v>-18</v>
      </c>
      <c r="L69" s="28">
        <f>(Sales!$J69-Sales!$B69)/Sales!$J69</f>
        <v>0.15254237288135594</v>
      </c>
      <c r="M69" s="28" t="s">
        <v>132</v>
      </c>
      <c r="N69" s="27" t="s">
        <v>30</v>
      </c>
      <c r="O69" s="27" t="s">
        <v>12</v>
      </c>
      <c r="P69" s="27" t="s">
        <v>13</v>
      </c>
      <c r="Q69" s="27" t="s">
        <v>19</v>
      </c>
    </row>
    <row r="70" spans="1:17" x14ac:dyDescent="0.3">
      <c r="A70" s="22">
        <v>22</v>
      </c>
      <c r="B70" s="19">
        <v>100</v>
      </c>
      <c r="C70" s="20">
        <f>Sales!$B70*Sales!$A70</f>
        <v>2200</v>
      </c>
      <c r="D70" s="21">
        <v>38191</v>
      </c>
      <c r="E70" s="22" t="s">
        <v>9</v>
      </c>
      <c r="F70" s="22">
        <v>3</v>
      </c>
      <c r="G70" s="22">
        <v>7</v>
      </c>
      <c r="H70" s="22">
        <v>2004</v>
      </c>
      <c r="I70" s="22" t="s">
        <v>10</v>
      </c>
      <c r="J70" s="20">
        <v>118</v>
      </c>
      <c r="K70" s="20">
        <f>Sales!$B70-Sales!$J70</f>
        <v>-18</v>
      </c>
      <c r="L70" s="23">
        <f>(Sales!$J70-Sales!$B70)/Sales!$J70</f>
        <v>0.15254237288135594</v>
      </c>
      <c r="M70" s="23" t="s">
        <v>132</v>
      </c>
      <c r="N70" s="22" t="s">
        <v>31</v>
      </c>
      <c r="O70" s="22" t="s">
        <v>16</v>
      </c>
      <c r="P70" s="22" t="s">
        <v>17</v>
      </c>
      <c r="Q70" s="22" t="s">
        <v>14</v>
      </c>
    </row>
    <row r="71" spans="1:17" x14ac:dyDescent="0.3">
      <c r="A71" s="27">
        <v>47</v>
      </c>
      <c r="B71" s="24">
        <v>100</v>
      </c>
      <c r="C71" s="25">
        <f>Sales!$B71*Sales!$A71</f>
        <v>4700</v>
      </c>
      <c r="D71" s="26">
        <v>38226</v>
      </c>
      <c r="E71" s="27" t="s">
        <v>9</v>
      </c>
      <c r="F71" s="27">
        <v>3</v>
      </c>
      <c r="G71" s="27">
        <v>8</v>
      </c>
      <c r="H71" s="27">
        <v>2004</v>
      </c>
      <c r="I71" s="27" t="s">
        <v>10</v>
      </c>
      <c r="J71" s="25">
        <v>118</v>
      </c>
      <c r="K71" s="25">
        <f>Sales!$B71-Sales!$J71</f>
        <v>-18</v>
      </c>
      <c r="L71" s="28">
        <f>(Sales!$J71-Sales!$B71)/Sales!$J71</f>
        <v>0.15254237288135594</v>
      </c>
      <c r="M71" s="28" t="s">
        <v>132</v>
      </c>
      <c r="N71" s="27" t="s">
        <v>32</v>
      </c>
      <c r="O71" s="27" t="s">
        <v>12</v>
      </c>
      <c r="P71" s="27" t="s">
        <v>13</v>
      </c>
      <c r="Q71" s="27" t="s">
        <v>19</v>
      </c>
    </row>
    <row r="72" spans="1:17" x14ac:dyDescent="0.3">
      <c r="A72" s="22">
        <v>39</v>
      </c>
      <c r="B72" s="19">
        <v>96.34</v>
      </c>
      <c r="C72" s="20">
        <f>Sales!$B72*Sales!$A72</f>
        <v>3757.26</v>
      </c>
      <c r="D72" s="21">
        <v>38257</v>
      </c>
      <c r="E72" s="22" t="s">
        <v>9</v>
      </c>
      <c r="F72" s="22">
        <v>3</v>
      </c>
      <c r="G72" s="22">
        <v>9</v>
      </c>
      <c r="H72" s="22">
        <v>2004</v>
      </c>
      <c r="I72" s="22" t="s">
        <v>10</v>
      </c>
      <c r="J72" s="20">
        <v>118</v>
      </c>
      <c r="K72" s="20">
        <f>Sales!$B72-Sales!$J72</f>
        <v>-21.659999999999997</v>
      </c>
      <c r="L72" s="23">
        <f>(Sales!$J72-Sales!$B72)/Sales!$J72</f>
        <v>0.18355932203389827</v>
      </c>
      <c r="M72" s="23" t="str">
        <f t="shared" ref="M72:M130" si="1">IF(L72&lt;0%,"Below 0%",IF(L72=0%,"0%",IF(AND(L72&lt;=5%,L72&gt;0%),"0%-5%",IF(AND(L72&lt;=10%,L72&gt;5%),"5%-10%",IF(AND(L72&lt;=15%,L72&gt;10%),"10%-15%",IF(AND(L72&lt;=20%,L72&gt;15%),"15%-20%","+20%"))))))</f>
        <v>15%-20%</v>
      </c>
      <c r="N72" s="22" t="s">
        <v>31</v>
      </c>
      <c r="O72" s="22" t="s">
        <v>16</v>
      </c>
      <c r="P72" s="22" t="s">
        <v>17</v>
      </c>
      <c r="Q72" s="22" t="s">
        <v>19</v>
      </c>
    </row>
    <row r="73" spans="1:17" x14ac:dyDescent="0.3">
      <c r="A73" s="27">
        <v>34</v>
      </c>
      <c r="B73" s="24">
        <v>100</v>
      </c>
      <c r="C73" s="25">
        <f>Sales!$B73*Sales!$A73</f>
        <v>3400</v>
      </c>
      <c r="D73" s="26">
        <v>38275</v>
      </c>
      <c r="E73" s="27" t="s">
        <v>9</v>
      </c>
      <c r="F73" s="27">
        <v>4</v>
      </c>
      <c r="G73" s="27">
        <v>10</v>
      </c>
      <c r="H73" s="27">
        <v>2004</v>
      </c>
      <c r="I73" s="27" t="s">
        <v>10</v>
      </c>
      <c r="J73" s="25">
        <v>118</v>
      </c>
      <c r="K73" s="25">
        <f>Sales!$B73-Sales!$J73</f>
        <v>-18</v>
      </c>
      <c r="L73" s="28">
        <f>(Sales!$J73-Sales!$B73)/Sales!$J73</f>
        <v>0.15254237288135594</v>
      </c>
      <c r="M73" s="28" t="s">
        <v>132</v>
      </c>
      <c r="N73" s="27" t="s">
        <v>71</v>
      </c>
      <c r="O73" s="27" t="s">
        <v>12</v>
      </c>
      <c r="P73" s="27" t="s">
        <v>13</v>
      </c>
      <c r="Q73" s="27" t="s">
        <v>19</v>
      </c>
    </row>
    <row r="74" spans="1:17" x14ac:dyDescent="0.3">
      <c r="A74" s="22">
        <v>45</v>
      </c>
      <c r="B74" s="19">
        <v>100</v>
      </c>
      <c r="C74" s="20">
        <f>Sales!$B74*Sales!$A74</f>
        <v>4500</v>
      </c>
      <c r="D74" s="21">
        <v>38293</v>
      </c>
      <c r="E74" s="22" t="s">
        <v>9</v>
      </c>
      <c r="F74" s="22">
        <v>4</v>
      </c>
      <c r="G74" s="22">
        <v>11</v>
      </c>
      <c r="H74" s="22">
        <v>2004</v>
      </c>
      <c r="I74" s="22" t="s">
        <v>10</v>
      </c>
      <c r="J74" s="20">
        <v>118</v>
      </c>
      <c r="K74" s="20">
        <f>Sales!$B74-Sales!$J74</f>
        <v>-18</v>
      </c>
      <c r="L74" s="23">
        <f>(Sales!$J74-Sales!$B74)/Sales!$J74</f>
        <v>0.15254237288135594</v>
      </c>
      <c r="M74" s="23" t="s">
        <v>132</v>
      </c>
      <c r="N74" s="22" t="s">
        <v>36</v>
      </c>
      <c r="O74" s="22" t="s">
        <v>12</v>
      </c>
      <c r="P74" s="22" t="s">
        <v>13</v>
      </c>
      <c r="Q74" s="22" t="s">
        <v>19</v>
      </c>
    </row>
    <row r="75" spans="1:17" x14ac:dyDescent="0.3">
      <c r="A75" s="27">
        <v>20</v>
      </c>
      <c r="B75" s="24">
        <v>100</v>
      </c>
      <c r="C75" s="25">
        <f>Sales!$B75*Sales!$A75</f>
        <v>2000</v>
      </c>
      <c r="D75" s="26">
        <v>38306</v>
      </c>
      <c r="E75" s="27" t="s">
        <v>9</v>
      </c>
      <c r="F75" s="27">
        <v>4</v>
      </c>
      <c r="G75" s="27">
        <v>11</v>
      </c>
      <c r="H75" s="27">
        <v>2004</v>
      </c>
      <c r="I75" s="27" t="s">
        <v>10</v>
      </c>
      <c r="J75" s="25">
        <v>118</v>
      </c>
      <c r="K75" s="25">
        <f>Sales!$B75-Sales!$J75</f>
        <v>-18</v>
      </c>
      <c r="L75" s="28">
        <f>(Sales!$J75-Sales!$B75)/Sales!$J75</f>
        <v>0.15254237288135594</v>
      </c>
      <c r="M75" s="28" t="s">
        <v>132</v>
      </c>
      <c r="N75" s="27" t="s">
        <v>11</v>
      </c>
      <c r="O75" s="27" t="s">
        <v>12</v>
      </c>
      <c r="P75" s="27" t="s">
        <v>13</v>
      </c>
      <c r="Q75" s="27" t="s">
        <v>19</v>
      </c>
    </row>
    <row r="76" spans="1:17" x14ac:dyDescent="0.3">
      <c r="A76" s="22">
        <v>40</v>
      </c>
      <c r="B76" s="19">
        <v>68.92</v>
      </c>
      <c r="C76" s="20">
        <f>Sales!$B76*Sales!$A76</f>
        <v>2756.8</v>
      </c>
      <c r="D76" s="21">
        <v>38314</v>
      </c>
      <c r="E76" s="22" t="s">
        <v>9</v>
      </c>
      <c r="F76" s="22">
        <v>4</v>
      </c>
      <c r="G76" s="22">
        <v>11</v>
      </c>
      <c r="H76" s="22">
        <v>2004</v>
      </c>
      <c r="I76" s="22" t="s">
        <v>10</v>
      </c>
      <c r="J76" s="20">
        <v>118</v>
      </c>
      <c r="K76" s="20">
        <f>Sales!$B76-Sales!$J76</f>
        <v>-49.08</v>
      </c>
      <c r="L76" s="23">
        <f>(Sales!$J76-Sales!$B76)/Sales!$J76</f>
        <v>0.4159322033898305</v>
      </c>
      <c r="M76" s="23" t="str">
        <f t="shared" si="1"/>
        <v>+20%</v>
      </c>
      <c r="N76" s="22" t="s">
        <v>59</v>
      </c>
      <c r="O76" s="22" t="s">
        <v>51</v>
      </c>
      <c r="P76" s="22" t="s">
        <v>51</v>
      </c>
      <c r="Q76" s="22" t="s">
        <v>14</v>
      </c>
    </row>
    <row r="77" spans="1:17" x14ac:dyDescent="0.3">
      <c r="A77" s="27">
        <v>26</v>
      </c>
      <c r="B77" s="24">
        <v>51.15</v>
      </c>
      <c r="C77" s="25">
        <f>Sales!$B77*Sales!$A77</f>
        <v>1329.8999999999999</v>
      </c>
      <c r="D77" s="26">
        <v>38338</v>
      </c>
      <c r="E77" s="27" t="s">
        <v>9</v>
      </c>
      <c r="F77" s="27">
        <v>4</v>
      </c>
      <c r="G77" s="27">
        <v>12</v>
      </c>
      <c r="H77" s="27">
        <v>2004</v>
      </c>
      <c r="I77" s="27" t="s">
        <v>10</v>
      </c>
      <c r="J77" s="25">
        <v>118</v>
      </c>
      <c r="K77" s="25">
        <f>Sales!$B77-Sales!$J77</f>
        <v>-66.849999999999994</v>
      </c>
      <c r="L77" s="28">
        <f>(Sales!$J77-Sales!$B77)/Sales!$J77</f>
        <v>0.56652542372881354</v>
      </c>
      <c r="M77" s="28" t="str">
        <f t="shared" si="1"/>
        <v>+20%</v>
      </c>
      <c r="N77" s="27" t="s">
        <v>40</v>
      </c>
      <c r="O77" s="27" t="s">
        <v>27</v>
      </c>
      <c r="P77" s="27" t="s">
        <v>28</v>
      </c>
      <c r="Q77" s="27" t="s">
        <v>14</v>
      </c>
    </row>
    <row r="78" spans="1:17" x14ac:dyDescent="0.3">
      <c r="A78" s="22">
        <v>39</v>
      </c>
      <c r="B78" s="19">
        <v>100</v>
      </c>
      <c r="C78" s="20">
        <f>Sales!$B78*Sales!$A78</f>
        <v>3900</v>
      </c>
      <c r="D78" s="21">
        <v>38385</v>
      </c>
      <c r="E78" s="22" t="s">
        <v>9</v>
      </c>
      <c r="F78" s="22">
        <v>1</v>
      </c>
      <c r="G78" s="22">
        <v>2</v>
      </c>
      <c r="H78" s="22">
        <v>2005</v>
      </c>
      <c r="I78" s="22" t="s">
        <v>10</v>
      </c>
      <c r="J78" s="20">
        <v>118</v>
      </c>
      <c r="K78" s="20">
        <f>Sales!$B78-Sales!$J78</f>
        <v>-18</v>
      </c>
      <c r="L78" s="23">
        <f>(Sales!$J78-Sales!$B78)/Sales!$J78</f>
        <v>0.15254237288135594</v>
      </c>
      <c r="M78" s="23" t="s">
        <v>132</v>
      </c>
      <c r="N78" s="22" t="s">
        <v>52</v>
      </c>
      <c r="O78" s="22" t="s">
        <v>27</v>
      </c>
      <c r="P78" s="22" t="s">
        <v>28</v>
      </c>
      <c r="Q78" s="22" t="s">
        <v>19</v>
      </c>
    </row>
    <row r="79" spans="1:17" x14ac:dyDescent="0.3">
      <c r="A79" s="27">
        <v>50</v>
      </c>
      <c r="B79" s="24">
        <v>44.51</v>
      </c>
      <c r="C79" s="25">
        <f>Sales!$B79*Sales!$A79</f>
        <v>2225.5</v>
      </c>
      <c r="D79" s="26">
        <v>38414</v>
      </c>
      <c r="E79" s="27" t="s">
        <v>9</v>
      </c>
      <c r="F79" s="27">
        <v>1</v>
      </c>
      <c r="G79" s="27">
        <v>3</v>
      </c>
      <c r="H79" s="27">
        <v>2005</v>
      </c>
      <c r="I79" s="27" t="s">
        <v>10</v>
      </c>
      <c r="J79" s="25">
        <v>118</v>
      </c>
      <c r="K79" s="25">
        <f>Sales!$B79-Sales!$J79</f>
        <v>-73.490000000000009</v>
      </c>
      <c r="L79" s="28">
        <f>(Sales!$J79-Sales!$B79)/Sales!$J79</f>
        <v>0.62279661016949162</v>
      </c>
      <c r="M79" s="28" t="str">
        <f t="shared" si="1"/>
        <v>+20%</v>
      </c>
      <c r="N79" s="27" t="s">
        <v>41</v>
      </c>
      <c r="O79" s="27" t="s">
        <v>12</v>
      </c>
      <c r="P79" s="27" t="s">
        <v>13</v>
      </c>
      <c r="Q79" s="27" t="s">
        <v>14</v>
      </c>
    </row>
    <row r="80" spans="1:17" x14ac:dyDescent="0.3">
      <c r="A80" s="22">
        <v>45</v>
      </c>
      <c r="B80" s="19">
        <v>100</v>
      </c>
      <c r="C80" s="20">
        <f>Sales!$B80*Sales!$A80</f>
        <v>4500</v>
      </c>
      <c r="D80" s="21">
        <v>38449</v>
      </c>
      <c r="E80" s="22" t="s">
        <v>9</v>
      </c>
      <c r="F80" s="22">
        <v>2</v>
      </c>
      <c r="G80" s="22">
        <v>4</v>
      </c>
      <c r="H80" s="22">
        <v>2005</v>
      </c>
      <c r="I80" s="22" t="s">
        <v>10</v>
      </c>
      <c r="J80" s="20">
        <v>118</v>
      </c>
      <c r="K80" s="20">
        <f>Sales!$B80-Sales!$J80</f>
        <v>-18</v>
      </c>
      <c r="L80" s="23">
        <f>(Sales!$J80-Sales!$B80)/Sales!$J80</f>
        <v>0.15254237288135594</v>
      </c>
      <c r="M80" s="23" t="s">
        <v>132</v>
      </c>
      <c r="N80" s="22" t="s">
        <v>18</v>
      </c>
      <c r="O80" s="22" t="s">
        <v>16</v>
      </c>
      <c r="P80" s="22" t="s">
        <v>17</v>
      </c>
      <c r="Q80" s="22" t="s">
        <v>19</v>
      </c>
    </row>
    <row r="81" spans="1:17" x14ac:dyDescent="0.3">
      <c r="A81" s="27">
        <v>45</v>
      </c>
      <c r="B81" s="24">
        <v>100</v>
      </c>
      <c r="C81" s="25">
        <f>Sales!$B81*Sales!$A81</f>
        <v>4500</v>
      </c>
      <c r="D81" s="26">
        <v>38485</v>
      </c>
      <c r="E81" s="27" t="s">
        <v>44</v>
      </c>
      <c r="F81" s="27">
        <v>2</v>
      </c>
      <c r="G81" s="27">
        <v>5</v>
      </c>
      <c r="H81" s="27">
        <v>2005</v>
      </c>
      <c r="I81" s="27" t="s">
        <v>10</v>
      </c>
      <c r="J81" s="25">
        <v>118</v>
      </c>
      <c r="K81" s="25">
        <f>Sales!$B81-Sales!$J81</f>
        <v>-18</v>
      </c>
      <c r="L81" s="28">
        <f>(Sales!$J81-Sales!$B81)/Sales!$J81</f>
        <v>0.15254237288135594</v>
      </c>
      <c r="M81" s="28" t="s">
        <v>132</v>
      </c>
      <c r="N81" s="27" t="s">
        <v>45</v>
      </c>
      <c r="O81" s="27" t="s">
        <v>46</v>
      </c>
      <c r="P81" s="27" t="s">
        <v>17</v>
      </c>
      <c r="Q81" s="27" t="s">
        <v>19</v>
      </c>
    </row>
    <row r="82" spans="1:17" x14ac:dyDescent="0.3">
      <c r="A82" s="22">
        <v>27</v>
      </c>
      <c r="B82" s="19">
        <v>100</v>
      </c>
      <c r="C82" s="20">
        <f>Sales!$B82*Sales!$A82</f>
        <v>2700</v>
      </c>
      <c r="D82" s="21">
        <v>37676</v>
      </c>
      <c r="E82" s="22" t="s">
        <v>9</v>
      </c>
      <c r="F82" s="22">
        <v>1</v>
      </c>
      <c r="G82" s="22">
        <v>2</v>
      </c>
      <c r="H82" s="22">
        <v>2003</v>
      </c>
      <c r="I82" s="22" t="s">
        <v>10</v>
      </c>
      <c r="J82" s="20">
        <v>193</v>
      </c>
      <c r="K82" s="20">
        <f>Sales!$B82-Sales!$J82</f>
        <v>-93</v>
      </c>
      <c r="L82" s="23">
        <f>(Sales!$J82-Sales!$B82)/Sales!$J82</f>
        <v>0.48186528497409326</v>
      </c>
      <c r="M82" s="23" t="str">
        <f t="shared" si="1"/>
        <v>+20%</v>
      </c>
      <c r="N82" s="22" t="s">
        <v>11</v>
      </c>
      <c r="O82" s="22" t="s">
        <v>12</v>
      </c>
      <c r="P82" s="22" t="s">
        <v>13</v>
      </c>
      <c r="Q82" s="22" t="s">
        <v>19</v>
      </c>
    </row>
    <row r="83" spans="1:17" x14ac:dyDescent="0.3">
      <c r="A83" s="27">
        <v>46</v>
      </c>
      <c r="B83" s="24">
        <v>100</v>
      </c>
      <c r="C83" s="25">
        <f>Sales!$B83*Sales!$A83</f>
        <v>4600</v>
      </c>
      <c r="D83" s="26">
        <v>37740</v>
      </c>
      <c r="E83" s="27" t="s">
        <v>9</v>
      </c>
      <c r="F83" s="27">
        <v>2</v>
      </c>
      <c r="G83" s="27">
        <v>4</v>
      </c>
      <c r="H83" s="27">
        <v>2003</v>
      </c>
      <c r="I83" s="27" t="s">
        <v>10</v>
      </c>
      <c r="J83" s="25">
        <v>193</v>
      </c>
      <c r="K83" s="25">
        <f>Sales!$B83-Sales!$J83</f>
        <v>-93</v>
      </c>
      <c r="L83" s="28">
        <f>(Sales!$J83-Sales!$B83)/Sales!$J83</f>
        <v>0.48186528497409326</v>
      </c>
      <c r="M83" s="28" t="str">
        <f t="shared" si="1"/>
        <v>+20%</v>
      </c>
      <c r="N83" s="27" t="s">
        <v>26</v>
      </c>
      <c r="O83" s="27" t="s">
        <v>27</v>
      </c>
      <c r="P83" s="27" t="s">
        <v>28</v>
      </c>
      <c r="Q83" s="27" t="s">
        <v>39</v>
      </c>
    </row>
    <row r="84" spans="1:17" x14ac:dyDescent="0.3">
      <c r="A84" s="22">
        <v>31</v>
      </c>
      <c r="B84" s="19">
        <v>100</v>
      </c>
      <c r="C84" s="20">
        <f>Sales!$B84*Sales!$A84</f>
        <v>3100</v>
      </c>
      <c r="D84" s="21">
        <v>37803</v>
      </c>
      <c r="E84" s="22" t="s">
        <v>9</v>
      </c>
      <c r="F84" s="22">
        <v>3</v>
      </c>
      <c r="G84" s="22">
        <v>7</v>
      </c>
      <c r="H84" s="22">
        <v>2003</v>
      </c>
      <c r="I84" s="22" t="s">
        <v>10</v>
      </c>
      <c r="J84" s="20">
        <v>193</v>
      </c>
      <c r="K84" s="20">
        <f>Sales!$B84-Sales!$J84</f>
        <v>-93</v>
      </c>
      <c r="L84" s="23">
        <f>(Sales!$J84-Sales!$B84)/Sales!$J84</f>
        <v>0.48186528497409326</v>
      </c>
      <c r="M84" s="23" t="str">
        <f t="shared" si="1"/>
        <v>+20%</v>
      </c>
      <c r="N84" s="22" t="s">
        <v>18</v>
      </c>
      <c r="O84" s="22" t="s">
        <v>16</v>
      </c>
      <c r="P84" s="22" t="s">
        <v>17</v>
      </c>
      <c r="Q84" s="22" t="s">
        <v>39</v>
      </c>
    </row>
    <row r="85" spans="1:17" x14ac:dyDescent="0.3">
      <c r="A85" s="27">
        <v>33</v>
      </c>
      <c r="B85" s="24">
        <v>100</v>
      </c>
      <c r="C85" s="25">
        <f>Sales!$B85*Sales!$A85</f>
        <v>3300</v>
      </c>
      <c r="D85" s="26">
        <v>37858</v>
      </c>
      <c r="E85" s="27" t="s">
        <v>9</v>
      </c>
      <c r="F85" s="27">
        <v>3</v>
      </c>
      <c r="G85" s="27">
        <v>8</v>
      </c>
      <c r="H85" s="27">
        <v>2003</v>
      </c>
      <c r="I85" s="27" t="s">
        <v>10</v>
      </c>
      <c r="J85" s="25">
        <v>193</v>
      </c>
      <c r="K85" s="25">
        <f>Sales!$B85-Sales!$J85</f>
        <v>-93</v>
      </c>
      <c r="L85" s="28">
        <f>(Sales!$J85-Sales!$B85)/Sales!$J85</f>
        <v>0.48186528497409326</v>
      </c>
      <c r="M85" s="28" t="str">
        <f t="shared" si="1"/>
        <v>+20%</v>
      </c>
      <c r="N85" s="27" t="s">
        <v>20</v>
      </c>
      <c r="O85" s="27" t="s">
        <v>12</v>
      </c>
      <c r="P85" s="27" t="s">
        <v>13</v>
      </c>
      <c r="Q85" s="27" t="s">
        <v>19</v>
      </c>
    </row>
    <row r="86" spans="1:17" x14ac:dyDescent="0.3">
      <c r="A86" s="22">
        <v>22</v>
      </c>
      <c r="B86" s="19">
        <v>100</v>
      </c>
      <c r="C86" s="20">
        <f>Sales!$B86*Sales!$A86</f>
        <v>2200</v>
      </c>
      <c r="D86" s="21">
        <v>37904</v>
      </c>
      <c r="E86" s="22" t="s">
        <v>9</v>
      </c>
      <c r="F86" s="22">
        <v>4</v>
      </c>
      <c r="G86" s="22">
        <v>10</v>
      </c>
      <c r="H86" s="22">
        <v>2003</v>
      </c>
      <c r="I86" s="22" t="s">
        <v>10</v>
      </c>
      <c r="J86" s="20">
        <v>193</v>
      </c>
      <c r="K86" s="20">
        <f>Sales!$B86-Sales!$J86</f>
        <v>-93</v>
      </c>
      <c r="L86" s="23">
        <f>(Sales!$J86-Sales!$B86)/Sales!$J86</f>
        <v>0.48186528497409326</v>
      </c>
      <c r="M86" s="23" t="str">
        <f t="shared" si="1"/>
        <v>+20%</v>
      </c>
      <c r="N86" s="22" t="s">
        <v>21</v>
      </c>
      <c r="O86" s="22" t="s">
        <v>12</v>
      </c>
      <c r="P86" s="22" t="s">
        <v>13</v>
      </c>
      <c r="Q86" s="22" t="s">
        <v>19</v>
      </c>
    </row>
    <row r="87" spans="1:17" x14ac:dyDescent="0.3">
      <c r="A87" s="27">
        <v>20</v>
      </c>
      <c r="B87" s="24">
        <v>100</v>
      </c>
      <c r="C87" s="25">
        <f>Sales!$B87*Sales!$A87</f>
        <v>2000</v>
      </c>
      <c r="D87" s="26">
        <v>37922</v>
      </c>
      <c r="E87" s="27" t="s">
        <v>9</v>
      </c>
      <c r="F87" s="27">
        <v>4</v>
      </c>
      <c r="G87" s="27">
        <v>10</v>
      </c>
      <c r="H87" s="27">
        <v>2003</v>
      </c>
      <c r="I87" s="27" t="s">
        <v>10</v>
      </c>
      <c r="J87" s="25">
        <v>193</v>
      </c>
      <c r="K87" s="25">
        <f>Sales!$B87-Sales!$J87</f>
        <v>-93</v>
      </c>
      <c r="L87" s="28">
        <f>(Sales!$J87-Sales!$B87)/Sales!$J87</f>
        <v>0.48186528497409326</v>
      </c>
      <c r="M87" s="28" t="str">
        <f t="shared" si="1"/>
        <v>+20%</v>
      </c>
      <c r="N87" s="27" t="s">
        <v>22</v>
      </c>
      <c r="O87" s="27" t="s">
        <v>12</v>
      </c>
      <c r="P87" s="27" t="s">
        <v>13</v>
      </c>
      <c r="Q87" s="27" t="s">
        <v>19</v>
      </c>
    </row>
    <row r="88" spans="1:17" x14ac:dyDescent="0.3">
      <c r="A88" s="22">
        <v>41</v>
      </c>
      <c r="B88" s="19">
        <v>100</v>
      </c>
      <c r="C88" s="20">
        <f>Sales!$B88*Sales!$A88</f>
        <v>4100</v>
      </c>
      <c r="D88" s="21">
        <v>37936</v>
      </c>
      <c r="E88" s="22" t="s">
        <v>9</v>
      </c>
      <c r="F88" s="22">
        <v>4</v>
      </c>
      <c r="G88" s="22">
        <v>11</v>
      </c>
      <c r="H88" s="22">
        <v>2003</v>
      </c>
      <c r="I88" s="22" t="s">
        <v>10</v>
      </c>
      <c r="J88" s="20">
        <v>193</v>
      </c>
      <c r="K88" s="20">
        <f>Sales!$B88-Sales!$J88</f>
        <v>-93</v>
      </c>
      <c r="L88" s="23">
        <f>(Sales!$J88-Sales!$B88)/Sales!$J88</f>
        <v>0.48186528497409326</v>
      </c>
      <c r="M88" s="23" t="str">
        <f t="shared" si="1"/>
        <v>+20%</v>
      </c>
      <c r="N88" s="22" t="s">
        <v>23</v>
      </c>
      <c r="O88" s="22" t="s">
        <v>16</v>
      </c>
      <c r="P88" s="22" t="s">
        <v>17</v>
      </c>
      <c r="Q88" s="22" t="s">
        <v>39</v>
      </c>
    </row>
    <row r="89" spans="1:17" x14ac:dyDescent="0.3">
      <c r="A89" s="27">
        <v>45</v>
      </c>
      <c r="B89" s="24">
        <v>100</v>
      </c>
      <c r="C89" s="25">
        <f>Sales!$B89*Sales!$A89</f>
        <v>4500</v>
      </c>
      <c r="D89" s="26">
        <v>37943</v>
      </c>
      <c r="E89" s="27" t="s">
        <v>9</v>
      </c>
      <c r="F89" s="27">
        <v>4</v>
      </c>
      <c r="G89" s="27">
        <v>11</v>
      </c>
      <c r="H89" s="27">
        <v>2003</v>
      </c>
      <c r="I89" s="27" t="s">
        <v>10</v>
      </c>
      <c r="J89" s="25">
        <v>193</v>
      </c>
      <c r="K89" s="25">
        <f>Sales!$B89-Sales!$J89</f>
        <v>-93</v>
      </c>
      <c r="L89" s="28">
        <f>(Sales!$J89-Sales!$B89)/Sales!$J89</f>
        <v>0.48186528497409326</v>
      </c>
      <c r="M89" s="28" t="str">
        <f t="shared" si="1"/>
        <v>+20%</v>
      </c>
      <c r="N89" s="27" t="s">
        <v>24</v>
      </c>
      <c r="O89" s="27" t="s">
        <v>25</v>
      </c>
      <c r="P89" s="27" t="s">
        <v>17</v>
      </c>
      <c r="Q89" s="27" t="s">
        <v>39</v>
      </c>
    </row>
    <row r="90" spans="1:17" x14ac:dyDescent="0.3">
      <c r="A90" s="22">
        <v>49</v>
      </c>
      <c r="B90" s="19">
        <v>100</v>
      </c>
      <c r="C90" s="20">
        <f>Sales!$B90*Sales!$A90</f>
        <v>4900</v>
      </c>
      <c r="D90" s="21">
        <v>37956</v>
      </c>
      <c r="E90" s="22" t="s">
        <v>9</v>
      </c>
      <c r="F90" s="22">
        <v>4</v>
      </c>
      <c r="G90" s="22">
        <v>12</v>
      </c>
      <c r="H90" s="22">
        <v>2003</v>
      </c>
      <c r="I90" s="22" t="s">
        <v>10</v>
      </c>
      <c r="J90" s="20">
        <v>193</v>
      </c>
      <c r="K90" s="20">
        <f>Sales!$B90-Sales!$J90</f>
        <v>-93</v>
      </c>
      <c r="L90" s="23">
        <f>(Sales!$J90-Sales!$B90)/Sales!$J90</f>
        <v>0.48186528497409326</v>
      </c>
      <c r="M90" s="23" t="str">
        <f t="shared" si="1"/>
        <v>+20%</v>
      </c>
      <c r="N90" s="22" t="s">
        <v>21</v>
      </c>
      <c r="O90" s="22" t="s">
        <v>12</v>
      </c>
      <c r="P90" s="22" t="s">
        <v>13</v>
      </c>
      <c r="Q90" s="22" t="s">
        <v>39</v>
      </c>
    </row>
    <row r="91" spans="1:17" x14ac:dyDescent="0.3">
      <c r="A91" s="27">
        <v>34</v>
      </c>
      <c r="B91" s="24">
        <v>100</v>
      </c>
      <c r="C91" s="25">
        <f>Sales!$B91*Sales!$A91</f>
        <v>3400</v>
      </c>
      <c r="D91" s="26">
        <v>37998</v>
      </c>
      <c r="E91" s="27" t="s">
        <v>9</v>
      </c>
      <c r="F91" s="27">
        <v>1</v>
      </c>
      <c r="G91" s="27">
        <v>1</v>
      </c>
      <c r="H91" s="27">
        <v>2004</v>
      </c>
      <c r="I91" s="27" t="s">
        <v>10</v>
      </c>
      <c r="J91" s="25">
        <v>193</v>
      </c>
      <c r="K91" s="25">
        <f>Sales!$B91-Sales!$J91</f>
        <v>-93</v>
      </c>
      <c r="L91" s="28">
        <f>(Sales!$J91-Sales!$B91)/Sales!$J91</f>
        <v>0.48186528497409326</v>
      </c>
      <c r="M91" s="28" t="str">
        <f t="shared" si="1"/>
        <v>+20%</v>
      </c>
      <c r="N91" s="27" t="s">
        <v>70</v>
      </c>
      <c r="O91" s="27" t="s">
        <v>51</v>
      </c>
      <c r="P91" s="27" t="s">
        <v>51</v>
      </c>
      <c r="Q91" s="27" t="s">
        <v>19</v>
      </c>
    </row>
    <row r="92" spans="1:17" x14ac:dyDescent="0.3">
      <c r="A92" s="22">
        <v>49</v>
      </c>
      <c r="B92" s="19">
        <v>100</v>
      </c>
      <c r="C92" s="20">
        <f>Sales!$B92*Sales!$A92</f>
        <v>4900</v>
      </c>
      <c r="D92" s="21">
        <v>38037</v>
      </c>
      <c r="E92" s="22" t="s">
        <v>9</v>
      </c>
      <c r="F92" s="22">
        <v>1</v>
      </c>
      <c r="G92" s="22">
        <v>2</v>
      </c>
      <c r="H92" s="22">
        <v>2004</v>
      </c>
      <c r="I92" s="22" t="s">
        <v>10</v>
      </c>
      <c r="J92" s="20">
        <v>193</v>
      </c>
      <c r="K92" s="20">
        <f>Sales!$B92-Sales!$J92</f>
        <v>-93</v>
      </c>
      <c r="L92" s="23">
        <f>(Sales!$J92-Sales!$B92)/Sales!$J92</f>
        <v>0.48186528497409326</v>
      </c>
      <c r="M92" s="23" t="str">
        <f t="shared" si="1"/>
        <v>+20%</v>
      </c>
      <c r="N92" s="22" t="s">
        <v>26</v>
      </c>
      <c r="O92" s="22" t="s">
        <v>27</v>
      </c>
      <c r="P92" s="22" t="s">
        <v>28</v>
      </c>
      <c r="Q92" s="22" t="s">
        <v>39</v>
      </c>
    </row>
    <row r="93" spans="1:17" x14ac:dyDescent="0.3">
      <c r="A93" s="27">
        <v>39</v>
      </c>
      <c r="B93" s="24">
        <v>100</v>
      </c>
      <c r="C93" s="25">
        <f>Sales!$B93*Sales!$A93</f>
        <v>3900</v>
      </c>
      <c r="D93" s="26">
        <v>38082</v>
      </c>
      <c r="E93" s="27" t="s">
        <v>9</v>
      </c>
      <c r="F93" s="27">
        <v>2</v>
      </c>
      <c r="G93" s="27">
        <v>4</v>
      </c>
      <c r="H93" s="27">
        <v>2004</v>
      </c>
      <c r="I93" s="27" t="s">
        <v>10</v>
      </c>
      <c r="J93" s="25">
        <v>193</v>
      </c>
      <c r="K93" s="25">
        <f>Sales!$B93-Sales!$J93</f>
        <v>-93</v>
      </c>
      <c r="L93" s="28">
        <f>(Sales!$J93-Sales!$B93)/Sales!$J93</f>
        <v>0.48186528497409326</v>
      </c>
      <c r="M93" s="28" t="str">
        <f t="shared" si="1"/>
        <v>+20%</v>
      </c>
      <c r="N93" s="27" t="s">
        <v>11</v>
      </c>
      <c r="O93" s="27" t="s">
        <v>12</v>
      </c>
      <c r="P93" s="27" t="s">
        <v>13</v>
      </c>
      <c r="Q93" s="27" t="s">
        <v>39</v>
      </c>
    </row>
    <row r="94" spans="1:17" x14ac:dyDescent="0.3">
      <c r="A94" s="22">
        <v>43</v>
      </c>
      <c r="B94" s="19">
        <v>100</v>
      </c>
      <c r="C94" s="20">
        <f>Sales!$B94*Sales!$A94</f>
        <v>4300</v>
      </c>
      <c r="D94" s="21">
        <v>38125</v>
      </c>
      <c r="E94" s="22" t="s">
        <v>9</v>
      </c>
      <c r="F94" s="22">
        <v>2</v>
      </c>
      <c r="G94" s="22">
        <v>5</v>
      </c>
      <c r="H94" s="22">
        <v>2004</v>
      </c>
      <c r="I94" s="22" t="s">
        <v>10</v>
      </c>
      <c r="J94" s="20">
        <v>193</v>
      </c>
      <c r="K94" s="20">
        <f>Sales!$B94-Sales!$J94</f>
        <v>-93</v>
      </c>
      <c r="L94" s="23">
        <f>(Sales!$J94-Sales!$B94)/Sales!$J94</f>
        <v>0.48186528497409326</v>
      </c>
      <c r="M94" s="23" t="str">
        <f t="shared" si="1"/>
        <v>+20%</v>
      </c>
      <c r="N94" s="22" t="s">
        <v>29</v>
      </c>
      <c r="O94" s="22" t="s">
        <v>12</v>
      </c>
      <c r="P94" s="22" t="s">
        <v>13</v>
      </c>
      <c r="Q94" s="22" t="s">
        <v>39</v>
      </c>
    </row>
    <row r="95" spans="1:17" x14ac:dyDescent="0.3">
      <c r="A95" s="27">
        <v>41</v>
      </c>
      <c r="B95" s="24">
        <v>100</v>
      </c>
      <c r="C95" s="25">
        <f>Sales!$B95*Sales!$A95</f>
        <v>4100</v>
      </c>
      <c r="D95" s="26">
        <v>38166</v>
      </c>
      <c r="E95" s="27" t="s">
        <v>9</v>
      </c>
      <c r="F95" s="27">
        <v>2</v>
      </c>
      <c r="G95" s="27">
        <v>6</v>
      </c>
      <c r="H95" s="27">
        <v>2004</v>
      </c>
      <c r="I95" s="27" t="s">
        <v>10</v>
      </c>
      <c r="J95" s="25">
        <v>193</v>
      </c>
      <c r="K95" s="25">
        <f>Sales!$B95-Sales!$J95</f>
        <v>-93</v>
      </c>
      <c r="L95" s="28">
        <f>(Sales!$J95-Sales!$B95)/Sales!$J95</f>
        <v>0.48186528497409326</v>
      </c>
      <c r="M95" s="28" t="str">
        <f t="shared" si="1"/>
        <v>+20%</v>
      </c>
      <c r="N95" s="27" t="s">
        <v>30</v>
      </c>
      <c r="O95" s="27" t="s">
        <v>12</v>
      </c>
      <c r="P95" s="27" t="s">
        <v>13</v>
      </c>
      <c r="Q95" s="27" t="s">
        <v>39</v>
      </c>
    </row>
    <row r="96" spans="1:17" x14ac:dyDescent="0.3">
      <c r="A96" s="22">
        <v>36</v>
      </c>
      <c r="B96" s="19">
        <v>100</v>
      </c>
      <c r="C96" s="20">
        <f>Sales!$B96*Sales!$A96</f>
        <v>3600</v>
      </c>
      <c r="D96" s="21">
        <v>38191</v>
      </c>
      <c r="E96" s="22" t="s">
        <v>9</v>
      </c>
      <c r="F96" s="22">
        <v>3</v>
      </c>
      <c r="G96" s="22">
        <v>7</v>
      </c>
      <c r="H96" s="22">
        <v>2004</v>
      </c>
      <c r="I96" s="22" t="s">
        <v>10</v>
      </c>
      <c r="J96" s="20">
        <v>193</v>
      </c>
      <c r="K96" s="20">
        <f>Sales!$B96-Sales!$J96</f>
        <v>-93</v>
      </c>
      <c r="L96" s="23">
        <f>(Sales!$J96-Sales!$B96)/Sales!$J96</f>
        <v>0.48186528497409326</v>
      </c>
      <c r="M96" s="23" t="str">
        <f t="shared" si="1"/>
        <v>+20%</v>
      </c>
      <c r="N96" s="22" t="s">
        <v>31</v>
      </c>
      <c r="O96" s="22" t="s">
        <v>16</v>
      </c>
      <c r="P96" s="22" t="s">
        <v>17</v>
      </c>
      <c r="Q96" s="22" t="s">
        <v>19</v>
      </c>
    </row>
    <row r="97" spans="1:17" x14ac:dyDescent="0.3">
      <c r="A97" s="27">
        <v>27</v>
      </c>
      <c r="B97" s="24">
        <v>100</v>
      </c>
      <c r="C97" s="25">
        <f>Sales!$B97*Sales!$A97</f>
        <v>2700</v>
      </c>
      <c r="D97" s="26">
        <v>38226</v>
      </c>
      <c r="E97" s="27" t="s">
        <v>9</v>
      </c>
      <c r="F97" s="27">
        <v>3</v>
      </c>
      <c r="G97" s="27">
        <v>8</v>
      </c>
      <c r="H97" s="27">
        <v>2004</v>
      </c>
      <c r="I97" s="27" t="s">
        <v>10</v>
      </c>
      <c r="J97" s="25">
        <v>193</v>
      </c>
      <c r="K97" s="25">
        <f>Sales!$B97-Sales!$J97</f>
        <v>-93</v>
      </c>
      <c r="L97" s="28">
        <f>(Sales!$J97-Sales!$B97)/Sales!$J97</f>
        <v>0.48186528497409326</v>
      </c>
      <c r="M97" s="28" t="str">
        <f t="shared" si="1"/>
        <v>+20%</v>
      </c>
      <c r="N97" s="27" t="s">
        <v>32</v>
      </c>
      <c r="O97" s="27" t="s">
        <v>12</v>
      </c>
      <c r="P97" s="27" t="s">
        <v>13</v>
      </c>
      <c r="Q97" s="27" t="s">
        <v>19</v>
      </c>
    </row>
    <row r="98" spans="1:17" x14ac:dyDescent="0.3">
      <c r="A98" s="22">
        <v>29</v>
      </c>
      <c r="B98" s="19">
        <v>100</v>
      </c>
      <c r="C98" s="20">
        <f>Sales!$B98*Sales!$A98</f>
        <v>2900</v>
      </c>
      <c r="D98" s="21">
        <v>38260</v>
      </c>
      <c r="E98" s="22" t="s">
        <v>9</v>
      </c>
      <c r="F98" s="22">
        <v>3</v>
      </c>
      <c r="G98" s="22">
        <v>9</v>
      </c>
      <c r="H98" s="22">
        <v>2004</v>
      </c>
      <c r="I98" s="22" t="s">
        <v>10</v>
      </c>
      <c r="J98" s="20">
        <v>193</v>
      </c>
      <c r="K98" s="20">
        <f>Sales!$B98-Sales!$J98</f>
        <v>-93</v>
      </c>
      <c r="L98" s="23">
        <f>(Sales!$J98-Sales!$B98)/Sales!$J98</f>
        <v>0.48186528497409326</v>
      </c>
      <c r="M98" s="23" t="str">
        <f t="shared" si="1"/>
        <v>+20%</v>
      </c>
      <c r="N98" s="22" t="s">
        <v>33</v>
      </c>
      <c r="O98" s="22" t="s">
        <v>34</v>
      </c>
      <c r="P98" s="22" t="s">
        <v>17</v>
      </c>
      <c r="Q98" s="22" t="s">
        <v>19</v>
      </c>
    </row>
    <row r="99" spans="1:17" x14ac:dyDescent="0.3">
      <c r="A99" s="27">
        <v>20</v>
      </c>
      <c r="B99" s="24">
        <v>100</v>
      </c>
      <c r="C99" s="25">
        <f>Sales!$B99*Sales!$A99</f>
        <v>2000</v>
      </c>
      <c r="D99" s="26">
        <v>38275</v>
      </c>
      <c r="E99" s="27" t="s">
        <v>9</v>
      </c>
      <c r="F99" s="27">
        <v>4</v>
      </c>
      <c r="G99" s="27">
        <v>10</v>
      </c>
      <c r="H99" s="27">
        <v>2004</v>
      </c>
      <c r="I99" s="27" t="s">
        <v>10</v>
      </c>
      <c r="J99" s="25">
        <v>193</v>
      </c>
      <c r="K99" s="25">
        <f>Sales!$B99-Sales!$J99</f>
        <v>-93</v>
      </c>
      <c r="L99" s="28">
        <f>(Sales!$J99-Sales!$B99)/Sales!$J99</f>
        <v>0.48186528497409326</v>
      </c>
      <c r="M99" s="28" t="str">
        <f t="shared" si="1"/>
        <v>+20%</v>
      </c>
      <c r="N99" s="27" t="s">
        <v>71</v>
      </c>
      <c r="O99" s="27" t="s">
        <v>12</v>
      </c>
      <c r="P99" s="27" t="s">
        <v>13</v>
      </c>
      <c r="Q99" s="27" t="s">
        <v>19</v>
      </c>
    </row>
    <row r="100" spans="1:17" x14ac:dyDescent="0.3">
      <c r="A100" s="22">
        <v>37</v>
      </c>
      <c r="B100" s="19">
        <v>100</v>
      </c>
      <c r="C100" s="20">
        <f>Sales!$B100*Sales!$A100</f>
        <v>3700</v>
      </c>
      <c r="D100" s="21">
        <v>38293</v>
      </c>
      <c r="E100" s="22" t="s">
        <v>9</v>
      </c>
      <c r="F100" s="22">
        <v>4</v>
      </c>
      <c r="G100" s="22">
        <v>11</v>
      </c>
      <c r="H100" s="22">
        <v>2004</v>
      </c>
      <c r="I100" s="22" t="s">
        <v>10</v>
      </c>
      <c r="J100" s="20">
        <v>193</v>
      </c>
      <c r="K100" s="20">
        <f>Sales!$B100-Sales!$J100</f>
        <v>-93</v>
      </c>
      <c r="L100" s="23">
        <f>(Sales!$J100-Sales!$B100)/Sales!$J100</f>
        <v>0.48186528497409326</v>
      </c>
      <c r="M100" s="23" t="str">
        <f t="shared" si="1"/>
        <v>+20%</v>
      </c>
      <c r="N100" s="22" t="s">
        <v>36</v>
      </c>
      <c r="O100" s="22" t="s">
        <v>12</v>
      </c>
      <c r="P100" s="22" t="s">
        <v>13</v>
      </c>
      <c r="Q100" s="22" t="s">
        <v>39</v>
      </c>
    </row>
    <row r="101" spans="1:17" x14ac:dyDescent="0.3">
      <c r="A101" s="27">
        <v>26</v>
      </c>
      <c r="B101" s="24">
        <v>100</v>
      </c>
      <c r="C101" s="25">
        <f>Sales!$B101*Sales!$A101</f>
        <v>2600</v>
      </c>
      <c r="D101" s="26">
        <v>38306</v>
      </c>
      <c r="E101" s="27" t="s">
        <v>9</v>
      </c>
      <c r="F101" s="27">
        <v>4</v>
      </c>
      <c r="G101" s="27">
        <v>11</v>
      </c>
      <c r="H101" s="27">
        <v>2004</v>
      </c>
      <c r="I101" s="27" t="s">
        <v>10</v>
      </c>
      <c r="J101" s="25">
        <v>193</v>
      </c>
      <c r="K101" s="25">
        <f>Sales!$B101-Sales!$J101</f>
        <v>-93</v>
      </c>
      <c r="L101" s="28">
        <f>(Sales!$J101-Sales!$B101)/Sales!$J101</f>
        <v>0.48186528497409326</v>
      </c>
      <c r="M101" s="28" t="str">
        <f t="shared" si="1"/>
        <v>+20%</v>
      </c>
      <c r="N101" s="27" t="s">
        <v>11</v>
      </c>
      <c r="O101" s="27" t="s">
        <v>12</v>
      </c>
      <c r="P101" s="27" t="s">
        <v>13</v>
      </c>
      <c r="Q101" s="27" t="s">
        <v>19</v>
      </c>
    </row>
    <row r="102" spans="1:17" x14ac:dyDescent="0.3">
      <c r="A102" s="22">
        <v>39</v>
      </c>
      <c r="B102" s="19">
        <v>76.67</v>
      </c>
      <c r="C102" s="20">
        <f>Sales!$B102*Sales!$A102</f>
        <v>2990.13</v>
      </c>
      <c r="D102" s="21">
        <v>38314</v>
      </c>
      <c r="E102" s="22" t="s">
        <v>9</v>
      </c>
      <c r="F102" s="22">
        <v>4</v>
      </c>
      <c r="G102" s="22">
        <v>11</v>
      </c>
      <c r="H102" s="22">
        <v>2004</v>
      </c>
      <c r="I102" s="22" t="s">
        <v>10</v>
      </c>
      <c r="J102" s="20">
        <v>193</v>
      </c>
      <c r="K102" s="20">
        <f>Sales!$B102-Sales!$J102</f>
        <v>-116.33</v>
      </c>
      <c r="L102" s="23">
        <f>(Sales!$J102-Sales!$B102)/Sales!$J102</f>
        <v>0.60274611398963729</v>
      </c>
      <c r="M102" s="23" t="str">
        <f t="shared" si="1"/>
        <v>+20%</v>
      </c>
      <c r="N102" s="22" t="s">
        <v>59</v>
      </c>
      <c r="O102" s="22" t="s">
        <v>51</v>
      </c>
      <c r="P102" s="22" t="s">
        <v>51</v>
      </c>
      <c r="Q102" s="22" t="s">
        <v>14</v>
      </c>
    </row>
    <row r="103" spans="1:17" x14ac:dyDescent="0.3">
      <c r="A103" s="27">
        <v>22</v>
      </c>
      <c r="B103" s="24">
        <v>100</v>
      </c>
      <c r="C103" s="25">
        <f>Sales!$B103*Sales!$A103</f>
        <v>2200</v>
      </c>
      <c r="D103" s="26">
        <v>38357</v>
      </c>
      <c r="E103" s="27" t="s">
        <v>9</v>
      </c>
      <c r="F103" s="27">
        <v>1</v>
      </c>
      <c r="G103" s="27">
        <v>1</v>
      </c>
      <c r="H103" s="27">
        <v>2005</v>
      </c>
      <c r="I103" s="27" t="s">
        <v>10</v>
      </c>
      <c r="J103" s="25">
        <v>193</v>
      </c>
      <c r="K103" s="25">
        <f>Sales!$B103-Sales!$J103</f>
        <v>-93</v>
      </c>
      <c r="L103" s="28">
        <f>(Sales!$J103-Sales!$B103)/Sales!$J103</f>
        <v>0.48186528497409326</v>
      </c>
      <c r="M103" s="28" t="str">
        <f t="shared" si="1"/>
        <v>+20%</v>
      </c>
      <c r="N103" s="27" t="s">
        <v>22</v>
      </c>
      <c r="O103" s="27" t="s">
        <v>12</v>
      </c>
      <c r="P103" s="27" t="s">
        <v>13</v>
      </c>
      <c r="Q103" s="27" t="s">
        <v>19</v>
      </c>
    </row>
    <row r="104" spans="1:17" x14ac:dyDescent="0.3">
      <c r="A104" s="22">
        <v>22</v>
      </c>
      <c r="B104" s="19">
        <v>100</v>
      </c>
      <c r="C104" s="20">
        <f>Sales!$B104*Sales!$A104</f>
        <v>2200</v>
      </c>
      <c r="D104" s="21">
        <v>38385</v>
      </c>
      <c r="E104" s="22" t="s">
        <v>9</v>
      </c>
      <c r="F104" s="22">
        <v>1</v>
      </c>
      <c r="G104" s="22">
        <v>2</v>
      </c>
      <c r="H104" s="22">
        <v>2005</v>
      </c>
      <c r="I104" s="22" t="s">
        <v>10</v>
      </c>
      <c r="J104" s="20">
        <v>193</v>
      </c>
      <c r="K104" s="20">
        <f>Sales!$B104-Sales!$J104</f>
        <v>-93</v>
      </c>
      <c r="L104" s="23">
        <f>(Sales!$J104-Sales!$B104)/Sales!$J104</f>
        <v>0.48186528497409326</v>
      </c>
      <c r="M104" s="23" t="str">
        <f t="shared" si="1"/>
        <v>+20%</v>
      </c>
      <c r="N104" s="22" t="s">
        <v>52</v>
      </c>
      <c r="O104" s="22" t="s">
        <v>27</v>
      </c>
      <c r="P104" s="22" t="s">
        <v>28</v>
      </c>
      <c r="Q104" s="22" t="s">
        <v>19</v>
      </c>
    </row>
    <row r="105" spans="1:17" x14ac:dyDescent="0.3">
      <c r="A105" s="27">
        <v>21</v>
      </c>
      <c r="B105" s="24">
        <v>86.77</v>
      </c>
      <c r="C105" s="25">
        <f>Sales!$B105*Sales!$A105</f>
        <v>1822.1699999999998</v>
      </c>
      <c r="D105" s="26">
        <v>38414</v>
      </c>
      <c r="E105" s="27" t="s">
        <v>9</v>
      </c>
      <c r="F105" s="27">
        <v>1</v>
      </c>
      <c r="G105" s="27">
        <v>3</v>
      </c>
      <c r="H105" s="27">
        <v>2005</v>
      </c>
      <c r="I105" s="27" t="s">
        <v>10</v>
      </c>
      <c r="J105" s="25">
        <v>193</v>
      </c>
      <c r="K105" s="25">
        <f>Sales!$B105-Sales!$J105</f>
        <v>-106.23</v>
      </c>
      <c r="L105" s="28">
        <f>(Sales!$J105-Sales!$B105)/Sales!$J105</f>
        <v>0.55041450777202072</v>
      </c>
      <c r="M105" s="28" t="str">
        <f t="shared" si="1"/>
        <v>+20%</v>
      </c>
      <c r="N105" s="27" t="s">
        <v>41</v>
      </c>
      <c r="O105" s="27" t="s">
        <v>12</v>
      </c>
      <c r="P105" s="27" t="s">
        <v>13</v>
      </c>
      <c r="Q105" s="27" t="s">
        <v>14</v>
      </c>
    </row>
    <row r="106" spans="1:17" x14ac:dyDescent="0.3">
      <c r="A106" s="22">
        <v>66</v>
      </c>
      <c r="B106" s="19">
        <v>100</v>
      </c>
      <c r="C106" s="20">
        <f>Sales!$B106*Sales!$A106</f>
        <v>6600</v>
      </c>
      <c r="D106" s="21">
        <v>38450</v>
      </c>
      <c r="E106" s="22" t="s">
        <v>9</v>
      </c>
      <c r="F106" s="22">
        <v>2</v>
      </c>
      <c r="G106" s="22">
        <v>4</v>
      </c>
      <c r="H106" s="22">
        <v>2005</v>
      </c>
      <c r="I106" s="22" t="s">
        <v>10</v>
      </c>
      <c r="J106" s="20">
        <v>193</v>
      </c>
      <c r="K106" s="20">
        <f>Sales!$B106-Sales!$J106</f>
        <v>-93</v>
      </c>
      <c r="L106" s="23">
        <f>(Sales!$J106-Sales!$B106)/Sales!$J106</f>
        <v>0.48186528497409326</v>
      </c>
      <c r="M106" s="23" t="str">
        <f t="shared" si="1"/>
        <v>+20%</v>
      </c>
      <c r="N106" s="22" t="s">
        <v>42</v>
      </c>
      <c r="O106" s="22" t="s">
        <v>43</v>
      </c>
      <c r="P106" s="22" t="s">
        <v>17</v>
      </c>
      <c r="Q106" s="22" t="s">
        <v>39</v>
      </c>
    </row>
    <row r="107" spans="1:17" x14ac:dyDescent="0.3">
      <c r="A107" s="27">
        <v>56</v>
      </c>
      <c r="B107" s="24">
        <v>100</v>
      </c>
      <c r="C107" s="25">
        <f>Sales!$B107*Sales!$A107</f>
        <v>5600</v>
      </c>
      <c r="D107" s="26">
        <v>38485</v>
      </c>
      <c r="E107" s="27" t="s">
        <v>44</v>
      </c>
      <c r="F107" s="27">
        <v>2</v>
      </c>
      <c r="G107" s="27">
        <v>5</v>
      </c>
      <c r="H107" s="27">
        <v>2005</v>
      </c>
      <c r="I107" s="27" t="s">
        <v>10</v>
      </c>
      <c r="J107" s="25">
        <v>193</v>
      </c>
      <c r="K107" s="25">
        <f>Sales!$B107-Sales!$J107</f>
        <v>-93</v>
      </c>
      <c r="L107" s="28">
        <f>(Sales!$J107-Sales!$B107)/Sales!$J107</f>
        <v>0.48186528497409326</v>
      </c>
      <c r="M107" s="28" t="str">
        <f t="shared" si="1"/>
        <v>+20%</v>
      </c>
      <c r="N107" s="27" t="s">
        <v>45</v>
      </c>
      <c r="O107" s="27" t="s">
        <v>46</v>
      </c>
      <c r="P107" s="27" t="s">
        <v>17</v>
      </c>
      <c r="Q107" s="27" t="s">
        <v>39</v>
      </c>
    </row>
    <row r="108" spans="1:17" x14ac:dyDescent="0.3">
      <c r="A108" s="22">
        <v>50</v>
      </c>
      <c r="B108" s="19">
        <v>100</v>
      </c>
      <c r="C108" s="20">
        <f>Sales!$B108*Sales!$A108</f>
        <v>5000</v>
      </c>
      <c r="D108" s="21">
        <v>37663</v>
      </c>
      <c r="E108" s="22" t="s">
        <v>9</v>
      </c>
      <c r="F108" s="22">
        <v>1</v>
      </c>
      <c r="G108" s="22">
        <v>2</v>
      </c>
      <c r="H108" s="22">
        <v>2003</v>
      </c>
      <c r="I108" s="22" t="s">
        <v>47</v>
      </c>
      <c r="J108" s="20">
        <v>136</v>
      </c>
      <c r="K108" s="20">
        <f>Sales!$B108-Sales!$J108</f>
        <v>-36</v>
      </c>
      <c r="L108" s="23">
        <f>(Sales!$J108-Sales!$B108)/Sales!$J108</f>
        <v>0.26470588235294118</v>
      </c>
      <c r="M108" s="23" t="str">
        <f t="shared" si="1"/>
        <v>+20%</v>
      </c>
      <c r="N108" s="22" t="s">
        <v>72</v>
      </c>
      <c r="O108" s="22" t="s">
        <v>73</v>
      </c>
      <c r="P108" s="22" t="s">
        <v>17</v>
      </c>
      <c r="Q108" s="22" t="s">
        <v>39</v>
      </c>
    </row>
    <row r="109" spans="1:17" x14ac:dyDescent="0.3">
      <c r="A109" s="27">
        <v>46</v>
      </c>
      <c r="B109" s="24">
        <v>100</v>
      </c>
      <c r="C109" s="25">
        <f>Sales!$B109*Sales!$A109</f>
        <v>4600</v>
      </c>
      <c r="D109" s="26">
        <v>37739</v>
      </c>
      <c r="E109" s="27" t="s">
        <v>9</v>
      </c>
      <c r="F109" s="27">
        <v>2</v>
      </c>
      <c r="G109" s="27">
        <v>4</v>
      </c>
      <c r="H109" s="27">
        <v>2003</v>
      </c>
      <c r="I109" s="27" t="s">
        <v>47</v>
      </c>
      <c r="J109" s="25">
        <v>136</v>
      </c>
      <c r="K109" s="25">
        <f>Sales!$B109-Sales!$J109</f>
        <v>-36</v>
      </c>
      <c r="L109" s="28">
        <f>(Sales!$J109-Sales!$B109)/Sales!$J109</f>
        <v>0.26470588235294118</v>
      </c>
      <c r="M109" s="28" t="str">
        <f t="shared" si="1"/>
        <v>+20%</v>
      </c>
      <c r="N109" s="27" t="s">
        <v>37</v>
      </c>
      <c r="O109" s="27" t="s">
        <v>38</v>
      </c>
      <c r="P109" s="27" t="s">
        <v>17</v>
      </c>
      <c r="Q109" s="27" t="s">
        <v>19</v>
      </c>
    </row>
    <row r="110" spans="1:17" x14ac:dyDescent="0.3">
      <c r="A110" s="22">
        <v>33</v>
      </c>
      <c r="B110" s="19">
        <v>100</v>
      </c>
      <c r="C110" s="20">
        <f>Sales!$B110*Sales!$A110</f>
        <v>3300</v>
      </c>
      <c r="D110" s="21">
        <v>37784</v>
      </c>
      <c r="E110" s="22" t="s">
        <v>9</v>
      </c>
      <c r="F110" s="22">
        <v>2</v>
      </c>
      <c r="G110" s="22">
        <v>6</v>
      </c>
      <c r="H110" s="22">
        <v>2003</v>
      </c>
      <c r="I110" s="22" t="s">
        <v>47</v>
      </c>
      <c r="J110" s="20">
        <v>136</v>
      </c>
      <c r="K110" s="20">
        <f>Sales!$B110-Sales!$J110</f>
        <v>-36</v>
      </c>
      <c r="L110" s="23">
        <f>(Sales!$J110-Sales!$B110)/Sales!$J110</f>
        <v>0.26470588235294118</v>
      </c>
      <c r="M110" s="23" t="str">
        <f t="shared" si="1"/>
        <v>+20%</v>
      </c>
      <c r="N110" s="22" t="s">
        <v>74</v>
      </c>
      <c r="O110" s="22" t="s">
        <v>43</v>
      </c>
      <c r="P110" s="22" t="s">
        <v>17</v>
      </c>
      <c r="Q110" s="22" t="s">
        <v>19</v>
      </c>
    </row>
    <row r="111" spans="1:17" x14ac:dyDescent="0.3">
      <c r="A111" s="27">
        <v>49</v>
      </c>
      <c r="B111" s="24">
        <v>100</v>
      </c>
      <c r="C111" s="25">
        <f>Sales!$B111*Sales!$A111</f>
        <v>4900</v>
      </c>
      <c r="D111" s="26">
        <v>37843</v>
      </c>
      <c r="E111" s="27" t="s">
        <v>9</v>
      </c>
      <c r="F111" s="27">
        <v>3</v>
      </c>
      <c r="G111" s="27">
        <v>8</v>
      </c>
      <c r="H111" s="27">
        <v>2003</v>
      </c>
      <c r="I111" s="27" t="s">
        <v>47</v>
      </c>
      <c r="J111" s="25">
        <v>136</v>
      </c>
      <c r="K111" s="25">
        <f>Sales!$B111-Sales!$J111</f>
        <v>-36</v>
      </c>
      <c r="L111" s="28">
        <f>(Sales!$J111-Sales!$B111)/Sales!$J111</f>
        <v>0.26470588235294118</v>
      </c>
      <c r="M111" s="28" t="str">
        <f t="shared" si="1"/>
        <v>+20%</v>
      </c>
      <c r="N111" s="27" t="s">
        <v>41</v>
      </c>
      <c r="O111" s="27" t="s">
        <v>12</v>
      </c>
      <c r="P111" s="27" t="s">
        <v>13</v>
      </c>
      <c r="Q111" s="27" t="s">
        <v>19</v>
      </c>
    </row>
    <row r="112" spans="1:17" x14ac:dyDescent="0.3">
      <c r="A112" s="22">
        <v>32</v>
      </c>
      <c r="B112" s="19">
        <v>100</v>
      </c>
      <c r="C112" s="20">
        <f>Sales!$B112*Sales!$A112</f>
        <v>3200</v>
      </c>
      <c r="D112" s="21">
        <v>37900</v>
      </c>
      <c r="E112" s="22" t="s">
        <v>9</v>
      </c>
      <c r="F112" s="22">
        <v>4</v>
      </c>
      <c r="G112" s="22">
        <v>10</v>
      </c>
      <c r="H112" s="22">
        <v>2003</v>
      </c>
      <c r="I112" s="22" t="s">
        <v>47</v>
      </c>
      <c r="J112" s="20">
        <v>136</v>
      </c>
      <c r="K112" s="20">
        <f>Sales!$B112-Sales!$J112</f>
        <v>-36</v>
      </c>
      <c r="L112" s="23">
        <f>(Sales!$J112-Sales!$B112)/Sales!$J112</f>
        <v>0.26470588235294118</v>
      </c>
      <c r="M112" s="23" t="str">
        <f t="shared" si="1"/>
        <v>+20%</v>
      </c>
      <c r="N112" s="22" t="s">
        <v>33</v>
      </c>
      <c r="O112" s="22" t="s">
        <v>34</v>
      </c>
      <c r="P112" s="22" t="s">
        <v>17</v>
      </c>
      <c r="Q112" s="22" t="s">
        <v>19</v>
      </c>
    </row>
    <row r="113" spans="1:17" x14ac:dyDescent="0.3">
      <c r="A113" s="27">
        <v>44</v>
      </c>
      <c r="B113" s="24">
        <v>100</v>
      </c>
      <c r="C113" s="25">
        <f>Sales!$B113*Sales!$A113</f>
        <v>4400</v>
      </c>
      <c r="D113" s="26">
        <v>37917</v>
      </c>
      <c r="E113" s="27" t="s">
        <v>75</v>
      </c>
      <c r="F113" s="27">
        <v>4</v>
      </c>
      <c r="G113" s="27">
        <v>10</v>
      </c>
      <c r="H113" s="27">
        <v>2003</v>
      </c>
      <c r="I113" s="27" t="s">
        <v>47</v>
      </c>
      <c r="J113" s="25">
        <v>136</v>
      </c>
      <c r="K113" s="25">
        <f>Sales!$B113-Sales!$J113</f>
        <v>-36</v>
      </c>
      <c r="L113" s="28">
        <f>(Sales!$J113-Sales!$B113)/Sales!$J113</f>
        <v>0.26470588235294118</v>
      </c>
      <c r="M113" s="28" t="str">
        <f t="shared" si="1"/>
        <v>+20%</v>
      </c>
      <c r="N113" s="27" t="s">
        <v>62</v>
      </c>
      <c r="O113" s="27" t="s">
        <v>49</v>
      </c>
      <c r="P113" s="27" t="s">
        <v>17</v>
      </c>
      <c r="Q113" s="27" t="s">
        <v>19</v>
      </c>
    </row>
    <row r="114" spans="1:17" x14ac:dyDescent="0.3">
      <c r="A114" s="22">
        <v>24</v>
      </c>
      <c r="B114" s="19">
        <v>100</v>
      </c>
      <c r="C114" s="20">
        <f>Sales!$B114*Sales!$A114</f>
        <v>2400</v>
      </c>
      <c r="D114" s="21">
        <v>37933</v>
      </c>
      <c r="E114" s="22" t="s">
        <v>9</v>
      </c>
      <c r="F114" s="22">
        <v>4</v>
      </c>
      <c r="G114" s="22">
        <v>11</v>
      </c>
      <c r="H114" s="22">
        <v>2003</v>
      </c>
      <c r="I114" s="22" t="s">
        <v>47</v>
      </c>
      <c r="J114" s="20">
        <v>136</v>
      </c>
      <c r="K114" s="20">
        <f>Sales!$B114-Sales!$J114</f>
        <v>-36</v>
      </c>
      <c r="L114" s="23">
        <f>(Sales!$J114-Sales!$B114)/Sales!$J114</f>
        <v>0.26470588235294118</v>
      </c>
      <c r="M114" s="23" t="str">
        <f t="shared" si="1"/>
        <v>+20%</v>
      </c>
      <c r="N114" s="22" t="s">
        <v>76</v>
      </c>
      <c r="O114" s="22" t="s">
        <v>16</v>
      </c>
      <c r="P114" s="22" t="s">
        <v>17</v>
      </c>
      <c r="Q114" s="22" t="s">
        <v>19</v>
      </c>
    </row>
    <row r="115" spans="1:17" x14ac:dyDescent="0.3">
      <c r="A115" s="27">
        <v>26</v>
      </c>
      <c r="B115" s="24">
        <v>100</v>
      </c>
      <c r="C115" s="25">
        <f>Sales!$B115*Sales!$A115</f>
        <v>2600</v>
      </c>
      <c r="D115" s="26">
        <v>37939</v>
      </c>
      <c r="E115" s="27" t="s">
        <v>9</v>
      </c>
      <c r="F115" s="27">
        <v>4</v>
      </c>
      <c r="G115" s="27">
        <v>11</v>
      </c>
      <c r="H115" s="27">
        <v>2003</v>
      </c>
      <c r="I115" s="27" t="s">
        <v>47</v>
      </c>
      <c r="J115" s="25">
        <v>136</v>
      </c>
      <c r="K115" s="25">
        <f>Sales!$B115-Sales!$J115</f>
        <v>-36</v>
      </c>
      <c r="L115" s="28">
        <f>(Sales!$J115-Sales!$B115)/Sales!$J115</f>
        <v>0.26470588235294118</v>
      </c>
      <c r="M115" s="28" t="str">
        <f t="shared" si="1"/>
        <v>+20%</v>
      </c>
      <c r="N115" s="27" t="s">
        <v>74</v>
      </c>
      <c r="O115" s="27" t="s">
        <v>43</v>
      </c>
      <c r="P115" s="27" t="s">
        <v>17</v>
      </c>
      <c r="Q115" s="27" t="s">
        <v>19</v>
      </c>
    </row>
    <row r="116" spans="1:17" x14ac:dyDescent="0.3">
      <c r="A116" s="22">
        <v>45</v>
      </c>
      <c r="B116" s="19">
        <v>100</v>
      </c>
      <c r="C116" s="20">
        <f>Sales!$B116*Sales!$A116</f>
        <v>4500</v>
      </c>
      <c r="D116" s="21">
        <v>37951</v>
      </c>
      <c r="E116" s="22" t="s">
        <v>9</v>
      </c>
      <c r="F116" s="22">
        <v>4</v>
      </c>
      <c r="G116" s="22">
        <v>11</v>
      </c>
      <c r="H116" s="22">
        <v>2003</v>
      </c>
      <c r="I116" s="22" t="s">
        <v>47</v>
      </c>
      <c r="J116" s="20">
        <v>136</v>
      </c>
      <c r="K116" s="20">
        <f>Sales!$B116-Sales!$J116</f>
        <v>-36</v>
      </c>
      <c r="L116" s="23">
        <f>(Sales!$J116-Sales!$B116)/Sales!$J116</f>
        <v>0.26470588235294118</v>
      </c>
      <c r="M116" s="23" t="str">
        <f t="shared" si="1"/>
        <v>+20%</v>
      </c>
      <c r="N116" s="22" t="s">
        <v>77</v>
      </c>
      <c r="O116" s="22" t="s">
        <v>46</v>
      </c>
      <c r="P116" s="22" t="s">
        <v>17</v>
      </c>
      <c r="Q116" s="22" t="s">
        <v>19</v>
      </c>
    </row>
    <row r="117" spans="1:17" x14ac:dyDescent="0.3">
      <c r="A117" s="27">
        <v>39</v>
      </c>
      <c r="B117" s="24">
        <v>100</v>
      </c>
      <c r="C117" s="25">
        <f>Sales!$B117*Sales!$A117</f>
        <v>3900</v>
      </c>
      <c r="D117" s="26">
        <v>37995</v>
      </c>
      <c r="E117" s="27" t="s">
        <v>9</v>
      </c>
      <c r="F117" s="27">
        <v>1</v>
      </c>
      <c r="G117" s="27">
        <v>1</v>
      </c>
      <c r="H117" s="27">
        <v>2004</v>
      </c>
      <c r="I117" s="27" t="s">
        <v>47</v>
      </c>
      <c r="J117" s="25">
        <v>136</v>
      </c>
      <c r="K117" s="25">
        <f>Sales!$B117-Sales!$J117</f>
        <v>-36</v>
      </c>
      <c r="L117" s="28">
        <f>(Sales!$J117-Sales!$B117)/Sales!$J117</f>
        <v>0.26470588235294118</v>
      </c>
      <c r="M117" s="28" t="str">
        <f t="shared" si="1"/>
        <v>+20%</v>
      </c>
      <c r="N117" s="27" t="s">
        <v>78</v>
      </c>
      <c r="O117" s="27" t="s">
        <v>12</v>
      </c>
      <c r="P117" s="27" t="s">
        <v>13</v>
      </c>
      <c r="Q117" s="27" t="s">
        <v>19</v>
      </c>
    </row>
    <row r="118" spans="1:17" x14ac:dyDescent="0.3">
      <c r="A118" s="22">
        <v>49</v>
      </c>
      <c r="B118" s="19">
        <v>100</v>
      </c>
      <c r="C118" s="20">
        <f>Sales!$B118*Sales!$A118</f>
        <v>4900</v>
      </c>
      <c r="D118" s="21">
        <v>38036</v>
      </c>
      <c r="E118" s="22" t="s">
        <v>9</v>
      </c>
      <c r="F118" s="22">
        <v>1</v>
      </c>
      <c r="G118" s="22">
        <v>2</v>
      </c>
      <c r="H118" s="22">
        <v>2004</v>
      </c>
      <c r="I118" s="22" t="s">
        <v>47</v>
      </c>
      <c r="J118" s="20">
        <v>136</v>
      </c>
      <c r="K118" s="20">
        <f>Sales!$B118-Sales!$J118</f>
        <v>-36</v>
      </c>
      <c r="L118" s="23">
        <f>(Sales!$J118-Sales!$B118)/Sales!$J118</f>
        <v>0.26470588235294118</v>
      </c>
      <c r="M118" s="23" t="str">
        <f t="shared" si="1"/>
        <v>+20%</v>
      </c>
      <c r="N118" s="22" t="s">
        <v>79</v>
      </c>
      <c r="O118" s="22" t="s">
        <v>12</v>
      </c>
      <c r="P118" s="22" t="s">
        <v>13</v>
      </c>
      <c r="Q118" s="22" t="s">
        <v>19</v>
      </c>
    </row>
    <row r="119" spans="1:17" x14ac:dyDescent="0.3">
      <c r="A119" s="27">
        <v>20</v>
      </c>
      <c r="B119" s="24">
        <v>100</v>
      </c>
      <c r="C119" s="25">
        <f>Sales!$B119*Sales!$A119</f>
        <v>2000</v>
      </c>
      <c r="D119" s="26">
        <v>38114</v>
      </c>
      <c r="E119" s="27" t="s">
        <v>75</v>
      </c>
      <c r="F119" s="27">
        <v>2</v>
      </c>
      <c r="G119" s="27">
        <v>5</v>
      </c>
      <c r="H119" s="27">
        <v>2004</v>
      </c>
      <c r="I119" s="27" t="s">
        <v>47</v>
      </c>
      <c r="J119" s="25">
        <v>136</v>
      </c>
      <c r="K119" s="25">
        <f>Sales!$B119-Sales!$J119</f>
        <v>-36</v>
      </c>
      <c r="L119" s="28">
        <f>(Sales!$J119-Sales!$B119)/Sales!$J119</f>
        <v>0.26470588235294118</v>
      </c>
      <c r="M119" s="28" t="str">
        <f t="shared" si="1"/>
        <v>+20%</v>
      </c>
      <c r="N119" s="27" t="s">
        <v>11</v>
      </c>
      <c r="O119" s="27" t="s">
        <v>12</v>
      </c>
      <c r="P119" s="27" t="s">
        <v>13</v>
      </c>
      <c r="Q119" s="27" t="s">
        <v>14</v>
      </c>
    </row>
    <row r="120" spans="1:17" x14ac:dyDescent="0.3">
      <c r="A120" s="22">
        <v>27</v>
      </c>
      <c r="B120" s="19">
        <v>100</v>
      </c>
      <c r="C120" s="20">
        <f>Sales!$B120*Sales!$A120</f>
        <v>2700</v>
      </c>
      <c r="D120" s="21">
        <v>38155</v>
      </c>
      <c r="E120" s="22" t="s">
        <v>9</v>
      </c>
      <c r="F120" s="22">
        <v>2</v>
      </c>
      <c r="G120" s="22">
        <v>6</v>
      </c>
      <c r="H120" s="22">
        <v>2004</v>
      </c>
      <c r="I120" s="22" t="s">
        <v>47</v>
      </c>
      <c r="J120" s="20">
        <v>136</v>
      </c>
      <c r="K120" s="20">
        <f>Sales!$B120-Sales!$J120</f>
        <v>-36</v>
      </c>
      <c r="L120" s="23">
        <f>(Sales!$J120-Sales!$B120)/Sales!$J120</f>
        <v>0.26470588235294118</v>
      </c>
      <c r="M120" s="23" t="str">
        <f t="shared" si="1"/>
        <v>+20%</v>
      </c>
      <c r="N120" s="22" t="s">
        <v>68</v>
      </c>
      <c r="O120" s="22" t="s">
        <v>56</v>
      </c>
      <c r="P120" s="22" t="s">
        <v>13</v>
      </c>
      <c r="Q120" s="22" t="s">
        <v>19</v>
      </c>
    </row>
    <row r="121" spans="1:17" x14ac:dyDescent="0.3">
      <c r="A121" s="27">
        <v>30</v>
      </c>
      <c r="B121" s="24">
        <v>100</v>
      </c>
      <c r="C121" s="25">
        <f>Sales!$B121*Sales!$A121</f>
        <v>3000</v>
      </c>
      <c r="D121" s="26">
        <v>38189</v>
      </c>
      <c r="E121" s="27" t="s">
        <v>9</v>
      </c>
      <c r="F121" s="27">
        <v>3</v>
      </c>
      <c r="G121" s="27">
        <v>7</v>
      </c>
      <c r="H121" s="27">
        <v>2004</v>
      </c>
      <c r="I121" s="27" t="s">
        <v>47</v>
      </c>
      <c r="J121" s="25">
        <v>136</v>
      </c>
      <c r="K121" s="25">
        <f>Sales!$B121-Sales!$J121</f>
        <v>-36</v>
      </c>
      <c r="L121" s="28">
        <f>(Sales!$J121-Sales!$B121)/Sales!$J121</f>
        <v>0.26470588235294118</v>
      </c>
      <c r="M121" s="28" t="str">
        <f t="shared" si="1"/>
        <v>+20%</v>
      </c>
      <c r="N121" s="27" t="s">
        <v>80</v>
      </c>
      <c r="O121" s="27" t="s">
        <v>81</v>
      </c>
      <c r="P121" s="27" t="s">
        <v>17</v>
      </c>
      <c r="Q121" s="27" t="s">
        <v>19</v>
      </c>
    </row>
    <row r="122" spans="1:17" x14ac:dyDescent="0.3">
      <c r="A122" s="22">
        <v>25</v>
      </c>
      <c r="B122" s="19">
        <v>100</v>
      </c>
      <c r="C122" s="20">
        <f>Sales!$B122*Sales!$A122</f>
        <v>2500</v>
      </c>
      <c r="D122" s="21">
        <v>38219</v>
      </c>
      <c r="E122" s="22" t="s">
        <v>9</v>
      </c>
      <c r="F122" s="22">
        <v>3</v>
      </c>
      <c r="G122" s="22">
        <v>8</v>
      </c>
      <c r="H122" s="22">
        <v>2004</v>
      </c>
      <c r="I122" s="22" t="s">
        <v>47</v>
      </c>
      <c r="J122" s="20">
        <v>136</v>
      </c>
      <c r="K122" s="20">
        <f>Sales!$B122-Sales!$J122</f>
        <v>-36</v>
      </c>
      <c r="L122" s="23">
        <f>(Sales!$J122-Sales!$B122)/Sales!$J122</f>
        <v>0.26470588235294118</v>
      </c>
      <c r="M122" s="23" t="str">
        <f t="shared" si="1"/>
        <v>+20%</v>
      </c>
      <c r="N122" s="22" t="s">
        <v>82</v>
      </c>
      <c r="O122" s="22" t="s">
        <v>56</v>
      </c>
      <c r="P122" s="22" t="s">
        <v>13</v>
      </c>
      <c r="Q122" s="22" t="s">
        <v>14</v>
      </c>
    </row>
    <row r="123" spans="1:17" x14ac:dyDescent="0.3">
      <c r="A123" s="27">
        <v>24</v>
      </c>
      <c r="B123" s="24">
        <v>100</v>
      </c>
      <c r="C123" s="25">
        <f>Sales!$B123*Sales!$A123</f>
        <v>2400</v>
      </c>
      <c r="D123" s="26">
        <v>38240</v>
      </c>
      <c r="E123" s="27" t="s">
        <v>9</v>
      </c>
      <c r="F123" s="27">
        <v>3</v>
      </c>
      <c r="G123" s="27">
        <v>9</v>
      </c>
      <c r="H123" s="27">
        <v>2004</v>
      </c>
      <c r="I123" s="27" t="s">
        <v>47</v>
      </c>
      <c r="J123" s="25">
        <v>136</v>
      </c>
      <c r="K123" s="25">
        <f>Sales!$B123-Sales!$J123</f>
        <v>-36</v>
      </c>
      <c r="L123" s="28">
        <f>(Sales!$J123-Sales!$B123)/Sales!$J123</f>
        <v>0.26470588235294118</v>
      </c>
      <c r="M123" s="28" t="str">
        <f t="shared" si="1"/>
        <v>+20%</v>
      </c>
      <c r="N123" s="27" t="s">
        <v>83</v>
      </c>
      <c r="O123" s="27" t="s">
        <v>12</v>
      </c>
      <c r="P123" s="27" t="s">
        <v>13</v>
      </c>
      <c r="Q123" s="27" t="s">
        <v>19</v>
      </c>
    </row>
    <row r="124" spans="1:17" x14ac:dyDescent="0.3">
      <c r="A124" s="22">
        <v>22</v>
      </c>
      <c r="B124" s="19">
        <v>100</v>
      </c>
      <c r="C124" s="20">
        <f>Sales!$B124*Sales!$A124</f>
        <v>2200</v>
      </c>
      <c r="D124" s="21">
        <v>38274</v>
      </c>
      <c r="E124" s="22" t="s">
        <v>9</v>
      </c>
      <c r="F124" s="22">
        <v>4</v>
      </c>
      <c r="G124" s="22">
        <v>10</v>
      </c>
      <c r="H124" s="22">
        <v>2004</v>
      </c>
      <c r="I124" s="22" t="s">
        <v>47</v>
      </c>
      <c r="J124" s="20">
        <v>136</v>
      </c>
      <c r="K124" s="20">
        <f>Sales!$B124-Sales!$J124</f>
        <v>-36</v>
      </c>
      <c r="L124" s="23">
        <f>(Sales!$J124-Sales!$B124)/Sales!$J124</f>
        <v>0.26470588235294118</v>
      </c>
      <c r="M124" s="23" t="str">
        <f t="shared" si="1"/>
        <v>+20%</v>
      </c>
      <c r="N124" s="22" t="s">
        <v>53</v>
      </c>
      <c r="O124" s="22" t="s">
        <v>12</v>
      </c>
      <c r="P124" s="22" t="s">
        <v>13</v>
      </c>
      <c r="Q124" s="22" t="s">
        <v>14</v>
      </c>
    </row>
    <row r="125" spans="1:17" x14ac:dyDescent="0.3">
      <c r="A125" s="27">
        <v>33</v>
      </c>
      <c r="B125" s="24">
        <v>100</v>
      </c>
      <c r="C125" s="25">
        <f>Sales!$B125*Sales!$A125</f>
        <v>3300</v>
      </c>
      <c r="D125" s="26">
        <v>38292</v>
      </c>
      <c r="E125" s="27" t="s">
        <v>9</v>
      </c>
      <c r="F125" s="27">
        <v>4</v>
      </c>
      <c r="G125" s="27">
        <v>11</v>
      </c>
      <c r="H125" s="27">
        <v>2004</v>
      </c>
      <c r="I125" s="27" t="s">
        <v>47</v>
      </c>
      <c r="J125" s="25">
        <v>136</v>
      </c>
      <c r="K125" s="25">
        <f>Sales!$B125-Sales!$J125</f>
        <v>-36</v>
      </c>
      <c r="L125" s="28">
        <f>(Sales!$J125-Sales!$B125)/Sales!$J125</f>
        <v>0.26470588235294118</v>
      </c>
      <c r="M125" s="28" t="str">
        <f t="shared" si="1"/>
        <v>+20%</v>
      </c>
      <c r="N125" s="27" t="s">
        <v>84</v>
      </c>
      <c r="O125" s="27" t="s">
        <v>43</v>
      </c>
      <c r="P125" s="27" t="s">
        <v>17</v>
      </c>
      <c r="Q125" s="27" t="s">
        <v>19</v>
      </c>
    </row>
    <row r="126" spans="1:17" x14ac:dyDescent="0.3">
      <c r="A126" s="22">
        <v>47</v>
      </c>
      <c r="B126" s="19">
        <v>64.930000000000007</v>
      </c>
      <c r="C126" s="20">
        <f>Sales!$B126*Sales!$A126</f>
        <v>3051.7100000000005</v>
      </c>
      <c r="D126" s="21">
        <v>38296</v>
      </c>
      <c r="E126" s="22" t="s">
        <v>9</v>
      </c>
      <c r="F126" s="22">
        <v>4</v>
      </c>
      <c r="G126" s="22">
        <v>11</v>
      </c>
      <c r="H126" s="22">
        <v>2004</v>
      </c>
      <c r="I126" s="22" t="s">
        <v>47</v>
      </c>
      <c r="J126" s="20">
        <v>136</v>
      </c>
      <c r="K126" s="20">
        <f>Sales!$B126-Sales!$J126</f>
        <v>-71.069999999999993</v>
      </c>
      <c r="L126" s="23">
        <f>(Sales!$J126-Sales!$B126)/Sales!$J126</f>
        <v>0.5225735294117646</v>
      </c>
      <c r="M126" s="23" t="str">
        <f t="shared" si="1"/>
        <v>+20%</v>
      </c>
      <c r="N126" s="22" t="s">
        <v>35</v>
      </c>
      <c r="O126" s="22" t="s">
        <v>25</v>
      </c>
      <c r="P126" s="22" t="s">
        <v>17</v>
      </c>
      <c r="Q126" s="22" t="s">
        <v>19</v>
      </c>
    </row>
    <row r="127" spans="1:17" x14ac:dyDescent="0.3">
      <c r="A127" s="27">
        <v>25</v>
      </c>
      <c r="B127" s="24">
        <v>48.05</v>
      </c>
      <c r="C127" s="25">
        <f>Sales!$B127*Sales!$A127</f>
        <v>1201.25</v>
      </c>
      <c r="D127" s="26">
        <v>38312</v>
      </c>
      <c r="E127" s="27" t="s">
        <v>9</v>
      </c>
      <c r="F127" s="27">
        <v>4</v>
      </c>
      <c r="G127" s="27">
        <v>11</v>
      </c>
      <c r="H127" s="27">
        <v>2004</v>
      </c>
      <c r="I127" s="27" t="s">
        <v>47</v>
      </c>
      <c r="J127" s="25">
        <v>136</v>
      </c>
      <c r="K127" s="25">
        <f>Sales!$B127-Sales!$J127</f>
        <v>-87.95</v>
      </c>
      <c r="L127" s="28">
        <f>(Sales!$J127-Sales!$B127)/Sales!$J127</f>
        <v>0.64669117647058827</v>
      </c>
      <c r="M127" s="28" t="str">
        <f t="shared" si="1"/>
        <v>+20%</v>
      </c>
      <c r="N127" s="27" t="s">
        <v>11</v>
      </c>
      <c r="O127" s="27" t="s">
        <v>12</v>
      </c>
      <c r="P127" s="27" t="s">
        <v>13</v>
      </c>
      <c r="Q127" s="27" t="s">
        <v>14</v>
      </c>
    </row>
    <row r="128" spans="1:17" x14ac:dyDescent="0.3">
      <c r="A128" s="22">
        <v>26</v>
      </c>
      <c r="B128" s="19">
        <v>75.47</v>
      </c>
      <c r="C128" s="20">
        <f>Sales!$B128*Sales!$A128</f>
        <v>1962.22</v>
      </c>
      <c r="D128" s="21">
        <v>38323</v>
      </c>
      <c r="E128" s="22" t="s">
        <v>9</v>
      </c>
      <c r="F128" s="22">
        <v>4</v>
      </c>
      <c r="G128" s="22">
        <v>12</v>
      </c>
      <c r="H128" s="22">
        <v>2004</v>
      </c>
      <c r="I128" s="22" t="s">
        <v>47</v>
      </c>
      <c r="J128" s="20">
        <v>136</v>
      </c>
      <c r="K128" s="20">
        <f>Sales!$B128-Sales!$J128</f>
        <v>-60.53</v>
      </c>
      <c r="L128" s="23">
        <f>(Sales!$J128-Sales!$B128)/Sales!$J128</f>
        <v>0.4450735294117647</v>
      </c>
      <c r="M128" s="23" t="str">
        <f t="shared" si="1"/>
        <v>+20%</v>
      </c>
      <c r="N128" s="22" t="s">
        <v>45</v>
      </c>
      <c r="O128" s="22" t="s">
        <v>46</v>
      </c>
      <c r="P128" s="22" t="s">
        <v>17</v>
      </c>
      <c r="Q128" s="22" t="s">
        <v>14</v>
      </c>
    </row>
    <row r="129" spans="1:17" x14ac:dyDescent="0.3">
      <c r="A129" s="27">
        <v>48</v>
      </c>
      <c r="B129" s="24">
        <v>54.68</v>
      </c>
      <c r="C129" s="25">
        <f>Sales!$B129*Sales!$A129</f>
        <v>2624.64</v>
      </c>
      <c r="D129" s="26">
        <v>38336</v>
      </c>
      <c r="E129" s="27" t="s">
        <v>9</v>
      </c>
      <c r="F129" s="27">
        <v>4</v>
      </c>
      <c r="G129" s="27">
        <v>12</v>
      </c>
      <c r="H129" s="27">
        <v>2004</v>
      </c>
      <c r="I129" s="27" t="s">
        <v>47</v>
      </c>
      <c r="J129" s="25">
        <v>136</v>
      </c>
      <c r="K129" s="25">
        <f>Sales!$B129-Sales!$J129</f>
        <v>-81.319999999999993</v>
      </c>
      <c r="L129" s="28">
        <f>(Sales!$J129-Sales!$B129)/Sales!$J129</f>
        <v>0.5979411764705882</v>
      </c>
      <c r="M129" s="28" t="str">
        <f t="shared" si="1"/>
        <v>+20%</v>
      </c>
      <c r="N129" s="27" t="s">
        <v>15</v>
      </c>
      <c r="O129" s="27" t="s">
        <v>16</v>
      </c>
      <c r="P129" s="27" t="s">
        <v>17</v>
      </c>
      <c r="Q129" s="27" t="s">
        <v>14</v>
      </c>
    </row>
    <row r="130" spans="1:17" x14ac:dyDescent="0.3">
      <c r="A130" s="22">
        <v>39</v>
      </c>
      <c r="B130" s="19">
        <v>100</v>
      </c>
      <c r="C130" s="20">
        <f>Sales!$B130*Sales!$A130</f>
        <v>3900</v>
      </c>
      <c r="D130" s="21">
        <v>38383</v>
      </c>
      <c r="E130" s="22" t="s">
        <v>9</v>
      </c>
      <c r="F130" s="22">
        <v>1</v>
      </c>
      <c r="G130" s="22">
        <v>1</v>
      </c>
      <c r="H130" s="22">
        <v>2005</v>
      </c>
      <c r="I130" s="22" t="s">
        <v>47</v>
      </c>
      <c r="J130" s="20">
        <v>136</v>
      </c>
      <c r="K130" s="20">
        <f>Sales!$B130-Sales!$J130</f>
        <v>-36</v>
      </c>
      <c r="L130" s="23">
        <f>(Sales!$J130-Sales!$B130)/Sales!$J130</f>
        <v>0.26470588235294118</v>
      </c>
      <c r="M130" s="23" t="str">
        <f t="shared" si="1"/>
        <v>+20%</v>
      </c>
      <c r="N130" s="22" t="s">
        <v>85</v>
      </c>
      <c r="O130" s="22" t="s">
        <v>34</v>
      </c>
      <c r="P130" s="22" t="s">
        <v>17</v>
      </c>
      <c r="Q130" s="22" t="s">
        <v>19</v>
      </c>
    </row>
    <row r="131" spans="1:17" x14ac:dyDescent="0.3">
      <c r="A131" s="27">
        <v>34</v>
      </c>
      <c r="B131" s="24">
        <v>100</v>
      </c>
      <c r="C131" s="25">
        <f>Sales!$B131*Sales!$A131</f>
        <v>3400</v>
      </c>
      <c r="D131" s="26">
        <v>38406</v>
      </c>
      <c r="E131" s="27" t="s">
        <v>9</v>
      </c>
      <c r="F131" s="27">
        <v>1</v>
      </c>
      <c r="G131" s="27">
        <v>2</v>
      </c>
      <c r="H131" s="27">
        <v>2005</v>
      </c>
      <c r="I131" s="27" t="s">
        <v>47</v>
      </c>
      <c r="J131" s="25">
        <v>136</v>
      </c>
      <c r="K131" s="25">
        <f>Sales!$B131-Sales!$J131</f>
        <v>-36</v>
      </c>
      <c r="L131" s="28">
        <f>(Sales!$J131-Sales!$B131)/Sales!$J131</f>
        <v>0.26470588235294118</v>
      </c>
      <c r="M131" s="28" t="str">
        <f t="shared" ref="M131:M194" si="2">IF(L131&lt;0%,"Below 0%",IF(L131=0%,"0%",IF(AND(L131&lt;=5%,L131&gt;0%),"0%-5%",IF(AND(L131&lt;=10%,L131&gt;5%),"5%-10%",IF(AND(L131&lt;=15%,L131&gt;10%),"10%-15%",IF(AND(L131&lt;=20%,L131&gt;15%),"15%-20%","+20%"))))))</f>
        <v>+20%</v>
      </c>
      <c r="N131" s="27" t="s">
        <v>21</v>
      </c>
      <c r="O131" s="27" t="s">
        <v>12</v>
      </c>
      <c r="P131" s="27" t="s">
        <v>13</v>
      </c>
      <c r="Q131" s="27" t="s">
        <v>19</v>
      </c>
    </row>
    <row r="132" spans="1:17" x14ac:dyDescent="0.3">
      <c r="A132" s="22">
        <v>32</v>
      </c>
      <c r="B132" s="19">
        <v>100</v>
      </c>
      <c r="C132" s="20">
        <f>Sales!$B132*Sales!$A132</f>
        <v>3200</v>
      </c>
      <c r="D132" s="21">
        <v>38428</v>
      </c>
      <c r="E132" s="22" t="s">
        <v>9</v>
      </c>
      <c r="F132" s="22">
        <v>1</v>
      </c>
      <c r="G132" s="22">
        <v>3</v>
      </c>
      <c r="H132" s="22">
        <v>2005</v>
      </c>
      <c r="I132" s="22" t="s">
        <v>47</v>
      </c>
      <c r="J132" s="20">
        <v>136</v>
      </c>
      <c r="K132" s="20">
        <f>Sales!$B132-Sales!$J132</f>
        <v>-36</v>
      </c>
      <c r="L132" s="23">
        <f>(Sales!$J132-Sales!$B132)/Sales!$J132</f>
        <v>0.26470588235294118</v>
      </c>
      <c r="M132" s="23" t="str">
        <f t="shared" si="2"/>
        <v>+20%</v>
      </c>
      <c r="N132" s="22" t="s">
        <v>18</v>
      </c>
      <c r="O132" s="22" t="s">
        <v>16</v>
      </c>
      <c r="P132" s="22" t="s">
        <v>17</v>
      </c>
      <c r="Q132" s="22" t="s">
        <v>19</v>
      </c>
    </row>
    <row r="133" spans="1:17" x14ac:dyDescent="0.3">
      <c r="A133" s="27">
        <v>64</v>
      </c>
      <c r="B133" s="24">
        <v>100</v>
      </c>
      <c r="C133" s="25">
        <f>Sales!$B133*Sales!$A133</f>
        <v>6400</v>
      </c>
      <c r="D133" s="26">
        <v>38443</v>
      </c>
      <c r="E133" s="27" t="s">
        <v>9</v>
      </c>
      <c r="F133" s="27">
        <v>2</v>
      </c>
      <c r="G133" s="27">
        <v>4</v>
      </c>
      <c r="H133" s="27">
        <v>2005</v>
      </c>
      <c r="I133" s="27" t="s">
        <v>47</v>
      </c>
      <c r="J133" s="25">
        <v>136</v>
      </c>
      <c r="K133" s="25">
        <f>Sales!$B133-Sales!$J133</f>
        <v>-36</v>
      </c>
      <c r="L133" s="28">
        <f>(Sales!$J133-Sales!$B133)/Sales!$J133</f>
        <v>0.26470588235294118</v>
      </c>
      <c r="M133" s="28" t="str">
        <f t="shared" si="2"/>
        <v>+20%</v>
      </c>
      <c r="N133" s="27" t="s">
        <v>86</v>
      </c>
      <c r="O133" s="27" t="s">
        <v>12</v>
      </c>
      <c r="P133" s="27" t="s">
        <v>13</v>
      </c>
      <c r="Q133" s="27" t="s">
        <v>39</v>
      </c>
    </row>
    <row r="134" spans="1:17" x14ac:dyDescent="0.3">
      <c r="A134" s="22">
        <v>19</v>
      </c>
      <c r="B134" s="19">
        <v>100</v>
      </c>
      <c r="C134" s="20">
        <f>Sales!$B134*Sales!$A134</f>
        <v>1900</v>
      </c>
      <c r="D134" s="21">
        <v>38478</v>
      </c>
      <c r="E134" s="22" t="s">
        <v>87</v>
      </c>
      <c r="F134" s="22">
        <v>2</v>
      </c>
      <c r="G134" s="22">
        <v>5</v>
      </c>
      <c r="H134" s="22">
        <v>2005</v>
      </c>
      <c r="I134" s="22" t="s">
        <v>47</v>
      </c>
      <c r="J134" s="20">
        <v>136</v>
      </c>
      <c r="K134" s="20">
        <f>Sales!$B134-Sales!$J134</f>
        <v>-36</v>
      </c>
      <c r="L134" s="23">
        <f>(Sales!$J134-Sales!$B134)/Sales!$J134</f>
        <v>0.26470588235294118</v>
      </c>
      <c r="M134" s="23" t="str">
        <f t="shared" si="2"/>
        <v>+20%</v>
      </c>
      <c r="N134" s="22" t="s">
        <v>83</v>
      </c>
      <c r="O134" s="22" t="s">
        <v>12</v>
      </c>
      <c r="P134" s="22" t="s">
        <v>13</v>
      </c>
      <c r="Q134" s="22" t="s">
        <v>14</v>
      </c>
    </row>
    <row r="135" spans="1:17" x14ac:dyDescent="0.3">
      <c r="A135" s="27">
        <v>42</v>
      </c>
      <c r="B135" s="24">
        <v>100</v>
      </c>
      <c r="C135" s="25">
        <f>Sales!$B135*Sales!$A135</f>
        <v>4200</v>
      </c>
      <c r="D135" s="26">
        <v>37650</v>
      </c>
      <c r="E135" s="27" t="s">
        <v>9</v>
      </c>
      <c r="F135" s="27">
        <v>1</v>
      </c>
      <c r="G135" s="27">
        <v>1</v>
      </c>
      <c r="H135" s="27">
        <v>2003</v>
      </c>
      <c r="I135" s="27" t="s">
        <v>47</v>
      </c>
      <c r="J135" s="25">
        <v>147</v>
      </c>
      <c r="K135" s="25">
        <f>Sales!$B135-Sales!$J135</f>
        <v>-47</v>
      </c>
      <c r="L135" s="28">
        <f>(Sales!$J135-Sales!$B135)/Sales!$J135</f>
        <v>0.31972789115646261</v>
      </c>
      <c r="M135" s="28" t="str">
        <f t="shared" si="2"/>
        <v>+20%</v>
      </c>
      <c r="N135" s="27" t="s">
        <v>35</v>
      </c>
      <c r="O135" s="27" t="s">
        <v>25</v>
      </c>
      <c r="P135" s="27" t="s">
        <v>17</v>
      </c>
      <c r="Q135" s="27" t="s">
        <v>19</v>
      </c>
    </row>
    <row r="136" spans="1:17" x14ac:dyDescent="0.3">
      <c r="A136" s="22">
        <v>31</v>
      </c>
      <c r="B136" s="19">
        <v>100</v>
      </c>
      <c r="C136" s="20">
        <f>Sales!$B136*Sales!$A136</f>
        <v>3100</v>
      </c>
      <c r="D136" s="21">
        <v>37712</v>
      </c>
      <c r="E136" s="22" t="s">
        <v>9</v>
      </c>
      <c r="F136" s="22">
        <v>2</v>
      </c>
      <c r="G136" s="22">
        <v>4</v>
      </c>
      <c r="H136" s="22">
        <v>2003</v>
      </c>
      <c r="I136" s="22" t="s">
        <v>47</v>
      </c>
      <c r="J136" s="20">
        <v>147</v>
      </c>
      <c r="K136" s="20">
        <f>Sales!$B136-Sales!$J136</f>
        <v>-47</v>
      </c>
      <c r="L136" s="23">
        <f>(Sales!$J136-Sales!$B136)/Sales!$J136</f>
        <v>0.31972789115646261</v>
      </c>
      <c r="M136" s="23" t="str">
        <f t="shared" si="2"/>
        <v>+20%</v>
      </c>
      <c r="N136" s="22" t="s">
        <v>18</v>
      </c>
      <c r="O136" s="22" t="s">
        <v>16</v>
      </c>
      <c r="P136" s="22" t="s">
        <v>17</v>
      </c>
      <c r="Q136" s="22" t="s">
        <v>19</v>
      </c>
    </row>
    <row r="137" spans="1:17" x14ac:dyDescent="0.3">
      <c r="A137" s="27">
        <v>22</v>
      </c>
      <c r="B137" s="24">
        <v>100</v>
      </c>
      <c r="C137" s="25">
        <f>Sales!$B137*Sales!$A137</f>
        <v>2200</v>
      </c>
      <c r="D137" s="26">
        <v>37769</v>
      </c>
      <c r="E137" s="27" t="s">
        <v>9</v>
      </c>
      <c r="F137" s="27">
        <v>2</v>
      </c>
      <c r="G137" s="27">
        <v>5</v>
      </c>
      <c r="H137" s="27">
        <v>2003</v>
      </c>
      <c r="I137" s="27" t="s">
        <v>47</v>
      </c>
      <c r="J137" s="25">
        <v>147</v>
      </c>
      <c r="K137" s="25">
        <f>Sales!$B137-Sales!$J137</f>
        <v>-47</v>
      </c>
      <c r="L137" s="28">
        <f>(Sales!$J137-Sales!$B137)/Sales!$J137</f>
        <v>0.31972789115646261</v>
      </c>
      <c r="M137" s="28" t="str">
        <f t="shared" si="2"/>
        <v>+20%</v>
      </c>
      <c r="N137" s="27" t="s">
        <v>45</v>
      </c>
      <c r="O137" s="27" t="s">
        <v>46</v>
      </c>
      <c r="P137" s="27" t="s">
        <v>17</v>
      </c>
      <c r="Q137" s="27" t="s">
        <v>19</v>
      </c>
    </row>
    <row r="138" spans="1:17" x14ac:dyDescent="0.3">
      <c r="A138" s="22">
        <v>26</v>
      </c>
      <c r="B138" s="19">
        <v>100</v>
      </c>
      <c r="C138" s="20">
        <f>Sales!$B138*Sales!$A138</f>
        <v>2600</v>
      </c>
      <c r="D138" s="21">
        <v>37826</v>
      </c>
      <c r="E138" s="22" t="s">
        <v>9</v>
      </c>
      <c r="F138" s="22">
        <v>3</v>
      </c>
      <c r="G138" s="22">
        <v>7</v>
      </c>
      <c r="H138" s="22">
        <v>2003</v>
      </c>
      <c r="I138" s="22" t="s">
        <v>47</v>
      </c>
      <c r="J138" s="20">
        <v>147</v>
      </c>
      <c r="K138" s="20">
        <f>Sales!$B138-Sales!$J138</f>
        <v>-47</v>
      </c>
      <c r="L138" s="23">
        <f>(Sales!$J138-Sales!$B138)/Sales!$J138</f>
        <v>0.31972789115646261</v>
      </c>
      <c r="M138" s="23" t="str">
        <f t="shared" si="2"/>
        <v>+20%</v>
      </c>
      <c r="N138" s="22" t="s">
        <v>22</v>
      </c>
      <c r="O138" s="22" t="s">
        <v>12</v>
      </c>
      <c r="P138" s="22" t="s">
        <v>13</v>
      </c>
      <c r="Q138" s="22" t="s">
        <v>19</v>
      </c>
    </row>
    <row r="139" spans="1:17" x14ac:dyDescent="0.3">
      <c r="A139" s="27">
        <v>20</v>
      </c>
      <c r="B139" s="24">
        <v>100</v>
      </c>
      <c r="C139" s="25">
        <f>Sales!$B139*Sales!$A139</f>
        <v>2000</v>
      </c>
      <c r="D139" s="26">
        <v>37883</v>
      </c>
      <c r="E139" s="27" t="s">
        <v>9</v>
      </c>
      <c r="F139" s="27">
        <v>3</v>
      </c>
      <c r="G139" s="27">
        <v>9</v>
      </c>
      <c r="H139" s="27">
        <v>2003</v>
      </c>
      <c r="I139" s="27" t="s">
        <v>47</v>
      </c>
      <c r="J139" s="25">
        <v>147</v>
      </c>
      <c r="K139" s="25">
        <f>Sales!$B139-Sales!$J139</f>
        <v>-47</v>
      </c>
      <c r="L139" s="28">
        <f>(Sales!$J139-Sales!$B139)/Sales!$J139</f>
        <v>0.31972789115646261</v>
      </c>
      <c r="M139" s="28" t="str">
        <f t="shared" si="2"/>
        <v>+20%</v>
      </c>
      <c r="N139" s="27" t="s">
        <v>50</v>
      </c>
      <c r="O139" s="27" t="s">
        <v>50</v>
      </c>
      <c r="P139" s="27" t="s">
        <v>28</v>
      </c>
      <c r="Q139" s="27" t="s">
        <v>19</v>
      </c>
    </row>
    <row r="140" spans="1:17" x14ac:dyDescent="0.3">
      <c r="A140" s="22">
        <v>21</v>
      </c>
      <c r="B140" s="19">
        <v>100</v>
      </c>
      <c r="C140" s="20">
        <f>Sales!$B140*Sales!$A140</f>
        <v>2100</v>
      </c>
      <c r="D140" s="21">
        <v>37915</v>
      </c>
      <c r="E140" s="22" t="s">
        <v>88</v>
      </c>
      <c r="F140" s="22">
        <v>4</v>
      </c>
      <c r="G140" s="22">
        <v>10</v>
      </c>
      <c r="H140" s="22">
        <v>2003</v>
      </c>
      <c r="I140" s="22" t="s">
        <v>47</v>
      </c>
      <c r="J140" s="20">
        <v>147</v>
      </c>
      <c r="K140" s="20">
        <f>Sales!$B140-Sales!$J140</f>
        <v>-47</v>
      </c>
      <c r="L140" s="23">
        <f>(Sales!$J140-Sales!$B140)/Sales!$J140</f>
        <v>0.31972789115646261</v>
      </c>
      <c r="M140" s="23" t="str">
        <f t="shared" si="2"/>
        <v>+20%</v>
      </c>
      <c r="N140" s="22" t="s">
        <v>89</v>
      </c>
      <c r="O140" s="22" t="s">
        <v>38</v>
      </c>
      <c r="P140" s="22" t="s">
        <v>17</v>
      </c>
      <c r="Q140" s="22" t="s">
        <v>19</v>
      </c>
    </row>
    <row r="141" spans="1:17" x14ac:dyDescent="0.3">
      <c r="A141" s="27">
        <v>33</v>
      </c>
      <c r="B141" s="24">
        <v>100</v>
      </c>
      <c r="C141" s="25">
        <f>Sales!$B141*Sales!$A141</f>
        <v>3300</v>
      </c>
      <c r="D141" s="26">
        <v>37931</v>
      </c>
      <c r="E141" s="27" t="s">
        <v>9</v>
      </c>
      <c r="F141" s="27">
        <v>4</v>
      </c>
      <c r="G141" s="27">
        <v>11</v>
      </c>
      <c r="H141" s="27">
        <v>2003</v>
      </c>
      <c r="I141" s="27" t="s">
        <v>47</v>
      </c>
      <c r="J141" s="25">
        <v>147</v>
      </c>
      <c r="K141" s="25">
        <f>Sales!$B141-Sales!$J141</f>
        <v>-47</v>
      </c>
      <c r="L141" s="28">
        <f>(Sales!$J141-Sales!$B141)/Sales!$J141</f>
        <v>0.31972789115646261</v>
      </c>
      <c r="M141" s="28" t="str">
        <f t="shared" si="2"/>
        <v>+20%</v>
      </c>
      <c r="N141" s="27" t="s">
        <v>74</v>
      </c>
      <c r="O141" s="27" t="s">
        <v>43</v>
      </c>
      <c r="P141" s="27" t="s">
        <v>17</v>
      </c>
      <c r="Q141" s="27" t="s">
        <v>19</v>
      </c>
    </row>
    <row r="142" spans="1:17" x14ac:dyDescent="0.3">
      <c r="A142" s="22">
        <v>28</v>
      </c>
      <c r="B142" s="19">
        <v>100</v>
      </c>
      <c r="C142" s="20">
        <f>Sales!$B142*Sales!$A142</f>
        <v>2800</v>
      </c>
      <c r="D142" s="21">
        <v>37938</v>
      </c>
      <c r="E142" s="22" t="s">
        <v>9</v>
      </c>
      <c r="F142" s="22">
        <v>4</v>
      </c>
      <c r="G142" s="22">
        <v>11</v>
      </c>
      <c r="H142" s="22">
        <v>2003</v>
      </c>
      <c r="I142" s="22" t="s">
        <v>47</v>
      </c>
      <c r="J142" s="20">
        <v>147</v>
      </c>
      <c r="K142" s="20">
        <f>Sales!$B142-Sales!$J142</f>
        <v>-47</v>
      </c>
      <c r="L142" s="23">
        <f>(Sales!$J142-Sales!$B142)/Sales!$J142</f>
        <v>0.31972789115646261</v>
      </c>
      <c r="M142" s="23" t="str">
        <f t="shared" si="2"/>
        <v>+20%</v>
      </c>
      <c r="N142" s="22" t="s">
        <v>53</v>
      </c>
      <c r="O142" s="22" t="s">
        <v>12</v>
      </c>
      <c r="P142" s="22" t="s">
        <v>13</v>
      </c>
      <c r="Q142" s="22" t="s">
        <v>19</v>
      </c>
    </row>
    <row r="143" spans="1:17" x14ac:dyDescent="0.3">
      <c r="A143" s="27">
        <v>26</v>
      </c>
      <c r="B143" s="24">
        <v>100</v>
      </c>
      <c r="C143" s="25">
        <f>Sales!$B143*Sales!$A143</f>
        <v>2600</v>
      </c>
      <c r="D143" s="26">
        <v>37950</v>
      </c>
      <c r="E143" s="27" t="s">
        <v>9</v>
      </c>
      <c r="F143" s="27">
        <v>4</v>
      </c>
      <c r="G143" s="27">
        <v>11</v>
      </c>
      <c r="H143" s="27">
        <v>2003</v>
      </c>
      <c r="I143" s="27" t="s">
        <v>47</v>
      </c>
      <c r="J143" s="25">
        <v>147</v>
      </c>
      <c r="K143" s="25">
        <f>Sales!$B143-Sales!$J143</f>
        <v>-47</v>
      </c>
      <c r="L143" s="28">
        <f>(Sales!$J143-Sales!$B143)/Sales!$J143</f>
        <v>0.31972789115646261</v>
      </c>
      <c r="M143" s="28" t="str">
        <f t="shared" si="2"/>
        <v>+20%</v>
      </c>
      <c r="N143" s="27" t="s">
        <v>54</v>
      </c>
      <c r="O143" s="27" t="s">
        <v>16</v>
      </c>
      <c r="P143" s="27" t="s">
        <v>17</v>
      </c>
      <c r="Q143" s="27" t="s">
        <v>19</v>
      </c>
    </row>
    <row r="144" spans="1:17" x14ac:dyDescent="0.3">
      <c r="A144" s="22">
        <v>31</v>
      </c>
      <c r="B144" s="19">
        <v>100</v>
      </c>
      <c r="C144" s="20">
        <f>Sales!$B144*Sales!$A144</f>
        <v>3100</v>
      </c>
      <c r="D144" s="21">
        <v>37964</v>
      </c>
      <c r="E144" s="22" t="s">
        <v>9</v>
      </c>
      <c r="F144" s="22">
        <v>4</v>
      </c>
      <c r="G144" s="22">
        <v>12</v>
      </c>
      <c r="H144" s="22">
        <v>2003</v>
      </c>
      <c r="I144" s="22" t="s">
        <v>47</v>
      </c>
      <c r="J144" s="20">
        <v>147</v>
      </c>
      <c r="K144" s="20">
        <f>Sales!$B144-Sales!$J144</f>
        <v>-47</v>
      </c>
      <c r="L144" s="23">
        <f>(Sales!$J144-Sales!$B144)/Sales!$J144</f>
        <v>0.31972789115646261</v>
      </c>
      <c r="M144" s="23" t="str">
        <f t="shared" si="2"/>
        <v>+20%</v>
      </c>
      <c r="N144" s="22" t="s">
        <v>83</v>
      </c>
      <c r="O144" s="22" t="s">
        <v>12</v>
      </c>
      <c r="P144" s="22" t="s">
        <v>13</v>
      </c>
      <c r="Q144" s="22" t="s">
        <v>19</v>
      </c>
    </row>
    <row r="145" spans="1:17" x14ac:dyDescent="0.3">
      <c r="A145" s="27">
        <v>48</v>
      </c>
      <c r="B145" s="24">
        <v>100</v>
      </c>
      <c r="C145" s="25">
        <f>Sales!$B145*Sales!$A145</f>
        <v>4800</v>
      </c>
      <c r="D145" s="26">
        <v>38021</v>
      </c>
      <c r="E145" s="27" t="s">
        <v>9</v>
      </c>
      <c r="F145" s="27">
        <v>1</v>
      </c>
      <c r="G145" s="27">
        <v>2</v>
      </c>
      <c r="H145" s="27">
        <v>2004</v>
      </c>
      <c r="I145" s="27" t="s">
        <v>47</v>
      </c>
      <c r="J145" s="25">
        <v>147</v>
      </c>
      <c r="K145" s="25">
        <f>Sales!$B145-Sales!$J145</f>
        <v>-47</v>
      </c>
      <c r="L145" s="28">
        <f>(Sales!$J145-Sales!$B145)/Sales!$J145</f>
        <v>0.31972789115646261</v>
      </c>
      <c r="M145" s="28" t="str">
        <f t="shared" si="2"/>
        <v>+20%</v>
      </c>
      <c r="N145" s="27" t="s">
        <v>50</v>
      </c>
      <c r="O145" s="27" t="s">
        <v>50</v>
      </c>
      <c r="P145" s="27" t="s">
        <v>28</v>
      </c>
      <c r="Q145" s="27" t="s">
        <v>39</v>
      </c>
    </row>
    <row r="146" spans="1:17" x14ac:dyDescent="0.3">
      <c r="A146" s="22">
        <v>50</v>
      </c>
      <c r="B146" s="19">
        <v>100</v>
      </c>
      <c r="C146" s="20">
        <f>Sales!$B146*Sales!$A146</f>
        <v>5000</v>
      </c>
      <c r="D146" s="21">
        <v>38057</v>
      </c>
      <c r="E146" s="22" t="s">
        <v>9</v>
      </c>
      <c r="F146" s="22">
        <v>1</v>
      </c>
      <c r="G146" s="22">
        <v>3</v>
      </c>
      <c r="H146" s="22">
        <v>2004</v>
      </c>
      <c r="I146" s="22" t="s">
        <v>47</v>
      </c>
      <c r="J146" s="20">
        <v>147</v>
      </c>
      <c r="K146" s="20">
        <f>Sales!$B146-Sales!$J146</f>
        <v>-47</v>
      </c>
      <c r="L146" s="23">
        <f>(Sales!$J146-Sales!$B146)/Sales!$J146</f>
        <v>0.31972789115646261</v>
      </c>
      <c r="M146" s="23" t="str">
        <f t="shared" si="2"/>
        <v>+20%</v>
      </c>
      <c r="N146" s="22" t="s">
        <v>64</v>
      </c>
      <c r="O146" s="22" t="s">
        <v>12</v>
      </c>
      <c r="P146" s="22" t="s">
        <v>13</v>
      </c>
      <c r="Q146" s="22" t="s">
        <v>19</v>
      </c>
    </row>
    <row r="147" spans="1:17" x14ac:dyDescent="0.3">
      <c r="A147" s="27">
        <v>28</v>
      </c>
      <c r="B147" s="24">
        <v>100</v>
      </c>
      <c r="C147" s="25">
        <f>Sales!$B147*Sales!$A147</f>
        <v>2800</v>
      </c>
      <c r="D147" s="26">
        <v>38111</v>
      </c>
      <c r="E147" s="27" t="s">
        <v>9</v>
      </c>
      <c r="F147" s="27">
        <v>2</v>
      </c>
      <c r="G147" s="27">
        <v>5</v>
      </c>
      <c r="H147" s="27">
        <v>2004</v>
      </c>
      <c r="I147" s="27" t="s">
        <v>47</v>
      </c>
      <c r="J147" s="25">
        <v>147</v>
      </c>
      <c r="K147" s="25">
        <f>Sales!$B147-Sales!$J147</f>
        <v>-47</v>
      </c>
      <c r="L147" s="28">
        <f>(Sales!$J147-Sales!$B147)/Sales!$J147</f>
        <v>0.31972789115646261</v>
      </c>
      <c r="M147" s="28" t="str">
        <f t="shared" si="2"/>
        <v>+20%</v>
      </c>
      <c r="N147" s="27" t="s">
        <v>58</v>
      </c>
      <c r="O147" s="27" t="s">
        <v>12</v>
      </c>
      <c r="P147" s="27" t="s">
        <v>13</v>
      </c>
      <c r="Q147" s="27" t="s">
        <v>19</v>
      </c>
    </row>
    <row r="148" spans="1:17" x14ac:dyDescent="0.3">
      <c r="A148" s="22">
        <v>26</v>
      </c>
      <c r="B148" s="19">
        <v>100</v>
      </c>
      <c r="C148" s="20">
        <f>Sales!$B148*Sales!$A148</f>
        <v>2600</v>
      </c>
      <c r="D148" s="21">
        <v>38153</v>
      </c>
      <c r="E148" s="22" t="s">
        <v>9</v>
      </c>
      <c r="F148" s="22">
        <v>2</v>
      </c>
      <c r="G148" s="22">
        <v>6</v>
      </c>
      <c r="H148" s="22">
        <v>2004</v>
      </c>
      <c r="I148" s="22" t="s">
        <v>47</v>
      </c>
      <c r="J148" s="20">
        <v>147</v>
      </c>
      <c r="K148" s="20">
        <f>Sales!$B148-Sales!$J148</f>
        <v>-47</v>
      </c>
      <c r="L148" s="23">
        <f>(Sales!$J148-Sales!$B148)/Sales!$J148</f>
        <v>0.31972789115646261</v>
      </c>
      <c r="M148" s="23" t="str">
        <f t="shared" si="2"/>
        <v>+20%</v>
      </c>
      <c r="N148" s="22" t="s">
        <v>50</v>
      </c>
      <c r="O148" s="22" t="s">
        <v>50</v>
      </c>
      <c r="P148" s="22" t="s">
        <v>28</v>
      </c>
      <c r="Q148" s="22" t="s">
        <v>19</v>
      </c>
    </row>
    <row r="149" spans="1:17" x14ac:dyDescent="0.3">
      <c r="A149" s="27">
        <v>32</v>
      </c>
      <c r="B149" s="24">
        <v>100</v>
      </c>
      <c r="C149" s="25">
        <f>Sales!$B149*Sales!$A149</f>
        <v>3200</v>
      </c>
      <c r="D149" s="26">
        <v>38187</v>
      </c>
      <c r="E149" s="27" t="s">
        <v>9</v>
      </c>
      <c r="F149" s="27">
        <v>3</v>
      </c>
      <c r="G149" s="27">
        <v>7</v>
      </c>
      <c r="H149" s="27">
        <v>2004</v>
      </c>
      <c r="I149" s="27" t="s">
        <v>47</v>
      </c>
      <c r="J149" s="25">
        <v>147</v>
      </c>
      <c r="K149" s="25">
        <f>Sales!$B149-Sales!$J149</f>
        <v>-47</v>
      </c>
      <c r="L149" s="28">
        <f>(Sales!$J149-Sales!$B149)/Sales!$J149</f>
        <v>0.31972789115646261</v>
      </c>
      <c r="M149" s="28" t="str">
        <f t="shared" si="2"/>
        <v>+20%</v>
      </c>
      <c r="N149" s="27" t="s">
        <v>40</v>
      </c>
      <c r="O149" s="27" t="s">
        <v>27</v>
      </c>
      <c r="P149" s="27" t="s">
        <v>28</v>
      </c>
      <c r="Q149" s="27" t="s">
        <v>19</v>
      </c>
    </row>
    <row r="150" spans="1:17" x14ac:dyDescent="0.3">
      <c r="A150" s="22">
        <v>44</v>
      </c>
      <c r="B150" s="19">
        <v>100</v>
      </c>
      <c r="C150" s="20">
        <f>Sales!$B150*Sales!$A150</f>
        <v>4400</v>
      </c>
      <c r="D150" s="21">
        <v>38218</v>
      </c>
      <c r="E150" s="22" t="s">
        <v>9</v>
      </c>
      <c r="F150" s="22">
        <v>3</v>
      </c>
      <c r="G150" s="22">
        <v>8</v>
      </c>
      <c r="H150" s="22">
        <v>2004</v>
      </c>
      <c r="I150" s="22" t="s">
        <v>47</v>
      </c>
      <c r="J150" s="20">
        <v>147</v>
      </c>
      <c r="K150" s="20">
        <f>Sales!$B150-Sales!$J150</f>
        <v>-47</v>
      </c>
      <c r="L150" s="23">
        <f>(Sales!$J150-Sales!$B150)/Sales!$J150</f>
        <v>0.31972789115646261</v>
      </c>
      <c r="M150" s="23" t="str">
        <f t="shared" si="2"/>
        <v>+20%</v>
      </c>
      <c r="N150" s="22" t="s">
        <v>36</v>
      </c>
      <c r="O150" s="22" t="s">
        <v>12</v>
      </c>
      <c r="P150" s="22" t="s">
        <v>13</v>
      </c>
      <c r="Q150" s="22" t="s">
        <v>39</v>
      </c>
    </row>
    <row r="151" spans="1:17" x14ac:dyDescent="0.3">
      <c r="A151" s="27">
        <v>30</v>
      </c>
      <c r="B151" s="24">
        <v>100</v>
      </c>
      <c r="C151" s="25">
        <f>Sales!$B151*Sales!$A151</f>
        <v>3000</v>
      </c>
      <c r="D151" s="26">
        <v>38238</v>
      </c>
      <c r="E151" s="27" t="s">
        <v>9</v>
      </c>
      <c r="F151" s="27">
        <v>3</v>
      </c>
      <c r="G151" s="27">
        <v>9</v>
      </c>
      <c r="H151" s="27">
        <v>2004</v>
      </c>
      <c r="I151" s="27" t="s">
        <v>47</v>
      </c>
      <c r="J151" s="25">
        <v>147</v>
      </c>
      <c r="K151" s="25">
        <f>Sales!$B151-Sales!$J151</f>
        <v>-47</v>
      </c>
      <c r="L151" s="28">
        <f>(Sales!$J151-Sales!$B151)/Sales!$J151</f>
        <v>0.31972789115646261</v>
      </c>
      <c r="M151" s="28" t="str">
        <f t="shared" si="2"/>
        <v>+20%</v>
      </c>
      <c r="N151" s="27" t="s">
        <v>62</v>
      </c>
      <c r="O151" s="27" t="s">
        <v>49</v>
      </c>
      <c r="P151" s="27" t="s">
        <v>17</v>
      </c>
      <c r="Q151" s="27" t="s">
        <v>19</v>
      </c>
    </row>
    <row r="152" spans="1:17" x14ac:dyDescent="0.3">
      <c r="A152" s="22">
        <v>38</v>
      </c>
      <c r="B152" s="19">
        <v>100</v>
      </c>
      <c r="C152" s="20">
        <f>Sales!$B152*Sales!$A152</f>
        <v>3800</v>
      </c>
      <c r="D152" s="21">
        <v>38273</v>
      </c>
      <c r="E152" s="22" t="s">
        <v>9</v>
      </c>
      <c r="F152" s="22">
        <v>4</v>
      </c>
      <c r="G152" s="22">
        <v>10</v>
      </c>
      <c r="H152" s="22">
        <v>2004</v>
      </c>
      <c r="I152" s="22" t="s">
        <v>47</v>
      </c>
      <c r="J152" s="20">
        <v>147</v>
      </c>
      <c r="K152" s="20">
        <f>Sales!$B152-Sales!$J152</f>
        <v>-47</v>
      </c>
      <c r="L152" s="23">
        <f>(Sales!$J152-Sales!$B152)/Sales!$J152</f>
        <v>0.31972789115646261</v>
      </c>
      <c r="M152" s="23" t="str">
        <f t="shared" si="2"/>
        <v>+20%</v>
      </c>
      <c r="N152" s="22" t="s">
        <v>32</v>
      </c>
      <c r="O152" s="22" t="s">
        <v>12</v>
      </c>
      <c r="P152" s="22" t="s">
        <v>13</v>
      </c>
      <c r="Q152" s="22" t="s">
        <v>19</v>
      </c>
    </row>
    <row r="153" spans="1:17" x14ac:dyDescent="0.3">
      <c r="A153" s="27">
        <v>40</v>
      </c>
      <c r="B153" s="24">
        <v>100</v>
      </c>
      <c r="C153" s="25">
        <f>Sales!$B153*Sales!$A153</f>
        <v>4000</v>
      </c>
      <c r="D153" s="26">
        <v>38282</v>
      </c>
      <c r="E153" s="27" t="s">
        <v>9</v>
      </c>
      <c r="F153" s="27">
        <v>4</v>
      </c>
      <c r="G153" s="27">
        <v>10</v>
      </c>
      <c r="H153" s="27">
        <v>2004</v>
      </c>
      <c r="I153" s="27" t="s">
        <v>47</v>
      </c>
      <c r="J153" s="25">
        <v>147</v>
      </c>
      <c r="K153" s="25">
        <f>Sales!$B153-Sales!$J153</f>
        <v>-47</v>
      </c>
      <c r="L153" s="28">
        <f>(Sales!$J153-Sales!$B153)/Sales!$J153</f>
        <v>0.31972789115646261</v>
      </c>
      <c r="M153" s="28" t="str">
        <f t="shared" si="2"/>
        <v>+20%</v>
      </c>
      <c r="N153" s="27" t="s">
        <v>55</v>
      </c>
      <c r="O153" s="27" t="s">
        <v>56</v>
      </c>
      <c r="P153" s="27" t="s">
        <v>13</v>
      </c>
      <c r="Q153" s="27" t="s">
        <v>19</v>
      </c>
    </row>
    <row r="154" spans="1:17" x14ac:dyDescent="0.3">
      <c r="A154" s="22">
        <v>46</v>
      </c>
      <c r="B154" s="19">
        <v>61.99</v>
      </c>
      <c r="C154" s="20">
        <f>Sales!$B154*Sales!$A154</f>
        <v>2851.54</v>
      </c>
      <c r="D154" s="21">
        <v>38295</v>
      </c>
      <c r="E154" s="22" t="s">
        <v>9</v>
      </c>
      <c r="F154" s="22">
        <v>4</v>
      </c>
      <c r="G154" s="22">
        <v>11</v>
      </c>
      <c r="H154" s="22">
        <v>2004</v>
      </c>
      <c r="I154" s="22" t="s">
        <v>47</v>
      </c>
      <c r="J154" s="20">
        <v>147</v>
      </c>
      <c r="K154" s="20">
        <f>Sales!$B154-Sales!$J154</f>
        <v>-85.009999999999991</v>
      </c>
      <c r="L154" s="23">
        <f>(Sales!$J154-Sales!$B154)/Sales!$J154</f>
        <v>0.57829931972789106</v>
      </c>
      <c r="M154" s="23" t="str">
        <f t="shared" si="2"/>
        <v>+20%</v>
      </c>
      <c r="N154" s="22" t="s">
        <v>65</v>
      </c>
      <c r="O154" s="22" t="s">
        <v>12</v>
      </c>
      <c r="P154" s="22" t="s">
        <v>13</v>
      </c>
      <c r="Q154" s="22" t="s">
        <v>14</v>
      </c>
    </row>
    <row r="155" spans="1:17" x14ac:dyDescent="0.3">
      <c r="A155" s="27">
        <v>26</v>
      </c>
      <c r="B155" s="24">
        <v>100</v>
      </c>
      <c r="C155" s="25">
        <f>Sales!$B155*Sales!$A155</f>
        <v>2600</v>
      </c>
      <c r="D155" s="26">
        <v>38310</v>
      </c>
      <c r="E155" s="27" t="s">
        <v>87</v>
      </c>
      <c r="F155" s="27">
        <v>4</v>
      </c>
      <c r="G155" s="27">
        <v>11</v>
      </c>
      <c r="H155" s="27">
        <v>2004</v>
      </c>
      <c r="I155" s="27" t="s">
        <v>47</v>
      </c>
      <c r="J155" s="25">
        <v>147</v>
      </c>
      <c r="K155" s="25">
        <f>Sales!$B155-Sales!$J155</f>
        <v>-47</v>
      </c>
      <c r="L155" s="28">
        <f>(Sales!$J155-Sales!$B155)/Sales!$J155</f>
        <v>0.31972789115646261</v>
      </c>
      <c r="M155" s="28" t="str">
        <f t="shared" si="2"/>
        <v>+20%</v>
      </c>
      <c r="N155" s="27" t="s">
        <v>48</v>
      </c>
      <c r="O155" s="27" t="s">
        <v>49</v>
      </c>
      <c r="P155" s="27" t="s">
        <v>17</v>
      </c>
      <c r="Q155" s="27" t="s">
        <v>19</v>
      </c>
    </row>
    <row r="156" spans="1:17" x14ac:dyDescent="0.3">
      <c r="A156" s="22">
        <v>27</v>
      </c>
      <c r="B156" s="19">
        <v>100</v>
      </c>
      <c r="C156" s="20">
        <f>Sales!$B156*Sales!$A156</f>
        <v>2700</v>
      </c>
      <c r="D156" s="21">
        <v>38320</v>
      </c>
      <c r="E156" s="22" t="s">
        <v>9</v>
      </c>
      <c r="F156" s="22">
        <v>4</v>
      </c>
      <c r="G156" s="22">
        <v>11</v>
      </c>
      <c r="H156" s="22">
        <v>2004</v>
      </c>
      <c r="I156" s="22" t="s">
        <v>47</v>
      </c>
      <c r="J156" s="20">
        <v>147</v>
      </c>
      <c r="K156" s="20">
        <f>Sales!$B156-Sales!$J156</f>
        <v>-47</v>
      </c>
      <c r="L156" s="23">
        <f>(Sales!$J156-Sales!$B156)/Sales!$J156</f>
        <v>0.31972789115646261</v>
      </c>
      <c r="M156" s="23" t="str">
        <f t="shared" si="2"/>
        <v>+20%</v>
      </c>
      <c r="N156" s="22" t="s">
        <v>26</v>
      </c>
      <c r="O156" s="22" t="s">
        <v>27</v>
      </c>
      <c r="P156" s="22" t="s">
        <v>28</v>
      </c>
      <c r="Q156" s="22" t="s">
        <v>19</v>
      </c>
    </row>
    <row r="157" spans="1:17" x14ac:dyDescent="0.3">
      <c r="A157" s="27">
        <v>43</v>
      </c>
      <c r="B157" s="24">
        <v>100</v>
      </c>
      <c r="C157" s="25">
        <f>Sales!$B157*Sales!$A157</f>
        <v>4300</v>
      </c>
      <c r="D157" s="26">
        <v>38331</v>
      </c>
      <c r="E157" s="27" t="s">
        <v>9</v>
      </c>
      <c r="F157" s="27">
        <v>4</v>
      </c>
      <c r="G157" s="27">
        <v>12</v>
      </c>
      <c r="H157" s="27">
        <v>2004</v>
      </c>
      <c r="I157" s="27" t="s">
        <v>47</v>
      </c>
      <c r="J157" s="25">
        <v>147</v>
      </c>
      <c r="K157" s="25">
        <f>Sales!$B157-Sales!$J157</f>
        <v>-47</v>
      </c>
      <c r="L157" s="28">
        <f>(Sales!$J157-Sales!$B157)/Sales!$J157</f>
        <v>0.31972789115646261</v>
      </c>
      <c r="M157" s="28" t="str">
        <f t="shared" si="2"/>
        <v>+20%</v>
      </c>
      <c r="N157" s="27" t="s">
        <v>64</v>
      </c>
      <c r="O157" s="27" t="s">
        <v>12</v>
      </c>
      <c r="P157" s="27" t="s">
        <v>13</v>
      </c>
      <c r="Q157" s="27" t="s">
        <v>19</v>
      </c>
    </row>
    <row r="158" spans="1:17" x14ac:dyDescent="0.3">
      <c r="A158" s="22">
        <v>35</v>
      </c>
      <c r="B158" s="19">
        <v>65.63</v>
      </c>
      <c r="C158" s="20">
        <f>Sales!$B158*Sales!$A158</f>
        <v>2297.0499999999997</v>
      </c>
      <c r="D158" s="21">
        <v>38372</v>
      </c>
      <c r="E158" s="22" t="s">
        <v>9</v>
      </c>
      <c r="F158" s="22">
        <v>1</v>
      </c>
      <c r="G158" s="22">
        <v>1</v>
      </c>
      <c r="H158" s="22">
        <v>2005</v>
      </c>
      <c r="I158" s="22" t="s">
        <v>47</v>
      </c>
      <c r="J158" s="20">
        <v>147</v>
      </c>
      <c r="K158" s="20">
        <f>Sales!$B158-Sales!$J158</f>
        <v>-81.37</v>
      </c>
      <c r="L158" s="23">
        <f>(Sales!$J158-Sales!$B158)/Sales!$J158</f>
        <v>0.55353741496598641</v>
      </c>
      <c r="M158" s="23" t="str">
        <f t="shared" si="2"/>
        <v>+20%</v>
      </c>
      <c r="N158" s="22" t="s">
        <v>67</v>
      </c>
      <c r="O158" s="22" t="s">
        <v>27</v>
      </c>
      <c r="P158" s="22" t="s">
        <v>28</v>
      </c>
      <c r="Q158" s="22" t="s">
        <v>14</v>
      </c>
    </row>
    <row r="159" spans="1:17" x14ac:dyDescent="0.3">
      <c r="A159" s="27">
        <v>37</v>
      </c>
      <c r="B159" s="24">
        <v>100</v>
      </c>
      <c r="C159" s="25">
        <f>Sales!$B159*Sales!$A159</f>
        <v>3700</v>
      </c>
      <c r="D159" s="26">
        <v>38400</v>
      </c>
      <c r="E159" s="27" t="s">
        <v>9</v>
      </c>
      <c r="F159" s="27">
        <v>1</v>
      </c>
      <c r="G159" s="27">
        <v>2</v>
      </c>
      <c r="H159" s="27">
        <v>2005</v>
      </c>
      <c r="I159" s="27" t="s">
        <v>47</v>
      </c>
      <c r="J159" s="25">
        <v>147</v>
      </c>
      <c r="K159" s="25">
        <f>Sales!$B159-Sales!$J159</f>
        <v>-47</v>
      </c>
      <c r="L159" s="28">
        <f>(Sales!$J159-Sales!$B159)/Sales!$J159</f>
        <v>0.31972789115646261</v>
      </c>
      <c r="M159" s="28" t="str">
        <f t="shared" si="2"/>
        <v>+20%</v>
      </c>
      <c r="N159" s="27" t="s">
        <v>21</v>
      </c>
      <c r="O159" s="27" t="s">
        <v>12</v>
      </c>
      <c r="P159" s="27" t="s">
        <v>13</v>
      </c>
      <c r="Q159" s="27" t="s">
        <v>19</v>
      </c>
    </row>
    <row r="160" spans="1:17" x14ac:dyDescent="0.3">
      <c r="A160" s="22">
        <v>37</v>
      </c>
      <c r="B160" s="19">
        <v>46.9</v>
      </c>
      <c r="C160" s="20">
        <f>Sales!$B160*Sales!$A160</f>
        <v>1735.3</v>
      </c>
      <c r="D160" s="21">
        <v>38420</v>
      </c>
      <c r="E160" s="22" t="s">
        <v>9</v>
      </c>
      <c r="F160" s="22">
        <v>1</v>
      </c>
      <c r="G160" s="22">
        <v>3</v>
      </c>
      <c r="H160" s="22">
        <v>2005</v>
      </c>
      <c r="I160" s="22" t="s">
        <v>47</v>
      </c>
      <c r="J160" s="20">
        <v>147</v>
      </c>
      <c r="K160" s="20">
        <f>Sales!$B160-Sales!$J160</f>
        <v>-100.1</v>
      </c>
      <c r="L160" s="23">
        <f>(Sales!$J160-Sales!$B160)/Sales!$J160</f>
        <v>0.68095238095238086</v>
      </c>
      <c r="M160" s="23" t="str">
        <f t="shared" si="2"/>
        <v>+20%</v>
      </c>
      <c r="N160" s="22" t="s">
        <v>67</v>
      </c>
      <c r="O160" s="22" t="s">
        <v>27</v>
      </c>
      <c r="P160" s="22" t="s">
        <v>28</v>
      </c>
      <c r="Q160" s="22" t="s">
        <v>14</v>
      </c>
    </row>
    <row r="161" spans="1:17" x14ac:dyDescent="0.3">
      <c r="A161" s="27">
        <v>27</v>
      </c>
      <c r="B161" s="24">
        <v>100</v>
      </c>
      <c r="C161" s="25">
        <f>Sales!$B161*Sales!$A161</f>
        <v>2700</v>
      </c>
      <c r="D161" s="26">
        <v>38473</v>
      </c>
      <c r="E161" s="27" t="s">
        <v>9</v>
      </c>
      <c r="F161" s="27">
        <v>2</v>
      </c>
      <c r="G161" s="27">
        <v>5</v>
      </c>
      <c r="H161" s="27">
        <v>2005</v>
      </c>
      <c r="I161" s="27" t="s">
        <v>47</v>
      </c>
      <c r="J161" s="25">
        <v>147</v>
      </c>
      <c r="K161" s="25">
        <f>Sales!$B161-Sales!$J161</f>
        <v>-47</v>
      </c>
      <c r="L161" s="28">
        <f>(Sales!$J161-Sales!$B161)/Sales!$J161</f>
        <v>0.31972789115646261</v>
      </c>
      <c r="M161" s="28" t="str">
        <f t="shared" si="2"/>
        <v>+20%</v>
      </c>
      <c r="N161" s="27" t="s">
        <v>68</v>
      </c>
      <c r="O161" s="27" t="s">
        <v>56</v>
      </c>
      <c r="P161" s="27" t="s">
        <v>13</v>
      </c>
      <c r="Q161" s="27" t="s">
        <v>19</v>
      </c>
    </row>
    <row r="162" spans="1:17" x14ac:dyDescent="0.3">
      <c r="A162" s="22">
        <v>38</v>
      </c>
      <c r="B162" s="19">
        <v>100</v>
      </c>
      <c r="C162" s="20">
        <f>Sales!$B162*Sales!$A162</f>
        <v>3800</v>
      </c>
      <c r="D162" s="21">
        <v>38503</v>
      </c>
      <c r="E162" s="22" t="s">
        <v>69</v>
      </c>
      <c r="F162" s="22">
        <v>2</v>
      </c>
      <c r="G162" s="22">
        <v>5</v>
      </c>
      <c r="H162" s="22">
        <v>2005</v>
      </c>
      <c r="I162" s="22" t="s">
        <v>47</v>
      </c>
      <c r="J162" s="20">
        <v>147</v>
      </c>
      <c r="K162" s="20">
        <f>Sales!$B162-Sales!$J162</f>
        <v>-47</v>
      </c>
      <c r="L162" s="23">
        <f>(Sales!$J162-Sales!$B162)/Sales!$J162</f>
        <v>0.31972789115646261</v>
      </c>
      <c r="M162" s="23" t="str">
        <f t="shared" si="2"/>
        <v>+20%</v>
      </c>
      <c r="N162" s="22" t="s">
        <v>31</v>
      </c>
      <c r="O162" s="22" t="s">
        <v>16</v>
      </c>
      <c r="P162" s="22" t="s">
        <v>17</v>
      </c>
      <c r="Q162" s="22" t="s">
        <v>19</v>
      </c>
    </row>
    <row r="163" spans="1:17" x14ac:dyDescent="0.3">
      <c r="A163" s="27">
        <v>33</v>
      </c>
      <c r="B163" s="24">
        <v>100</v>
      </c>
      <c r="C163" s="25">
        <f>Sales!$B163*Sales!$A163</f>
        <v>3300</v>
      </c>
      <c r="D163" s="26">
        <v>37683</v>
      </c>
      <c r="E163" s="27" t="s">
        <v>9</v>
      </c>
      <c r="F163" s="27">
        <v>1</v>
      </c>
      <c r="G163" s="27">
        <v>3</v>
      </c>
      <c r="H163" s="27">
        <v>2003</v>
      </c>
      <c r="I163" s="27" t="s">
        <v>47</v>
      </c>
      <c r="J163" s="25">
        <v>194</v>
      </c>
      <c r="K163" s="25">
        <f>Sales!$B163-Sales!$J163</f>
        <v>-94</v>
      </c>
      <c r="L163" s="28">
        <f>(Sales!$J163-Sales!$B163)/Sales!$J163</f>
        <v>0.4845360824742268</v>
      </c>
      <c r="M163" s="28" t="str">
        <f t="shared" si="2"/>
        <v>+20%</v>
      </c>
      <c r="N163" s="27" t="s">
        <v>90</v>
      </c>
      <c r="O163" s="27" t="s">
        <v>91</v>
      </c>
      <c r="P163" s="27" t="s">
        <v>28</v>
      </c>
      <c r="Q163" s="27" t="s">
        <v>19</v>
      </c>
    </row>
    <row r="164" spans="1:17" x14ac:dyDescent="0.3">
      <c r="A164" s="22">
        <v>42</v>
      </c>
      <c r="B164" s="19">
        <v>100</v>
      </c>
      <c r="C164" s="20">
        <f>Sales!$B164*Sales!$A164</f>
        <v>4200</v>
      </c>
      <c r="D164" s="21">
        <v>37749</v>
      </c>
      <c r="E164" s="22" t="s">
        <v>9</v>
      </c>
      <c r="F164" s="22">
        <v>2</v>
      </c>
      <c r="G164" s="22">
        <v>5</v>
      </c>
      <c r="H164" s="22">
        <v>2003</v>
      </c>
      <c r="I164" s="22" t="s">
        <v>47</v>
      </c>
      <c r="J164" s="20">
        <v>194</v>
      </c>
      <c r="K164" s="20">
        <f>Sales!$B164-Sales!$J164</f>
        <v>-94</v>
      </c>
      <c r="L164" s="23">
        <f>(Sales!$J164-Sales!$B164)/Sales!$J164</f>
        <v>0.4845360824742268</v>
      </c>
      <c r="M164" s="23" t="str">
        <f t="shared" si="2"/>
        <v>+20%</v>
      </c>
      <c r="N164" s="22" t="s">
        <v>92</v>
      </c>
      <c r="O164" s="22" t="s">
        <v>16</v>
      </c>
      <c r="P164" s="22" t="s">
        <v>17</v>
      </c>
      <c r="Q164" s="22" t="s">
        <v>39</v>
      </c>
    </row>
    <row r="165" spans="1:17" x14ac:dyDescent="0.3">
      <c r="A165" s="27">
        <v>42</v>
      </c>
      <c r="B165" s="24">
        <v>100</v>
      </c>
      <c r="C165" s="25">
        <f>Sales!$B165*Sales!$A165</f>
        <v>4200</v>
      </c>
      <c r="D165" s="26">
        <v>37804</v>
      </c>
      <c r="E165" s="27" t="s">
        <v>9</v>
      </c>
      <c r="F165" s="27">
        <v>3</v>
      </c>
      <c r="G165" s="27">
        <v>7</v>
      </c>
      <c r="H165" s="27">
        <v>2003</v>
      </c>
      <c r="I165" s="27" t="s">
        <v>47</v>
      </c>
      <c r="J165" s="25">
        <v>194</v>
      </c>
      <c r="K165" s="25">
        <f>Sales!$B165-Sales!$J165</f>
        <v>-94</v>
      </c>
      <c r="L165" s="28">
        <f>(Sales!$J165-Sales!$B165)/Sales!$J165</f>
        <v>0.4845360824742268</v>
      </c>
      <c r="M165" s="28" t="str">
        <f t="shared" si="2"/>
        <v>+20%</v>
      </c>
      <c r="N165" s="27" t="s">
        <v>64</v>
      </c>
      <c r="O165" s="27" t="s">
        <v>12</v>
      </c>
      <c r="P165" s="27" t="s">
        <v>13</v>
      </c>
      <c r="Q165" s="27" t="s">
        <v>39</v>
      </c>
    </row>
    <row r="166" spans="1:17" x14ac:dyDescent="0.3">
      <c r="A166" s="22">
        <v>48</v>
      </c>
      <c r="B166" s="19">
        <v>100</v>
      </c>
      <c r="C166" s="20">
        <f>Sales!$B166*Sales!$A166</f>
        <v>4800</v>
      </c>
      <c r="D166" s="21">
        <v>37869</v>
      </c>
      <c r="E166" s="22" t="s">
        <v>9</v>
      </c>
      <c r="F166" s="22">
        <v>3</v>
      </c>
      <c r="G166" s="22">
        <v>9</v>
      </c>
      <c r="H166" s="22">
        <v>2003</v>
      </c>
      <c r="I166" s="22" t="s">
        <v>47</v>
      </c>
      <c r="J166" s="20">
        <v>194</v>
      </c>
      <c r="K166" s="20">
        <f>Sales!$B166-Sales!$J166</f>
        <v>-94</v>
      </c>
      <c r="L166" s="23">
        <f>(Sales!$J166-Sales!$B166)/Sales!$J166</f>
        <v>0.4845360824742268</v>
      </c>
      <c r="M166" s="23" t="str">
        <f t="shared" si="2"/>
        <v>+20%</v>
      </c>
      <c r="N166" s="22" t="s">
        <v>66</v>
      </c>
      <c r="O166" s="22" t="s">
        <v>12</v>
      </c>
      <c r="P166" s="22" t="s">
        <v>13</v>
      </c>
      <c r="Q166" s="22" t="s">
        <v>39</v>
      </c>
    </row>
    <row r="167" spans="1:17" x14ac:dyDescent="0.3">
      <c r="A167" s="27">
        <v>41</v>
      </c>
      <c r="B167" s="24">
        <v>100</v>
      </c>
      <c r="C167" s="25">
        <f>Sales!$B167*Sales!$A167</f>
        <v>4100</v>
      </c>
      <c r="D167" s="26">
        <v>37904</v>
      </c>
      <c r="E167" s="27" t="s">
        <v>9</v>
      </c>
      <c r="F167" s="27">
        <v>4</v>
      </c>
      <c r="G167" s="27">
        <v>10</v>
      </c>
      <c r="H167" s="27">
        <v>2003</v>
      </c>
      <c r="I167" s="27" t="s">
        <v>47</v>
      </c>
      <c r="J167" s="25">
        <v>194</v>
      </c>
      <c r="K167" s="25">
        <f>Sales!$B167-Sales!$J167</f>
        <v>-94</v>
      </c>
      <c r="L167" s="28">
        <f>(Sales!$J167-Sales!$B167)/Sales!$J167</f>
        <v>0.4845360824742268</v>
      </c>
      <c r="M167" s="28" t="str">
        <f t="shared" si="2"/>
        <v>+20%</v>
      </c>
      <c r="N167" s="27" t="s">
        <v>21</v>
      </c>
      <c r="O167" s="27" t="s">
        <v>12</v>
      </c>
      <c r="P167" s="27" t="s">
        <v>13</v>
      </c>
      <c r="Q167" s="27" t="s">
        <v>39</v>
      </c>
    </row>
    <row r="168" spans="1:17" x14ac:dyDescent="0.3">
      <c r="A168" s="22">
        <v>30</v>
      </c>
      <c r="B168" s="19">
        <v>100</v>
      </c>
      <c r="C168" s="20">
        <f>Sales!$B168*Sales!$A168</f>
        <v>3000</v>
      </c>
      <c r="D168" s="21">
        <v>37929</v>
      </c>
      <c r="E168" s="22" t="s">
        <v>9</v>
      </c>
      <c r="F168" s="22">
        <v>4</v>
      </c>
      <c r="G168" s="22">
        <v>11</v>
      </c>
      <c r="H168" s="22">
        <v>2003</v>
      </c>
      <c r="I168" s="22" t="s">
        <v>47</v>
      </c>
      <c r="J168" s="20">
        <v>194</v>
      </c>
      <c r="K168" s="20">
        <f>Sales!$B168-Sales!$J168</f>
        <v>-94</v>
      </c>
      <c r="L168" s="23">
        <f>(Sales!$J168-Sales!$B168)/Sales!$J168</f>
        <v>0.4845360824742268</v>
      </c>
      <c r="M168" s="23" t="str">
        <f t="shared" si="2"/>
        <v>+20%</v>
      </c>
      <c r="N168" s="22" t="s">
        <v>67</v>
      </c>
      <c r="O168" s="22" t="s">
        <v>27</v>
      </c>
      <c r="P168" s="22" t="s">
        <v>28</v>
      </c>
      <c r="Q168" s="22" t="s">
        <v>19</v>
      </c>
    </row>
    <row r="169" spans="1:17" x14ac:dyDescent="0.3">
      <c r="A169" s="27">
        <v>27</v>
      </c>
      <c r="B169" s="24">
        <v>100</v>
      </c>
      <c r="C169" s="25">
        <f>Sales!$B169*Sales!$A169</f>
        <v>2700</v>
      </c>
      <c r="D169" s="26">
        <v>37937</v>
      </c>
      <c r="E169" s="27" t="s">
        <v>9</v>
      </c>
      <c r="F169" s="27">
        <v>4</v>
      </c>
      <c r="G169" s="27">
        <v>11</v>
      </c>
      <c r="H169" s="27">
        <v>2003</v>
      </c>
      <c r="I169" s="27" t="s">
        <v>47</v>
      </c>
      <c r="J169" s="25">
        <v>194</v>
      </c>
      <c r="K169" s="25">
        <f>Sales!$B169-Sales!$J169</f>
        <v>-94</v>
      </c>
      <c r="L169" s="28">
        <f>(Sales!$J169-Sales!$B169)/Sales!$J169</f>
        <v>0.4845360824742268</v>
      </c>
      <c r="M169" s="28" t="str">
        <f t="shared" si="2"/>
        <v>+20%</v>
      </c>
      <c r="N169" s="27" t="s">
        <v>24</v>
      </c>
      <c r="O169" s="27" t="s">
        <v>25</v>
      </c>
      <c r="P169" s="27" t="s">
        <v>17</v>
      </c>
      <c r="Q169" s="27" t="s">
        <v>19</v>
      </c>
    </row>
    <row r="170" spans="1:17" x14ac:dyDescent="0.3">
      <c r="A170" s="22">
        <v>21</v>
      </c>
      <c r="B170" s="19">
        <v>100</v>
      </c>
      <c r="C170" s="20">
        <f>Sales!$B170*Sales!$A170</f>
        <v>2100</v>
      </c>
      <c r="D170" s="21">
        <v>37945</v>
      </c>
      <c r="E170" s="22" t="s">
        <v>9</v>
      </c>
      <c r="F170" s="22">
        <v>4</v>
      </c>
      <c r="G170" s="22">
        <v>11</v>
      </c>
      <c r="H170" s="22">
        <v>2003</v>
      </c>
      <c r="I170" s="22" t="s">
        <v>47</v>
      </c>
      <c r="J170" s="20">
        <v>194</v>
      </c>
      <c r="K170" s="20">
        <f>Sales!$B170-Sales!$J170</f>
        <v>-94</v>
      </c>
      <c r="L170" s="23">
        <f>(Sales!$J170-Sales!$B170)/Sales!$J170</f>
        <v>0.4845360824742268</v>
      </c>
      <c r="M170" s="23" t="str">
        <f t="shared" si="2"/>
        <v>+20%</v>
      </c>
      <c r="N170" s="22" t="s">
        <v>93</v>
      </c>
      <c r="O170" s="22" t="s">
        <v>94</v>
      </c>
      <c r="P170" s="22" t="s">
        <v>17</v>
      </c>
      <c r="Q170" s="22" t="s">
        <v>19</v>
      </c>
    </row>
    <row r="171" spans="1:17" x14ac:dyDescent="0.3">
      <c r="A171" s="27">
        <v>20</v>
      </c>
      <c r="B171" s="24">
        <v>100</v>
      </c>
      <c r="C171" s="25">
        <f>Sales!$B171*Sales!$A171</f>
        <v>2000</v>
      </c>
      <c r="D171" s="26">
        <v>37957</v>
      </c>
      <c r="E171" s="27" t="s">
        <v>9</v>
      </c>
      <c r="F171" s="27">
        <v>4</v>
      </c>
      <c r="G171" s="27">
        <v>12</v>
      </c>
      <c r="H171" s="27">
        <v>2003</v>
      </c>
      <c r="I171" s="27" t="s">
        <v>47</v>
      </c>
      <c r="J171" s="25">
        <v>194</v>
      </c>
      <c r="K171" s="25">
        <f>Sales!$B171-Sales!$J171</f>
        <v>-94</v>
      </c>
      <c r="L171" s="28">
        <f>(Sales!$J171-Sales!$B171)/Sales!$J171</f>
        <v>0.4845360824742268</v>
      </c>
      <c r="M171" s="28" t="str">
        <f t="shared" si="2"/>
        <v>+20%</v>
      </c>
      <c r="N171" s="27" t="s">
        <v>45</v>
      </c>
      <c r="O171" s="27" t="s">
        <v>46</v>
      </c>
      <c r="P171" s="27" t="s">
        <v>17</v>
      </c>
      <c r="Q171" s="27" t="s">
        <v>19</v>
      </c>
    </row>
    <row r="172" spans="1:17" x14ac:dyDescent="0.3">
      <c r="A172" s="22">
        <v>41</v>
      </c>
      <c r="B172" s="19">
        <v>100</v>
      </c>
      <c r="C172" s="20">
        <f>Sales!$B172*Sales!$A172</f>
        <v>4100</v>
      </c>
      <c r="D172" s="21">
        <v>38001</v>
      </c>
      <c r="E172" s="22" t="s">
        <v>9</v>
      </c>
      <c r="F172" s="22">
        <v>1</v>
      </c>
      <c r="G172" s="22">
        <v>1</v>
      </c>
      <c r="H172" s="22">
        <v>2004</v>
      </c>
      <c r="I172" s="22" t="s">
        <v>47</v>
      </c>
      <c r="J172" s="20">
        <v>194</v>
      </c>
      <c r="K172" s="20">
        <f>Sales!$B172-Sales!$J172</f>
        <v>-94</v>
      </c>
      <c r="L172" s="23">
        <f>(Sales!$J172-Sales!$B172)/Sales!$J172</f>
        <v>0.4845360824742268</v>
      </c>
      <c r="M172" s="23" t="str">
        <f t="shared" si="2"/>
        <v>+20%</v>
      </c>
      <c r="N172" s="22" t="s">
        <v>18</v>
      </c>
      <c r="O172" s="22" t="s">
        <v>16</v>
      </c>
      <c r="P172" s="22" t="s">
        <v>17</v>
      </c>
      <c r="Q172" s="22" t="s">
        <v>39</v>
      </c>
    </row>
    <row r="173" spans="1:17" x14ac:dyDescent="0.3">
      <c r="A173" s="27">
        <v>27</v>
      </c>
      <c r="B173" s="24">
        <v>100</v>
      </c>
      <c r="C173" s="25">
        <f>Sales!$B173*Sales!$A173</f>
        <v>2700</v>
      </c>
      <c r="D173" s="26">
        <v>38039</v>
      </c>
      <c r="E173" s="27" t="s">
        <v>9</v>
      </c>
      <c r="F173" s="27">
        <v>1</v>
      </c>
      <c r="G173" s="27">
        <v>2</v>
      </c>
      <c r="H173" s="27">
        <v>2004</v>
      </c>
      <c r="I173" s="27" t="s">
        <v>47</v>
      </c>
      <c r="J173" s="25">
        <v>194</v>
      </c>
      <c r="K173" s="25">
        <f>Sales!$B173-Sales!$J173</f>
        <v>-94</v>
      </c>
      <c r="L173" s="28">
        <f>(Sales!$J173-Sales!$B173)/Sales!$J173</f>
        <v>0.4845360824742268</v>
      </c>
      <c r="M173" s="28" t="str">
        <f t="shared" si="2"/>
        <v>+20%</v>
      </c>
      <c r="N173" s="27" t="s">
        <v>95</v>
      </c>
      <c r="O173" s="27" t="s">
        <v>96</v>
      </c>
      <c r="P173" s="27" t="s">
        <v>17</v>
      </c>
      <c r="Q173" s="27" t="s">
        <v>19</v>
      </c>
    </row>
    <row r="174" spans="1:17" x14ac:dyDescent="0.3">
      <c r="A174" s="22">
        <v>28</v>
      </c>
      <c r="B174" s="19">
        <v>100</v>
      </c>
      <c r="C174" s="20">
        <f>Sales!$B174*Sales!$A174</f>
        <v>2800</v>
      </c>
      <c r="D174" s="21">
        <v>38086</v>
      </c>
      <c r="E174" s="22" t="s">
        <v>9</v>
      </c>
      <c r="F174" s="22">
        <v>2</v>
      </c>
      <c r="G174" s="22">
        <v>4</v>
      </c>
      <c r="H174" s="22">
        <v>2004</v>
      </c>
      <c r="I174" s="22" t="s">
        <v>47</v>
      </c>
      <c r="J174" s="20">
        <v>194</v>
      </c>
      <c r="K174" s="20">
        <f>Sales!$B174-Sales!$J174</f>
        <v>-94</v>
      </c>
      <c r="L174" s="23">
        <f>(Sales!$J174-Sales!$B174)/Sales!$J174</f>
        <v>0.4845360824742268</v>
      </c>
      <c r="M174" s="23" t="str">
        <f t="shared" si="2"/>
        <v>+20%</v>
      </c>
      <c r="N174" s="22" t="s">
        <v>72</v>
      </c>
      <c r="O174" s="22" t="s">
        <v>73</v>
      </c>
      <c r="P174" s="22" t="s">
        <v>17</v>
      </c>
      <c r="Q174" s="22" t="s">
        <v>19</v>
      </c>
    </row>
    <row r="175" spans="1:17" x14ac:dyDescent="0.3">
      <c r="A175" s="27">
        <v>24</v>
      </c>
      <c r="B175" s="24">
        <v>100</v>
      </c>
      <c r="C175" s="25">
        <f>Sales!$B175*Sales!$A175</f>
        <v>2400</v>
      </c>
      <c r="D175" s="26">
        <v>38139</v>
      </c>
      <c r="E175" s="27" t="s">
        <v>75</v>
      </c>
      <c r="F175" s="27">
        <v>2</v>
      </c>
      <c r="G175" s="27">
        <v>6</v>
      </c>
      <c r="H175" s="27">
        <v>2004</v>
      </c>
      <c r="I175" s="27" t="s">
        <v>47</v>
      </c>
      <c r="J175" s="25">
        <v>194</v>
      </c>
      <c r="K175" s="25">
        <f>Sales!$B175-Sales!$J175</f>
        <v>-94</v>
      </c>
      <c r="L175" s="28">
        <f>(Sales!$J175-Sales!$B175)/Sales!$J175</f>
        <v>0.4845360824742268</v>
      </c>
      <c r="M175" s="28" t="str">
        <f t="shared" si="2"/>
        <v>+20%</v>
      </c>
      <c r="N175" s="27" t="s">
        <v>42</v>
      </c>
      <c r="O175" s="27" t="s">
        <v>43</v>
      </c>
      <c r="P175" s="27" t="s">
        <v>17</v>
      </c>
      <c r="Q175" s="27" t="s">
        <v>19</v>
      </c>
    </row>
    <row r="176" spans="1:17" x14ac:dyDescent="0.3">
      <c r="A176" s="22">
        <v>44</v>
      </c>
      <c r="B176" s="19">
        <v>100</v>
      </c>
      <c r="C176" s="20">
        <f>Sales!$B176*Sales!$A176</f>
        <v>4400</v>
      </c>
      <c r="D176" s="21">
        <v>38174</v>
      </c>
      <c r="E176" s="22" t="s">
        <v>9</v>
      </c>
      <c r="F176" s="22">
        <v>3</v>
      </c>
      <c r="G176" s="22">
        <v>7</v>
      </c>
      <c r="H176" s="22">
        <v>2004</v>
      </c>
      <c r="I176" s="22" t="s">
        <v>47</v>
      </c>
      <c r="J176" s="20">
        <v>194</v>
      </c>
      <c r="K176" s="20">
        <f>Sales!$B176-Sales!$J176</f>
        <v>-94</v>
      </c>
      <c r="L176" s="23">
        <f>(Sales!$J176-Sales!$B176)/Sales!$J176</f>
        <v>0.4845360824742268</v>
      </c>
      <c r="M176" s="23" t="str">
        <f t="shared" si="2"/>
        <v>+20%</v>
      </c>
      <c r="N176" s="22" t="s">
        <v>97</v>
      </c>
      <c r="O176" s="22" t="s">
        <v>61</v>
      </c>
      <c r="P176" s="22" t="s">
        <v>17</v>
      </c>
      <c r="Q176" s="22" t="s">
        <v>39</v>
      </c>
    </row>
    <row r="177" spans="1:17" x14ac:dyDescent="0.3">
      <c r="A177" s="27">
        <v>50</v>
      </c>
      <c r="B177" s="24">
        <v>100</v>
      </c>
      <c r="C177" s="25">
        <f>Sales!$B177*Sales!$A177</f>
        <v>5000</v>
      </c>
      <c r="D177" s="26">
        <v>38201</v>
      </c>
      <c r="E177" s="27" t="s">
        <v>9</v>
      </c>
      <c r="F177" s="27">
        <v>3</v>
      </c>
      <c r="G177" s="27">
        <v>8</v>
      </c>
      <c r="H177" s="27">
        <v>2004</v>
      </c>
      <c r="I177" s="27" t="s">
        <v>47</v>
      </c>
      <c r="J177" s="25">
        <v>194</v>
      </c>
      <c r="K177" s="25">
        <f>Sales!$B177-Sales!$J177</f>
        <v>-94</v>
      </c>
      <c r="L177" s="28">
        <f>(Sales!$J177-Sales!$B177)/Sales!$J177</f>
        <v>0.4845360824742268</v>
      </c>
      <c r="M177" s="28" t="str">
        <f t="shared" si="2"/>
        <v>+20%</v>
      </c>
      <c r="N177" s="27" t="s">
        <v>66</v>
      </c>
      <c r="O177" s="27" t="s">
        <v>12</v>
      </c>
      <c r="P177" s="27" t="s">
        <v>13</v>
      </c>
      <c r="Q177" s="27" t="s">
        <v>39</v>
      </c>
    </row>
    <row r="178" spans="1:17" x14ac:dyDescent="0.3">
      <c r="A178" s="22">
        <v>21</v>
      </c>
      <c r="B178" s="19">
        <v>100</v>
      </c>
      <c r="C178" s="20">
        <f>Sales!$B178*Sales!$A178</f>
        <v>2100</v>
      </c>
      <c r="D178" s="21">
        <v>38229</v>
      </c>
      <c r="E178" s="22" t="s">
        <v>9</v>
      </c>
      <c r="F178" s="22">
        <v>3</v>
      </c>
      <c r="G178" s="22">
        <v>8</v>
      </c>
      <c r="H178" s="22">
        <v>2004</v>
      </c>
      <c r="I178" s="22" t="s">
        <v>47</v>
      </c>
      <c r="J178" s="20">
        <v>194</v>
      </c>
      <c r="K178" s="20">
        <f>Sales!$B178-Sales!$J178</f>
        <v>-94</v>
      </c>
      <c r="L178" s="23">
        <f>(Sales!$J178-Sales!$B178)/Sales!$J178</f>
        <v>0.4845360824742268</v>
      </c>
      <c r="M178" s="23" t="str">
        <f t="shared" si="2"/>
        <v>+20%</v>
      </c>
      <c r="N178" s="22" t="s">
        <v>95</v>
      </c>
      <c r="O178" s="22" t="s">
        <v>96</v>
      </c>
      <c r="P178" s="22" t="s">
        <v>17</v>
      </c>
      <c r="Q178" s="22" t="s">
        <v>19</v>
      </c>
    </row>
    <row r="179" spans="1:17" x14ac:dyDescent="0.3">
      <c r="A179" s="27">
        <v>33</v>
      </c>
      <c r="B179" s="24">
        <v>100</v>
      </c>
      <c r="C179" s="25">
        <f>Sales!$B179*Sales!$A179</f>
        <v>3300</v>
      </c>
      <c r="D179" s="26">
        <v>37898</v>
      </c>
      <c r="E179" s="27" t="s">
        <v>9</v>
      </c>
      <c r="F179" s="27">
        <v>4</v>
      </c>
      <c r="G179" s="27">
        <v>10</v>
      </c>
      <c r="H179" s="27">
        <v>2003</v>
      </c>
      <c r="I179" s="27" t="s">
        <v>47</v>
      </c>
      <c r="J179" s="25">
        <v>194</v>
      </c>
      <c r="K179" s="25">
        <f>Sales!$B179-Sales!$J179</f>
        <v>-94</v>
      </c>
      <c r="L179" s="28">
        <f>(Sales!$J179-Sales!$B179)/Sales!$J179</f>
        <v>0.4845360824742268</v>
      </c>
      <c r="M179" s="28" t="str">
        <f t="shared" si="2"/>
        <v>+20%</v>
      </c>
      <c r="N179" s="27" t="s">
        <v>98</v>
      </c>
      <c r="O179" s="27" t="s">
        <v>94</v>
      </c>
      <c r="P179" s="27" t="s">
        <v>17</v>
      </c>
      <c r="Q179" s="27" t="s">
        <v>19</v>
      </c>
    </row>
    <row r="180" spans="1:17" x14ac:dyDescent="0.3">
      <c r="A180" s="22">
        <v>33</v>
      </c>
      <c r="B180" s="19">
        <v>100</v>
      </c>
      <c r="C180" s="20">
        <f>Sales!$B180*Sales!$A180</f>
        <v>3300</v>
      </c>
      <c r="D180" s="21">
        <v>38276</v>
      </c>
      <c r="E180" s="22" t="s">
        <v>9</v>
      </c>
      <c r="F180" s="22">
        <v>4</v>
      </c>
      <c r="G180" s="22">
        <v>10</v>
      </c>
      <c r="H180" s="22">
        <v>2004</v>
      </c>
      <c r="I180" s="22" t="s">
        <v>47</v>
      </c>
      <c r="J180" s="20">
        <v>194</v>
      </c>
      <c r="K180" s="20">
        <f>Sales!$B180-Sales!$J180</f>
        <v>-94</v>
      </c>
      <c r="L180" s="23">
        <f>(Sales!$J180-Sales!$B180)/Sales!$J180</f>
        <v>0.4845360824742268</v>
      </c>
      <c r="M180" s="23" t="str">
        <f t="shared" si="2"/>
        <v>+20%</v>
      </c>
      <c r="N180" s="22" t="s">
        <v>93</v>
      </c>
      <c r="O180" s="22" t="s">
        <v>94</v>
      </c>
      <c r="P180" s="22" t="s">
        <v>17</v>
      </c>
      <c r="Q180" s="22" t="s">
        <v>19</v>
      </c>
    </row>
    <row r="181" spans="1:17" x14ac:dyDescent="0.3">
      <c r="A181" s="27">
        <v>31</v>
      </c>
      <c r="B181" s="24">
        <v>100</v>
      </c>
      <c r="C181" s="25">
        <f>Sales!$B181*Sales!$A181</f>
        <v>3100</v>
      </c>
      <c r="D181" s="26">
        <v>38294</v>
      </c>
      <c r="E181" s="27" t="s">
        <v>9</v>
      </c>
      <c r="F181" s="27">
        <v>4</v>
      </c>
      <c r="G181" s="27">
        <v>11</v>
      </c>
      <c r="H181" s="27">
        <v>2004</v>
      </c>
      <c r="I181" s="27" t="s">
        <v>47</v>
      </c>
      <c r="J181" s="25">
        <v>194</v>
      </c>
      <c r="K181" s="25">
        <f>Sales!$B181-Sales!$J181</f>
        <v>-94</v>
      </c>
      <c r="L181" s="28">
        <f>(Sales!$J181-Sales!$B181)/Sales!$J181</f>
        <v>0.4845360824742268</v>
      </c>
      <c r="M181" s="28" t="str">
        <f t="shared" si="2"/>
        <v>+20%</v>
      </c>
      <c r="N181" s="27" t="s">
        <v>48</v>
      </c>
      <c r="O181" s="27" t="s">
        <v>49</v>
      </c>
      <c r="P181" s="27" t="s">
        <v>17</v>
      </c>
      <c r="Q181" s="27" t="s">
        <v>19</v>
      </c>
    </row>
    <row r="182" spans="1:17" x14ac:dyDescent="0.3">
      <c r="A182" s="22">
        <v>41</v>
      </c>
      <c r="B182" s="19">
        <v>71.47</v>
      </c>
      <c r="C182" s="20">
        <f>Sales!$B182*Sales!$A182</f>
        <v>2930.27</v>
      </c>
      <c r="D182" s="21">
        <v>38306</v>
      </c>
      <c r="E182" s="22" t="s">
        <v>9</v>
      </c>
      <c r="F182" s="22">
        <v>4</v>
      </c>
      <c r="G182" s="22">
        <v>11</v>
      </c>
      <c r="H182" s="22">
        <v>2004</v>
      </c>
      <c r="I182" s="22" t="s">
        <v>47</v>
      </c>
      <c r="J182" s="20">
        <v>194</v>
      </c>
      <c r="K182" s="20">
        <f>Sales!$B182-Sales!$J182</f>
        <v>-122.53</v>
      </c>
      <c r="L182" s="23">
        <f>(Sales!$J182-Sales!$B182)/Sales!$J182</f>
        <v>0.63159793814432985</v>
      </c>
      <c r="M182" s="23" t="str">
        <f t="shared" si="2"/>
        <v>+20%</v>
      </c>
      <c r="N182" s="22" t="s">
        <v>11</v>
      </c>
      <c r="O182" s="22" t="s">
        <v>12</v>
      </c>
      <c r="P182" s="22" t="s">
        <v>13</v>
      </c>
      <c r="Q182" s="22" t="s">
        <v>14</v>
      </c>
    </row>
    <row r="183" spans="1:17" x14ac:dyDescent="0.3">
      <c r="A183" s="27">
        <v>45</v>
      </c>
      <c r="B183" s="24">
        <v>79.650000000000006</v>
      </c>
      <c r="C183" s="25">
        <f>Sales!$B183*Sales!$A183</f>
        <v>3584.2500000000005</v>
      </c>
      <c r="D183" s="26">
        <v>38315</v>
      </c>
      <c r="E183" s="27" t="s">
        <v>9</v>
      </c>
      <c r="F183" s="27">
        <v>4</v>
      </c>
      <c r="G183" s="27">
        <v>11</v>
      </c>
      <c r="H183" s="27">
        <v>2004</v>
      </c>
      <c r="I183" s="27" t="s">
        <v>47</v>
      </c>
      <c r="J183" s="25">
        <v>194</v>
      </c>
      <c r="K183" s="25">
        <f>Sales!$B183-Sales!$J183</f>
        <v>-114.35</v>
      </c>
      <c r="L183" s="28">
        <f>(Sales!$J183-Sales!$B183)/Sales!$J183</f>
        <v>0.58943298969072166</v>
      </c>
      <c r="M183" s="28" t="str">
        <f t="shared" si="2"/>
        <v>+20%</v>
      </c>
      <c r="N183" s="27" t="s">
        <v>37</v>
      </c>
      <c r="O183" s="27" t="s">
        <v>38</v>
      </c>
      <c r="P183" s="27" t="s">
        <v>17</v>
      </c>
      <c r="Q183" s="27" t="s">
        <v>19</v>
      </c>
    </row>
    <row r="184" spans="1:17" x14ac:dyDescent="0.3">
      <c r="A184" s="22">
        <v>33</v>
      </c>
      <c r="B184" s="19">
        <v>85.39</v>
      </c>
      <c r="C184" s="20">
        <f>Sales!$B184*Sales!$A184</f>
        <v>2817.87</v>
      </c>
      <c r="D184" s="21">
        <v>38358</v>
      </c>
      <c r="E184" s="22" t="s">
        <v>9</v>
      </c>
      <c r="F184" s="22">
        <v>1</v>
      </c>
      <c r="G184" s="22">
        <v>1</v>
      </c>
      <c r="H184" s="22">
        <v>2005</v>
      </c>
      <c r="I184" s="22" t="s">
        <v>47</v>
      </c>
      <c r="J184" s="20">
        <v>194</v>
      </c>
      <c r="K184" s="20">
        <f>Sales!$B184-Sales!$J184</f>
        <v>-108.61</v>
      </c>
      <c r="L184" s="23">
        <f>(Sales!$J184-Sales!$B184)/Sales!$J184</f>
        <v>0.55984536082474223</v>
      </c>
      <c r="M184" s="23" t="str">
        <f t="shared" si="2"/>
        <v>+20%</v>
      </c>
      <c r="N184" s="22" t="s">
        <v>99</v>
      </c>
      <c r="O184" s="22" t="s">
        <v>34</v>
      </c>
      <c r="P184" s="22" t="s">
        <v>17</v>
      </c>
      <c r="Q184" s="22" t="s">
        <v>14</v>
      </c>
    </row>
    <row r="185" spans="1:17" x14ac:dyDescent="0.3">
      <c r="A185" s="27">
        <v>45</v>
      </c>
      <c r="B185" s="24">
        <v>76</v>
      </c>
      <c r="C185" s="25">
        <f>Sales!$B185*Sales!$A185</f>
        <v>3420</v>
      </c>
      <c r="D185" s="26">
        <v>38386</v>
      </c>
      <c r="E185" s="27" t="s">
        <v>9</v>
      </c>
      <c r="F185" s="27">
        <v>1</v>
      </c>
      <c r="G185" s="27">
        <v>2</v>
      </c>
      <c r="H185" s="27">
        <v>2005</v>
      </c>
      <c r="I185" s="27" t="s">
        <v>47</v>
      </c>
      <c r="J185" s="25">
        <v>194</v>
      </c>
      <c r="K185" s="25">
        <f>Sales!$B185-Sales!$J185</f>
        <v>-118</v>
      </c>
      <c r="L185" s="28">
        <f>(Sales!$J185-Sales!$B185)/Sales!$J185</f>
        <v>0.60824742268041232</v>
      </c>
      <c r="M185" s="28" t="str">
        <f t="shared" si="2"/>
        <v>+20%</v>
      </c>
      <c r="N185" s="27" t="s">
        <v>31</v>
      </c>
      <c r="O185" s="27" t="s">
        <v>16</v>
      </c>
      <c r="P185" s="27" t="s">
        <v>17</v>
      </c>
      <c r="Q185" s="27" t="s">
        <v>19</v>
      </c>
    </row>
    <row r="186" spans="1:17" x14ac:dyDescent="0.3">
      <c r="A186" s="22">
        <v>26</v>
      </c>
      <c r="B186" s="19">
        <v>99.04</v>
      </c>
      <c r="C186" s="20">
        <f>Sales!$B186*Sales!$A186</f>
        <v>2575.04</v>
      </c>
      <c r="D186" s="21">
        <v>38414</v>
      </c>
      <c r="E186" s="22" t="s">
        <v>9</v>
      </c>
      <c r="F186" s="22">
        <v>1</v>
      </c>
      <c r="G186" s="22">
        <v>3</v>
      </c>
      <c r="H186" s="22">
        <v>2005</v>
      </c>
      <c r="I186" s="22" t="s">
        <v>47</v>
      </c>
      <c r="J186" s="20">
        <v>194</v>
      </c>
      <c r="K186" s="20">
        <f>Sales!$B186-Sales!$J186</f>
        <v>-94.96</v>
      </c>
      <c r="L186" s="23">
        <f>(Sales!$J186-Sales!$B186)/Sales!$J186</f>
        <v>0.48948453608247422</v>
      </c>
      <c r="M186" s="23" t="str">
        <f t="shared" si="2"/>
        <v>+20%</v>
      </c>
      <c r="N186" s="22" t="s">
        <v>62</v>
      </c>
      <c r="O186" s="22" t="s">
        <v>49</v>
      </c>
      <c r="P186" s="22" t="s">
        <v>17</v>
      </c>
      <c r="Q186" s="22" t="s">
        <v>14</v>
      </c>
    </row>
    <row r="187" spans="1:17" x14ac:dyDescent="0.3">
      <c r="A187" s="27">
        <v>12</v>
      </c>
      <c r="B187" s="24">
        <v>100</v>
      </c>
      <c r="C187" s="25">
        <f>Sales!$B187*Sales!$A187</f>
        <v>1200</v>
      </c>
      <c r="D187" s="26">
        <v>38489</v>
      </c>
      <c r="E187" s="27" t="s">
        <v>9</v>
      </c>
      <c r="F187" s="27">
        <v>2</v>
      </c>
      <c r="G187" s="27">
        <v>5</v>
      </c>
      <c r="H187" s="27">
        <v>2005</v>
      </c>
      <c r="I187" s="27" t="s">
        <v>47</v>
      </c>
      <c r="J187" s="25">
        <v>194</v>
      </c>
      <c r="K187" s="25">
        <f>Sales!$B187-Sales!$J187</f>
        <v>-94</v>
      </c>
      <c r="L187" s="28">
        <f>(Sales!$J187-Sales!$B187)/Sales!$J187</f>
        <v>0.4845360824742268</v>
      </c>
      <c r="M187" s="28" t="str">
        <f t="shared" si="2"/>
        <v>+20%</v>
      </c>
      <c r="N187" s="27" t="s">
        <v>37</v>
      </c>
      <c r="O187" s="27" t="s">
        <v>38</v>
      </c>
      <c r="P187" s="27" t="s">
        <v>17</v>
      </c>
      <c r="Q187" s="27" t="s">
        <v>14</v>
      </c>
    </row>
    <row r="188" spans="1:17" x14ac:dyDescent="0.3">
      <c r="A188" s="22">
        <v>41</v>
      </c>
      <c r="B188" s="19">
        <v>100</v>
      </c>
      <c r="C188" s="20">
        <f>Sales!$B188*Sales!$A188</f>
        <v>4100</v>
      </c>
      <c r="D188" s="21">
        <v>37663</v>
      </c>
      <c r="E188" s="22" t="s">
        <v>9</v>
      </c>
      <c r="F188" s="22">
        <v>1</v>
      </c>
      <c r="G188" s="22">
        <v>2</v>
      </c>
      <c r="H188" s="22">
        <v>2003</v>
      </c>
      <c r="I188" s="22" t="s">
        <v>47</v>
      </c>
      <c r="J188" s="20">
        <v>207</v>
      </c>
      <c r="K188" s="20">
        <f>Sales!$B188-Sales!$J188</f>
        <v>-107</v>
      </c>
      <c r="L188" s="23">
        <f>(Sales!$J188-Sales!$B188)/Sales!$J188</f>
        <v>0.51690821256038644</v>
      </c>
      <c r="M188" s="23" t="str">
        <f t="shared" si="2"/>
        <v>+20%</v>
      </c>
      <c r="N188" s="22" t="s">
        <v>72</v>
      </c>
      <c r="O188" s="22" t="s">
        <v>73</v>
      </c>
      <c r="P188" s="22" t="s">
        <v>17</v>
      </c>
      <c r="Q188" s="22" t="s">
        <v>39</v>
      </c>
    </row>
    <row r="189" spans="1:17" x14ac:dyDescent="0.3">
      <c r="A189" s="27">
        <v>33</v>
      </c>
      <c r="B189" s="24">
        <v>100</v>
      </c>
      <c r="C189" s="25">
        <f>Sales!$B189*Sales!$A189</f>
        <v>3300</v>
      </c>
      <c r="D189" s="26">
        <v>37727</v>
      </c>
      <c r="E189" s="27" t="s">
        <v>9</v>
      </c>
      <c r="F189" s="27">
        <v>2</v>
      </c>
      <c r="G189" s="27">
        <v>4</v>
      </c>
      <c r="H189" s="27">
        <v>2003</v>
      </c>
      <c r="I189" s="27" t="s">
        <v>47</v>
      </c>
      <c r="J189" s="25">
        <v>207</v>
      </c>
      <c r="K189" s="25">
        <f>Sales!$B189-Sales!$J189</f>
        <v>-107</v>
      </c>
      <c r="L189" s="28">
        <f>(Sales!$J189-Sales!$B189)/Sales!$J189</f>
        <v>0.51690821256038644</v>
      </c>
      <c r="M189" s="28" t="str">
        <f t="shared" si="2"/>
        <v>+20%</v>
      </c>
      <c r="N189" s="27" t="s">
        <v>50</v>
      </c>
      <c r="O189" s="27" t="s">
        <v>50</v>
      </c>
      <c r="P189" s="27" t="s">
        <v>28</v>
      </c>
      <c r="Q189" s="27" t="s">
        <v>19</v>
      </c>
    </row>
    <row r="190" spans="1:17" x14ac:dyDescent="0.3">
      <c r="A190" s="22">
        <v>46</v>
      </c>
      <c r="B190" s="19">
        <v>100</v>
      </c>
      <c r="C190" s="20">
        <f>Sales!$B190*Sales!$A190</f>
        <v>4600</v>
      </c>
      <c r="D190" s="21">
        <v>37775</v>
      </c>
      <c r="E190" s="22" t="s">
        <v>9</v>
      </c>
      <c r="F190" s="22">
        <v>2</v>
      </c>
      <c r="G190" s="22">
        <v>6</v>
      </c>
      <c r="H190" s="22">
        <v>2003</v>
      </c>
      <c r="I190" s="22" t="s">
        <v>47</v>
      </c>
      <c r="J190" s="20">
        <v>207</v>
      </c>
      <c r="K190" s="20">
        <f>Sales!$B190-Sales!$J190</f>
        <v>-107</v>
      </c>
      <c r="L190" s="23">
        <f>(Sales!$J190-Sales!$B190)/Sales!$J190</f>
        <v>0.51690821256038644</v>
      </c>
      <c r="M190" s="23" t="str">
        <f t="shared" si="2"/>
        <v>+20%</v>
      </c>
      <c r="N190" s="22" t="s">
        <v>11</v>
      </c>
      <c r="O190" s="22" t="s">
        <v>12</v>
      </c>
      <c r="P190" s="22" t="s">
        <v>13</v>
      </c>
      <c r="Q190" s="22" t="s">
        <v>39</v>
      </c>
    </row>
    <row r="191" spans="1:17" x14ac:dyDescent="0.3">
      <c r="A191" s="27">
        <v>33</v>
      </c>
      <c r="B191" s="24">
        <v>100</v>
      </c>
      <c r="C191" s="25">
        <f>Sales!$B191*Sales!$A191</f>
        <v>3300</v>
      </c>
      <c r="D191" s="26">
        <v>37841</v>
      </c>
      <c r="E191" s="27" t="s">
        <v>9</v>
      </c>
      <c r="F191" s="27">
        <v>3</v>
      </c>
      <c r="G191" s="27">
        <v>8</v>
      </c>
      <c r="H191" s="27">
        <v>2003</v>
      </c>
      <c r="I191" s="27" t="s">
        <v>47</v>
      </c>
      <c r="J191" s="25">
        <v>207</v>
      </c>
      <c r="K191" s="25">
        <f>Sales!$B191-Sales!$J191</f>
        <v>-107</v>
      </c>
      <c r="L191" s="28">
        <f>(Sales!$J191-Sales!$B191)/Sales!$J191</f>
        <v>0.51690821256038644</v>
      </c>
      <c r="M191" s="28" t="str">
        <f t="shared" si="2"/>
        <v>+20%</v>
      </c>
      <c r="N191" s="27" t="s">
        <v>64</v>
      </c>
      <c r="O191" s="27" t="s">
        <v>12</v>
      </c>
      <c r="P191" s="27" t="s">
        <v>13</v>
      </c>
      <c r="Q191" s="27" t="s">
        <v>39</v>
      </c>
    </row>
    <row r="192" spans="1:17" x14ac:dyDescent="0.3">
      <c r="A192" s="22">
        <v>20</v>
      </c>
      <c r="B192" s="19">
        <v>100</v>
      </c>
      <c r="C192" s="20">
        <f>Sales!$B192*Sales!$A192</f>
        <v>2000</v>
      </c>
      <c r="D192" s="21">
        <v>37892</v>
      </c>
      <c r="E192" s="22" t="s">
        <v>9</v>
      </c>
      <c r="F192" s="22">
        <v>3</v>
      </c>
      <c r="G192" s="22">
        <v>9</v>
      </c>
      <c r="H192" s="22">
        <v>2003</v>
      </c>
      <c r="I192" s="22" t="s">
        <v>47</v>
      </c>
      <c r="J192" s="20">
        <v>207</v>
      </c>
      <c r="K192" s="20">
        <f>Sales!$B192-Sales!$J192</f>
        <v>-107</v>
      </c>
      <c r="L192" s="23">
        <f>(Sales!$J192-Sales!$B192)/Sales!$J192</f>
        <v>0.51690821256038644</v>
      </c>
      <c r="M192" s="23" t="str">
        <f t="shared" si="2"/>
        <v>+20%</v>
      </c>
      <c r="N192" s="22" t="s">
        <v>45</v>
      </c>
      <c r="O192" s="22" t="s">
        <v>46</v>
      </c>
      <c r="P192" s="22" t="s">
        <v>17</v>
      </c>
      <c r="Q192" s="22" t="s">
        <v>19</v>
      </c>
    </row>
    <row r="193" spans="1:17" x14ac:dyDescent="0.3">
      <c r="A193" s="27">
        <v>44</v>
      </c>
      <c r="B193" s="24">
        <v>100</v>
      </c>
      <c r="C193" s="25">
        <f>Sales!$B193*Sales!$A193</f>
        <v>4400</v>
      </c>
      <c r="D193" s="26">
        <v>37916</v>
      </c>
      <c r="E193" s="27" t="s">
        <v>9</v>
      </c>
      <c r="F193" s="27">
        <v>4</v>
      </c>
      <c r="G193" s="27">
        <v>10</v>
      </c>
      <c r="H193" s="27">
        <v>2003</v>
      </c>
      <c r="I193" s="27" t="s">
        <v>47</v>
      </c>
      <c r="J193" s="25">
        <v>207</v>
      </c>
      <c r="K193" s="25">
        <f>Sales!$B193-Sales!$J193</f>
        <v>-107</v>
      </c>
      <c r="L193" s="28">
        <f>(Sales!$J193-Sales!$B193)/Sales!$J193</f>
        <v>0.51690821256038644</v>
      </c>
      <c r="M193" s="28" t="str">
        <f t="shared" si="2"/>
        <v>+20%</v>
      </c>
      <c r="N193" s="27" t="s">
        <v>50</v>
      </c>
      <c r="O193" s="27" t="s">
        <v>50</v>
      </c>
      <c r="P193" s="27" t="s">
        <v>28</v>
      </c>
      <c r="Q193" s="27" t="s">
        <v>39</v>
      </c>
    </row>
    <row r="194" spans="1:17" x14ac:dyDescent="0.3">
      <c r="A194" s="22">
        <v>33</v>
      </c>
      <c r="B194" s="19">
        <v>100</v>
      </c>
      <c r="C194" s="20">
        <f>Sales!$B194*Sales!$A194</f>
        <v>3300</v>
      </c>
      <c r="D194" s="21">
        <v>37931</v>
      </c>
      <c r="E194" s="22" t="s">
        <v>9</v>
      </c>
      <c r="F194" s="22">
        <v>4</v>
      </c>
      <c r="G194" s="22">
        <v>11</v>
      </c>
      <c r="H194" s="22">
        <v>2003</v>
      </c>
      <c r="I194" s="22" t="s">
        <v>47</v>
      </c>
      <c r="J194" s="20">
        <v>207</v>
      </c>
      <c r="K194" s="20">
        <f>Sales!$B194-Sales!$J194</f>
        <v>-107</v>
      </c>
      <c r="L194" s="23">
        <f>(Sales!$J194-Sales!$B194)/Sales!$J194</f>
        <v>0.51690821256038644</v>
      </c>
      <c r="M194" s="23" t="str">
        <f t="shared" si="2"/>
        <v>+20%</v>
      </c>
      <c r="N194" s="22" t="s">
        <v>97</v>
      </c>
      <c r="O194" s="22" t="s">
        <v>61</v>
      </c>
      <c r="P194" s="22" t="s">
        <v>17</v>
      </c>
      <c r="Q194" s="22" t="s">
        <v>39</v>
      </c>
    </row>
    <row r="195" spans="1:17" x14ac:dyDescent="0.3">
      <c r="A195" s="27">
        <v>21</v>
      </c>
      <c r="B195" s="24">
        <v>100</v>
      </c>
      <c r="C195" s="25">
        <f>Sales!$B195*Sales!$A195</f>
        <v>2100</v>
      </c>
      <c r="D195" s="26">
        <v>37939</v>
      </c>
      <c r="E195" s="27" t="s">
        <v>9</v>
      </c>
      <c r="F195" s="27">
        <v>4</v>
      </c>
      <c r="G195" s="27">
        <v>11</v>
      </c>
      <c r="H195" s="27">
        <v>2003</v>
      </c>
      <c r="I195" s="27" t="s">
        <v>47</v>
      </c>
      <c r="J195" s="25">
        <v>207</v>
      </c>
      <c r="K195" s="25">
        <f>Sales!$B195-Sales!$J195</f>
        <v>-107</v>
      </c>
      <c r="L195" s="28">
        <f>(Sales!$J195-Sales!$B195)/Sales!$J195</f>
        <v>0.51690821256038644</v>
      </c>
      <c r="M195" s="28" t="str">
        <f t="shared" ref="M195:M258" si="3">IF(L195&lt;0%,"Below 0%",IF(L195=0%,"0%",IF(AND(L195&lt;=5%,L195&gt;0%),"0%-5%",IF(AND(L195&lt;=10%,L195&gt;5%),"5%-10%",IF(AND(L195&lt;=15%,L195&gt;10%),"10%-15%",IF(AND(L195&lt;=20%,L195&gt;15%),"15%-20%","+20%"))))))</f>
        <v>+20%</v>
      </c>
      <c r="N195" s="27" t="s">
        <v>41</v>
      </c>
      <c r="O195" s="27" t="s">
        <v>12</v>
      </c>
      <c r="P195" s="27" t="s">
        <v>13</v>
      </c>
      <c r="Q195" s="27" t="s">
        <v>19</v>
      </c>
    </row>
    <row r="196" spans="1:17" x14ac:dyDescent="0.3">
      <c r="A196" s="22">
        <v>47</v>
      </c>
      <c r="B196" s="19">
        <v>100</v>
      </c>
      <c r="C196" s="20">
        <f>Sales!$B196*Sales!$A196</f>
        <v>4700</v>
      </c>
      <c r="D196" s="21">
        <v>37951</v>
      </c>
      <c r="E196" s="22" t="s">
        <v>9</v>
      </c>
      <c r="F196" s="22">
        <v>4</v>
      </c>
      <c r="G196" s="22">
        <v>11</v>
      </c>
      <c r="H196" s="22">
        <v>2003</v>
      </c>
      <c r="I196" s="22" t="s">
        <v>47</v>
      </c>
      <c r="J196" s="20">
        <v>207</v>
      </c>
      <c r="K196" s="20">
        <f>Sales!$B196-Sales!$J196</f>
        <v>-107</v>
      </c>
      <c r="L196" s="23">
        <f>(Sales!$J196-Sales!$B196)/Sales!$J196</f>
        <v>0.51690821256038644</v>
      </c>
      <c r="M196" s="23" t="str">
        <f t="shared" si="3"/>
        <v>+20%</v>
      </c>
      <c r="N196" s="22" t="s">
        <v>58</v>
      </c>
      <c r="O196" s="22" t="s">
        <v>12</v>
      </c>
      <c r="P196" s="22" t="s">
        <v>13</v>
      </c>
      <c r="Q196" s="22" t="s">
        <v>39</v>
      </c>
    </row>
    <row r="197" spans="1:17" x14ac:dyDescent="0.3">
      <c r="A197" s="27">
        <v>46</v>
      </c>
      <c r="B197" s="24">
        <v>100</v>
      </c>
      <c r="C197" s="25">
        <f>Sales!$B197*Sales!$A197</f>
        <v>4600</v>
      </c>
      <c r="D197" s="26">
        <v>37988</v>
      </c>
      <c r="E197" s="27" t="s">
        <v>9</v>
      </c>
      <c r="F197" s="27">
        <v>1</v>
      </c>
      <c r="G197" s="27">
        <v>1</v>
      </c>
      <c r="H197" s="27">
        <v>2004</v>
      </c>
      <c r="I197" s="27" t="s">
        <v>47</v>
      </c>
      <c r="J197" s="25">
        <v>207</v>
      </c>
      <c r="K197" s="25">
        <f>Sales!$B197-Sales!$J197</f>
        <v>-107</v>
      </c>
      <c r="L197" s="28">
        <f>(Sales!$J197-Sales!$B197)/Sales!$J197</f>
        <v>0.51690821256038644</v>
      </c>
      <c r="M197" s="28" t="str">
        <f t="shared" si="3"/>
        <v>+20%</v>
      </c>
      <c r="N197" s="27" t="s">
        <v>54</v>
      </c>
      <c r="O197" s="27" t="s">
        <v>16</v>
      </c>
      <c r="P197" s="27" t="s">
        <v>17</v>
      </c>
      <c r="Q197" s="27" t="s">
        <v>39</v>
      </c>
    </row>
    <row r="198" spans="1:17" x14ac:dyDescent="0.3">
      <c r="A198" s="22">
        <v>32</v>
      </c>
      <c r="B198" s="19">
        <v>100</v>
      </c>
      <c r="C198" s="20">
        <f>Sales!$B198*Sales!$A198</f>
        <v>3200</v>
      </c>
      <c r="D198" s="21">
        <v>38029</v>
      </c>
      <c r="E198" s="22" t="s">
        <v>9</v>
      </c>
      <c r="F198" s="22">
        <v>1</v>
      </c>
      <c r="G198" s="22">
        <v>2</v>
      </c>
      <c r="H198" s="22">
        <v>2004</v>
      </c>
      <c r="I198" s="22" t="s">
        <v>47</v>
      </c>
      <c r="J198" s="20">
        <v>207</v>
      </c>
      <c r="K198" s="20">
        <f>Sales!$B198-Sales!$J198</f>
        <v>-107</v>
      </c>
      <c r="L198" s="23">
        <f>(Sales!$J198-Sales!$B198)/Sales!$J198</f>
        <v>0.51690821256038644</v>
      </c>
      <c r="M198" s="23" t="str">
        <f t="shared" si="3"/>
        <v>+20%</v>
      </c>
      <c r="N198" s="22" t="s">
        <v>100</v>
      </c>
      <c r="O198" s="22" t="s">
        <v>101</v>
      </c>
      <c r="P198" s="22" t="s">
        <v>17</v>
      </c>
      <c r="Q198" s="22" t="s">
        <v>39</v>
      </c>
    </row>
    <row r="199" spans="1:17" x14ac:dyDescent="0.3">
      <c r="A199" s="27">
        <v>42</v>
      </c>
      <c r="B199" s="24">
        <v>100</v>
      </c>
      <c r="C199" s="25">
        <f>Sales!$B199*Sales!$A199</f>
        <v>4200</v>
      </c>
      <c r="D199" s="26">
        <v>38065</v>
      </c>
      <c r="E199" s="27" t="s">
        <v>9</v>
      </c>
      <c r="F199" s="27">
        <v>1</v>
      </c>
      <c r="G199" s="27">
        <v>3</v>
      </c>
      <c r="H199" s="27">
        <v>2004</v>
      </c>
      <c r="I199" s="27" t="s">
        <v>47</v>
      </c>
      <c r="J199" s="25">
        <v>207</v>
      </c>
      <c r="K199" s="25">
        <f>Sales!$B199-Sales!$J199</f>
        <v>-107</v>
      </c>
      <c r="L199" s="28">
        <f>(Sales!$J199-Sales!$B199)/Sales!$J199</f>
        <v>0.51690821256038644</v>
      </c>
      <c r="M199" s="28" t="str">
        <f t="shared" si="3"/>
        <v>+20%</v>
      </c>
      <c r="N199" s="27" t="s">
        <v>45</v>
      </c>
      <c r="O199" s="27" t="s">
        <v>46</v>
      </c>
      <c r="P199" s="27" t="s">
        <v>17</v>
      </c>
      <c r="Q199" s="27" t="s">
        <v>39</v>
      </c>
    </row>
    <row r="200" spans="1:17" x14ac:dyDescent="0.3">
      <c r="A200" s="22">
        <v>44</v>
      </c>
      <c r="B200" s="19">
        <v>100</v>
      </c>
      <c r="C200" s="20">
        <f>Sales!$B200*Sales!$A200</f>
        <v>4400</v>
      </c>
      <c r="D200" s="21">
        <v>38112</v>
      </c>
      <c r="E200" s="22" t="s">
        <v>9</v>
      </c>
      <c r="F200" s="22">
        <v>2</v>
      </c>
      <c r="G200" s="22">
        <v>5</v>
      </c>
      <c r="H200" s="22">
        <v>2004</v>
      </c>
      <c r="I200" s="22" t="s">
        <v>47</v>
      </c>
      <c r="J200" s="20">
        <v>207</v>
      </c>
      <c r="K200" s="20">
        <f>Sales!$B200-Sales!$J200</f>
        <v>-107</v>
      </c>
      <c r="L200" s="23">
        <f>(Sales!$J200-Sales!$B200)/Sales!$J200</f>
        <v>0.51690821256038644</v>
      </c>
      <c r="M200" s="23" t="str">
        <f t="shared" si="3"/>
        <v>+20%</v>
      </c>
      <c r="N200" s="22" t="s">
        <v>99</v>
      </c>
      <c r="O200" s="22" t="s">
        <v>34</v>
      </c>
      <c r="P200" s="22" t="s">
        <v>17</v>
      </c>
      <c r="Q200" s="22" t="s">
        <v>39</v>
      </c>
    </row>
    <row r="201" spans="1:17" x14ac:dyDescent="0.3">
      <c r="A201" s="27">
        <v>35</v>
      </c>
      <c r="B201" s="24">
        <v>100</v>
      </c>
      <c r="C201" s="25">
        <f>Sales!$B201*Sales!$A201</f>
        <v>3500</v>
      </c>
      <c r="D201" s="26">
        <v>38188</v>
      </c>
      <c r="E201" s="27" t="s">
        <v>9</v>
      </c>
      <c r="F201" s="27">
        <v>3</v>
      </c>
      <c r="G201" s="27">
        <v>7</v>
      </c>
      <c r="H201" s="27">
        <v>2004</v>
      </c>
      <c r="I201" s="27" t="s">
        <v>47</v>
      </c>
      <c r="J201" s="25">
        <v>207</v>
      </c>
      <c r="K201" s="25">
        <f>Sales!$B201-Sales!$J201</f>
        <v>-107</v>
      </c>
      <c r="L201" s="28">
        <f>(Sales!$J201-Sales!$B201)/Sales!$J201</f>
        <v>0.51690821256038644</v>
      </c>
      <c r="M201" s="28" t="str">
        <f t="shared" si="3"/>
        <v>+20%</v>
      </c>
      <c r="N201" s="27" t="s">
        <v>36</v>
      </c>
      <c r="O201" s="27" t="s">
        <v>12</v>
      </c>
      <c r="P201" s="27" t="s">
        <v>13</v>
      </c>
      <c r="Q201" s="27" t="s">
        <v>19</v>
      </c>
    </row>
    <row r="202" spans="1:17" x14ac:dyDescent="0.3">
      <c r="A202" s="22">
        <v>41</v>
      </c>
      <c r="B202" s="19">
        <v>100</v>
      </c>
      <c r="C202" s="20">
        <f>Sales!$B202*Sales!$A202</f>
        <v>4100</v>
      </c>
      <c r="D202" s="21">
        <v>38219</v>
      </c>
      <c r="E202" s="22" t="s">
        <v>9</v>
      </c>
      <c r="F202" s="22">
        <v>3</v>
      </c>
      <c r="G202" s="22">
        <v>8</v>
      </c>
      <c r="H202" s="22">
        <v>2004</v>
      </c>
      <c r="I202" s="22" t="s">
        <v>47</v>
      </c>
      <c r="J202" s="20">
        <v>207</v>
      </c>
      <c r="K202" s="20">
        <f>Sales!$B202-Sales!$J202</f>
        <v>-107</v>
      </c>
      <c r="L202" s="23">
        <f>(Sales!$J202-Sales!$B202)/Sales!$J202</f>
        <v>0.51690821256038644</v>
      </c>
      <c r="M202" s="23" t="str">
        <f t="shared" si="3"/>
        <v>+20%</v>
      </c>
      <c r="N202" s="22" t="s">
        <v>64</v>
      </c>
      <c r="O202" s="22" t="s">
        <v>12</v>
      </c>
      <c r="P202" s="22" t="s">
        <v>13</v>
      </c>
      <c r="Q202" s="22" t="s">
        <v>39</v>
      </c>
    </row>
    <row r="203" spans="1:17" x14ac:dyDescent="0.3">
      <c r="A203" s="27">
        <v>46</v>
      </c>
      <c r="B203" s="24">
        <v>100</v>
      </c>
      <c r="C203" s="25">
        <f>Sales!$B203*Sales!$A203</f>
        <v>4600</v>
      </c>
      <c r="D203" s="26">
        <v>38239</v>
      </c>
      <c r="E203" s="27" t="s">
        <v>9</v>
      </c>
      <c r="F203" s="27">
        <v>3</v>
      </c>
      <c r="G203" s="27">
        <v>9</v>
      </c>
      <c r="H203" s="27">
        <v>2004</v>
      </c>
      <c r="I203" s="27" t="s">
        <v>47</v>
      </c>
      <c r="J203" s="25">
        <v>207</v>
      </c>
      <c r="K203" s="25">
        <f>Sales!$B203-Sales!$J203</f>
        <v>-107</v>
      </c>
      <c r="L203" s="28">
        <f>(Sales!$J203-Sales!$B203)/Sales!$J203</f>
        <v>0.51690821256038644</v>
      </c>
      <c r="M203" s="28" t="str">
        <f t="shared" si="3"/>
        <v>+20%</v>
      </c>
      <c r="N203" s="27" t="s">
        <v>60</v>
      </c>
      <c r="O203" s="27" t="s">
        <v>61</v>
      </c>
      <c r="P203" s="27" t="s">
        <v>17</v>
      </c>
      <c r="Q203" s="27" t="s">
        <v>39</v>
      </c>
    </row>
    <row r="204" spans="1:17" x14ac:dyDescent="0.3">
      <c r="A204" s="22">
        <v>31</v>
      </c>
      <c r="B204" s="19">
        <v>100</v>
      </c>
      <c r="C204" s="20">
        <f>Sales!$B204*Sales!$A204</f>
        <v>3100</v>
      </c>
      <c r="D204" s="21">
        <v>38274</v>
      </c>
      <c r="E204" s="22" t="s">
        <v>9</v>
      </c>
      <c r="F204" s="22">
        <v>4</v>
      </c>
      <c r="G204" s="22">
        <v>10</v>
      </c>
      <c r="H204" s="22">
        <v>2004</v>
      </c>
      <c r="I204" s="22" t="s">
        <v>47</v>
      </c>
      <c r="J204" s="20">
        <v>207</v>
      </c>
      <c r="K204" s="20">
        <f>Sales!$B204-Sales!$J204</f>
        <v>-107</v>
      </c>
      <c r="L204" s="23">
        <f>(Sales!$J204-Sales!$B204)/Sales!$J204</f>
        <v>0.51690821256038644</v>
      </c>
      <c r="M204" s="23" t="str">
        <f t="shared" si="3"/>
        <v>+20%</v>
      </c>
      <c r="N204" s="22" t="s">
        <v>102</v>
      </c>
      <c r="O204" s="22" t="s">
        <v>43</v>
      </c>
      <c r="P204" s="22" t="s">
        <v>17</v>
      </c>
      <c r="Q204" s="22" t="s">
        <v>19</v>
      </c>
    </row>
    <row r="205" spans="1:17" x14ac:dyDescent="0.3">
      <c r="A205" s="27">
        <v>38</v>
      </c>
      <c r="B205" s="24">
        <v>100</v>
      </c>
      <c r="C205" s="25">
        <f>Sales!$B205*Sales!$A205</f>
        <v>3800</v>
      </c>
      <c r="D205" s="26">
        <v>38282</v>
      </c>
      <c r="E205" s="27" t="s">
        <v>9</v>
      </c>
      <c r="F205" s="27">
        <v>4</v>
      </c>
      <c r="G205" s="27">
        <v>10</v>
      </c>
      <c r="H205" s="27">
        <v>2004</v>
      </c>
      <c r="I205" s="27" t="s">
        <v>47</v>
      </c>
      <c r="J205" s="25">
        <v>207</v>
      </c>
      <c r="K205" s="25">
        <f>Sales!$B205-Sales!$J205</f>
        <v>-107</v>
      </c>
      <c r="L205" s="28">
        <f>(Sales!$J205-Sales!$B205)/Sales!$J205</f>
        <v>0.51690821256038644</v>
      </c>
      <c r="M205" s="28" t="str">
        <f t="shared" si="3"/>
        <v>+20%</v>
      </c>
      <c r="N205" s="27" t="s">
        <v>103</v>
      </c>
      <c r="O205" s="27" t="s">
        <v>73</v>
      </c>
      <c r="P205" s="27" t="s">
        <v>17</v>
      </c>
      <c r="Q205" s="27" t="s">
        <v>39</v>
      </c>
    </row>
    <row r="206" spans="1:17" x14ac:dyDescent="0.3">
      <c r="A206" s="22">
        <v>42</v>
      </c>
      <c r="B206" s="19">
        <v>64</v>
      </c>
      <c r="C206" s="20">
        <f>Sales!$B206*Sales!$A206</f>
        <v>2688</v>
      </c>
      <c r="D206" s="21">
        <v>38296</v>
      </c>
      <c r="E206" s="22" t="s">
        <v>9</v>
      </c>
      <c r="F206" s="22">
        <v>4</v>
      </c>
      <c r="G206" s="22">
        <v>11</v>
      </c>
      <c r="H206" s="22">
        <v>2004</v>
      </c>
      <c r="I206" s="22" t="s">
        <v>47</v>
      </c>
      <c r="J206" s="20">
        <v>207</v>
      </c>
      <c r="K206" s="20">
        <f>Sales!$B206-Sales!$J206</f>
        <v>-143</v>
      </c>
      <c r="L206" s="23">
        <f>(Sales!$J206-Sales!$B206)/Sales!$J206</f>
        <v>0.6908212560386473</v>
      </c>
      <c r="M206" s="23" t="str">
        <f t="shared" si="3"/>
        <v>+20%</v>
      </c>
      <c r="N206" s="22" t="s">
        <v>35</v>
      </c>
      <c r="O206" s="22" t="s">
        <v>25</v>
      </c>
      <c r="P206" s="22" t="s">
        <v>17</v>
      </c>
      <c r="Q206" s="22" t="s">
        <v>14</v>
      </c>
    </row>
    <row r="207" spans="1:17" x14ac:dyDescent="0.3">
      <c r="A207" s="27">
        <v>33</v>
      </c>
      <c r="B207" s="24">
        <v>57.22</v>
      </c>
      <c r="C207" s="25">
        <f>Sales!$B207*Sales!$A207</f>
        <v>1888.26</v>
      </c>
      <c r="D207" s="26">
        <v>38311</v>
      </c>
      <c r="E207" s="27" t="s">
        <v>9</v>
      </c>
      <c r="F207" s="27">
        <v>4</v>
      </c>
      <c r="G207" s="27">
        <v>11</v>
      </c>
      <c r="H207" s="27">
        <v>2004</v>
      </c>
      <c r="I207" s="27" t="s">
        <v>47</v>
      </c>
      <c r="J207" s="25">
        <v>207</v>
      </c>
      <c r="K207" s="25">
        <f>Sales!$B207-Sales!$J207</f>
        <v>-149.78</v>
      </c>
      <c r="L207" s="28">
        <f>(Sales!$J207-Sales!$B207)/Sales!$J207</f>
        <v>0.7235748792270531</v>
      </c>
      <c r="M207" s="28" t="str">
        <f t="shared" si="3"/>
        <v>+20%</v>
      </c>
      <c r="N207" s="27" t="s">
        <v>18</v>
      </c>
      <c r="O207" s="27" t="s">
        <v>16</v>
      </c>
      <c r="P207" s="27" t="s">
        <v>17</v>
      </c>
      <c r="Q207" s="27" t="s">
        <v>14</v>
      </c>
    </row>
    <row r="208" spans="1:17" x14ac:dyDescent="0.3">
      <c r="A208" s="22">
        <v>48</v>
      </c>
      <c r="B208" s="19">
        <v>52.36</v>
      </c>
      <c r="C208" s="20">
        <f>Sales!$B208*Sales!$A208</f>
        <v>2513.2799999999997</v>
      </c>
      <c r="D208" s="21">
        <v>38292</v>
      </c>
      <c r="E208" s="22" t="s">
        <v>9</v>
      </c>
      <c r="F208" s="22">
        <v>4</v>
      </c>
      <c r="G208" s="22">
        <v>11</v>
      </c>
      <c r="H208" s="22">
        <v>2004</v>
      </c>
      <c r="I208" s="22" t="s">
        <v>47</v>
      </c>
      <c r="J208" s="20">
        <v>207</v>
      </c>
      <c r="K208" s="20">
        <f>Sales!$B208-Sales!$J208</f>
        <v>-154.63999999999999</v>
      </c>
      <c r="L208" s="23">
        <f>(Sales!$J208-Sales!$B208)/Sales!$J208</f>
        <v>0.74705314009661827</v>
      </c>
      <c r="M208" s="23" t="str">
        <f t="shared" si="3"/>
        <v>+20%</v>
      </c>
      <c r="N208" s="22" t="s">
        <v>45</v>
      </c>
      <c r="O208" s="22" t="s">
        <v>46</v>
      </c>
      <c r="P208" s="22" t="s">
        <v>17</v>
      </c>
      <c r="Q208" s="22" t="s">
        <v>14</v>
      </c>
    </row>
    <row r="209" spans="1:17" x14ac:dyDescent="0.3">
      <c r="A209" s="27">
        <v>42</v>
      </c>
      <c r="B209" s="24">
        <v>100</v>
      </c>
      <c r="C209" s="25">
        <f>Sales!$B209*Sales!$A209</f>
        <v>4200</v>
      </c>
      <c r="D209" s="26">
        <v>38336</v>
      </c>
      <c r="E209" s="27" t="s">
        <v>9</v>
      </c>
      <c r="F209" s="27">
        <v>4</v>
      </c>
      <c r="G209" s="27">
        <v>12</v>
      </c>
      <c r="H209" s="27">
        <v>2004</v>
      </c>
      <c r="I209" s="27" t="s">
        <v>47</v>
      </c>
      <c r="J209" s="25">
        <v>207</v>
      </c>
      <c r="K209" s="25">
        <f>Sales!$B209-Sales!$J209</f>
        <v>-107</v>
      </c>
      <c r="L209" s="28">
        <f>(Sales!$J209-Sales!$B209)/Sales!$J209</f>
        <v>0.51690821256038644</v>
      </c>
      <c r="M209" s="28" t="str">
        <f t="shared" si="3"/>
        <v>+20%</v>
      </c>
      <c r="N209" s="27" t="s">
        <v>15</v>
      </c>
      <c r="O209" s="27" t="s">
        <v>16</v>
      </c>
      <c r="P209" s="27" t="s">
        <v>17</v>
      </c>
      <c r="Q209" s="27" t="s">
        <v>19</v>
      </c>
    </row>
    <row r="210" spans="1:17" x14ac:dyDescent="0.3">
      <c r="A210" s="22">
        <v>32</v>
      </c>
      <c r="B210" s="19">
        <v>100</v>
      </c>
      <c r="C210" s="20">
        <f>Sales!$B210*Sales!$A210</f>
        <v>3200</v>
      </c>
      <c r="D210" s="21">
        <v>38375</v>
      </c>
      <c r="E210" s="22" t="s">
        <v>9</v>
      </c>
      <c r="F210" s="22">
        <v>1</v>
      </c>
      <c r="G210" s="22">
        <v>1</v>
      </c>
      <c r="H210" s="22">
        <v>2005</v>
      </c>
      <c r="I210" s="22" t="s">
        <v>47</v>
      </c>
      <c r="J210" s="20">
        <v>207</v>
      </c>
      <c r="K210" s="20">
        <f>Sales!$B210-Sales!$J210</f>
        <v>-107</v>
      </c>
      <c r="L210" s="23">
        <f>(Sales!$J210-Sales!$B210)/Sales!$J210</f>
        <v>0.51690821256038644</v>
      </c>
      <c r="M210" s="23" t="str">
        <f t="shared" si="3"/>
        <v>+20%</v>
      </c>
      <c r="N210" s="22" t="s">
        <v>64</v>
      </c>
      <c r="O210" s="22" t="s">
        <v>12</v>
      </c>
      <c r="P210" s="22" t="s">
        <v>13</v>
      </c>
      <c r="Q210" s="22" t="s">
        <v>19</v>
      </c>
    </row>
    <row r="211" spans="1:17" x14ac:dyDescent="0.3">
      <c r="A211" s="27">
        <v>34</v>
      </c>
      <c r="B211" s="24">
        <v>100</v>
      </c>
      <c r="C211" s="25">
        <f>Sales!$B211*Sales!$A211</f>
        <v>3400</v>
      </c>
      <c r="D211" s="26">
        <v>38400</v>
      </c>
      <c r="E211" s="27" t="s">
        <v>9</v>
      </c>
      <c r="F211" s="27">
        <v>1</v>
      </c>
      <c r="G211" s="27">
        <v>2</v>
      </c>
      <c r="H211" s="27">
        <v>2005</v>
      </c>
      <c r="I211" s="27" t="s">
        <v>47</v>
      </c>
      <c r="J211" s="25">
        <v>207</v>
      </c>
      <c r="K211" s="25">
        <f>Sales!$B211-Sales!$J211</f>
        <v>-107</v>
      </c>
      <c r="L211" s="28">
        <f>(Sales!$J211-Sales!$B211)/Sales!$J211</f>
        <v>0.51690821256038644</v>
      </c>
      <c r="M211" s="28" t="str">
        <f t="shared" si="3"/>
        <v>+20%</v>
      </c>
      <c r="N211" s="27" t="s">
        <v>64</v>
      </c>
      <c r="O211" s="27" t="s">
        <v>12</v>
      </c>
      <c r="P211" s="27" t="s">
        <v>13</v>
      </c>
      <c r="Q211" s="27" t="s">
        <v>19</v>
      </c>
    </row>
    <row r="212" spans="1:17" x14ac:dyDescent="0.3">
      <c r="A212" s="22">
        <v>33</v>
      </c>
      <c r="B212" s="19">
        <v>69.12</v>
      </c>
      <c r="C212" s="20">
        <f>Sales!$B212*Sales!$A212</f>
        <v>2280.96</v>
      </c>
      <c r="D212" s="21">
        <v>38428</v>
      </c>
      <c r="E212" s="22" t="s">
        <v>9</v>
      </c>
      <c r="F212" s="22">
        <v>1</v>
      </c>
      <c r="G212" s="22">
        <v>3</v>
      </c>
      <c r="H212" s="22">
        <v>2005</v>
      </c>
      <c r="I212" s="22" t="s">
        <v>47</v>
      </c>
      <c r="J212" s="20">
        <v>207</v>
      </c>
      <c r="K212" s="20">
        <f>Sales!$B212-Sales!$J212</f>
        <v>-137.88</v>
      </c>
      <c r="L212" s="23">
        <f>(Sales!$J212-Sales!$B212)/Sales!$J212</f>
        <v>0.6660869565217391</v>
      </c>
      <c r="M212" s="23" t="str">
        <f t="shared" si="3"/>
        <v>+20%</v>
      </c>
      <c r="N212" s="22" t="s">
        <v>18</v>
      </c>
      <c r="O212" s="22" t="s">
        <v>16</v>
      </c>
      <c r="P212" s="22" t="s">
        <v>17</v>
      </c>
      <c r="Q212" s="22" t="s">
        <v>14</v>
      </c>
    </row>
    <row r="213" spans="1:17" x14ac:dyDescent="0.3">
      <c r="A213" s="27">
        <v>36</v>
      </c>
      <c r="B213" s="24">
        <v>100</v>
      </c>
      <c r="C213" s="25">
        <f>Sales!$B213*Sales!$A213</f>
        <v>3600</v>
      </c>
      <c r="D213" s="26">
        <v>38477</v>
      </c>
      <c r="E213" s="27" t="s">
        <v>9</v>
      </c>
      <c r="F213" s="27">
        <v>2</v>
      </c>
      <c r="G213" s="27">
        <v>5</v>
      </c>
      <c r="H213" s="27">
        <v>2005</v>
      </c>
      <c r="I213" s="27" t="s">
        <v>47</v>
      </c>
      <c r="J213" s="25">
        <v>207</v>
      </c>
      <c r="K213" s="25">
        <f>Sales!$B213-Sales!$J213</f>
        <v>-107</v>
      </c>
      <c r="L213" s="28">
        <f>(Sales!$J213-Sales!$B213)/Sales!$J213</f>
        <v>0.51690821256038644</v>
      </c>
      <c r="M213" s="28" t="str">
        <f t="shared" si="3"/>
        <v>+20%</v>
      </c>
      <c r="N213" s="27" t="s">
        <v>30</v>
      </c>
      <c r="O213" s="27" t="s">
        <v>12</v>
      </c>
      <c r="P213" s="27" t="s">
        <v>13</v>
      </c>
      <c r="Q213" s="27" t="s">
        <v>39</v>
      </c>
    </row>
    <row r="214" spans="1:17" x14ac:dyDescent="0.3">
      <c r="A214" s="22">
        <v>27</v>
      </c>
      <c r="B214" s="19">
        <v>100</v>
      </c>
      <c r="C214" s="20">
        <f>Sales!$B214*Sales!$A214</f>
        <v>2700</v>
      </c>
      <c r="D214" s="21">
        <v>37650</v>
      </c>
      <c r="E214" s="22" t="s">
        <v>9</v>
      </c>
      <c r="F214" s="22">
        <v>1</v>
      </c>
      <c r="G214" s="22">
        <v>1</v>
      </c>
      <c r="H214" s="22">
        <v>2003</v>
      </c>
      <c r="I214" s="22" t="s">
        <v>104</v>
      </c>
      <c r="J214" s="20">
        <v>136</v>
      </c>
      <c r="K214" s="20">
        <f>Sales!$B214-Sales!$J214</f>
        <v>-36</v>
      </c>
      <c r="L214" s="23">
        <f>(Sales!$J214-Sales!$B214)/Sales!$J214</f>
        <v>0.26470588235294118</v>
      </c>
      <c r="M214" s="23" t="str">
        <f t="shared" si="3"/>
        <v>+20%</v>
      </c>
      <c r="N214" s="22" t="s">
        <v>35</v>
      </c>
      <c r="O214" s="22" t="s">
        <v>25</v>
      </c>
      <c r="P214" s="22" t="s">
        <v>17</v>
      </c>
      <c r="Q214" s="22" t="s">
        <v>19</v>
      </c>
    </row>
    <row r="215" spans="1:17" x14ac:dyDescent="0.3">
      <c r="A215" s="27">
        <v>21</v>
      </c>
      <c r="B215" s="24">
        <v>100</v>
      </c>
      <c r="C215" s="25">
        <f>Sales!$B215*Sales!$A215</f>
        <v>2100</v>
      </c>
      <c r="D215" s="26">
        <v>37706</v>
      </c>
      <c r="E215" s="27" t="s">
        <v>9</v>
      </c>
      <c r="F215" s="27">
        <v>1</v>
      </c>
      <c r="G215" s="27">
        <v>3</v>
      </c>
      <c r="H215" s="27">
        <v>2003</v>
      </c>
      <c r="I215" s="27" t="s">
        <v>104</v>
      </c>
      <c r="J215" s="25">
        <v>136</v>
      </c>
      <c r="K215" s="25">
        <f>Sales!$B215-Sales!$J215</f>
        <v>-36</v>
      </c>
      <c r="L215" s="28">
        <f>(Sales!$J215-Sales!$B215)/Sales!$J215</f>
        <v>0.26470588235294118</v>
      </c>
      <c r="M215" s="28" t="str">
        <f t="shared" si="3"/>
        <v>+20%</v>
      </c>
      <c r="N215" s="27" t="s">
        <v>64</v>
      </c>
      <c r="O215" s="27" t="s">
        <v>12</v>
      </c>
      <c r="P215" s="27" t="s">
        <v>13</v>
      </c>
      <c r="Q215" s="27" t="s">
        <v>19</v>
      </c>
    </row>
    <row r="216" spans="1:17" x14ac:dyDescent="0.3">
      <c r="A216" s="22">
        <v>21</v>
      </c>
      <c r="B216" s="19">
        <v>100</v>
      </c>
      <c r="C216" s="20">
        <f>Sales!$B216*Sales!$A216</f>
        <v>2100</v>
      </c>
      <c r="D216" s="21">
        <v>37769</v>
      </c>
      <c r="E216" s="22" t="s">
        <v>9</v>
      </c>
      <c r="F216" s="22">
        <v>2</v>
      </c>
      <c r="G216" s="22">
        <v>5</v>
      </c>
      <c r="H216" s="22">
        <v>2003</v>
      </c>
      <c r="I216" s="22" t="s">
        <v>104</v>
      </c>
      <c r="J216" s="20">
        <v>136</v>
      </c>
      <c r="K216" s="20">
        <f>Sales!$B216-Sales!$J216</f>
        <v>-36</v>
      </c>
      <c r="L216" s="23">
        <f>(Sales!$J216-Sales!$B216)/Sales!$J216</f>
        <v>0.26470588235294118</v>
      </c>
      <c r="M216" s="23" t="str">
        <f t="shared" si="3"/>
        <v>+20%</v>
      </c>
      <c r="N216" s="22" t="s">
        <v>45</v>
      </c>
      <c r="O216" s="22" t="s">
        <v>46</v>
      </c>
      <c r="P216" s="22" t="s">
        <v>17</v>
      </c>
      <c r="Q216" s="22" t="s">
        <v>14</v>
      </c>
    </row>
    <row r="217" spans="1:17" x14ac:dyDescent="0.3">
      <c r="A217" s="27">
        <v>38</v>
      </c>
      <c r="B217" s="24">
        <v>100</v>
      </c>
      <c r="C217" s="25">
        <f>Sales!$B217*Sales!$A217</f>
        <v>3800</v>
      </c>
      <c r="D217" s="26">
        <v>37826</v>
      </c>
      <c r="E217" s="27" t="s">
        <v>9</v>
      </c>
      <c r="F217" s="27">
        <v>3</v>
      </c>
      <c r="G217" s="27">
        <v>7</v>
      </c>
      <c r="H217" s="27">
        <v>2003</v>
      </c>
      <c r="I217" s="27" t="s">
        <v>104</v>
      </c>
      <c r="J217" s="25">
        <v>136</v>
      </c>
      <c r="K217" s="25">
        <f>Sales!$B217-Sales!$J217</f>
        <v>-36</v>
      </c>
      <c r="L217" s="28">
        <f>(Sales!$J217-Sales!$B217)/Sales!$J217</f>
        <v>0.26470588235294118</v>
      </c>
      <c r="M217" s="28" t="str">
        <f t="shared" si="3"/>
        <v>+20%</v>
      </c>
      <c r="N217" s="27" t="s">
        <v>22</v>
      </c>
      <c r="O217" s="27" t="s">
        <v>12</v>
      </c>
      <c r="P217" s="27" t="s">
        <v>13</v>
      </c>
      <c r="Q217" s="27" t="s">
        <v>19</v>
      </c>
    </row>
    <row r="218" spans="1:17" x14ac:dyDescent="0.3">
      <c r="A218" s="22">
        <v>30</v>
      </c>
      <c r="B218" s="19">
        <v>100</v>
      </c>
      <c r="C218" s="20">
        <f>Sales!$B218*Sales!$A218</f>
        <v>3000</v>
      </c>
      <c r="D218" s="21">
        <v>37883</v>
      </c>
      <c r="E218" s="22" t="s">
        <v>9</v>
      </c>
      <c r="F218" s="22">
        <v>3</v>
      </c>
      <c r="G218" s="22">
        <v>9</v>
      </c>
      <c r="H218" s="22">
        <v>2003</v>
      </c>
      <c r="I218" s="22" t="s">
        <v>104</v>
      </c>
      <c r="J218" s="20">
        <v>136</v>
      </c>
      <c r="K218" s="20">
        <f>Sales!$B218-Sales!$J218</f>
        <v>-36</v>
      </c>
      <c r="L218" s="23">
        <f>(Sales!$J218-Sales!$B218)/Sales!$J218</f>
        <v>0.26470588235294118</v>
      </c>
      <c r="M218" s="23" t="str">
        <f t="shared" si="3"/>
        <v>+20%</v>
      </c>
      <c r="N218" s="22" t="s">
        <v>50</v>
      </c>
      <c r="O218" s="22" t="s">
        <v>50</v>
      </c>
      <c r="P218" s="22" t="s">
        <v>28</v>
      </c>
      <c r="Q218" s="22" t="s">
        <v>19</v>
      </c>
    </row>
    <row r="219" spans="1:17" x14ac:dyDescent="0.3">
      <c r="A219" s="27">
        <v>49</v>
      </c>
      <c r="B219" s="24">
        <v>100</v>
      </c>
      <c r="C219" s="25">
        <f>Sales!$B219*Sales!$A219</f>
        <v>4900</v>
      </c>
      <c r="D219" s="26">
        <v>37915</v>
      </c>
      <c r="E219" s="27" t="s">
        <v>88</v>
      </c>
      <c r="F219" s="27">
        <v>4</v>
      </c>
      <c r="G219" s="27">
        <v>10</v>
      </c>
      <c r="H219" s="27">
        <v>2003</v>
      </c>
      <c r="I219" s="27" t="s">
        <v>104</v>
      </c>
      <c r="J219" s="25">
        <v>136</v>
      </c>
      <c r="K219" s="25">
        <f>Sales!$B219-Sales!$J219</f>
        <v>-36</v>
      </c>
      <c r="L219" s="28">
        <f>(Sales!$J219-Sales!$B219)/Sales!$J219</f>
        <v>0.26470588235294118</v>
      </c>
      <c r="M219" s="28" t="str">
        <f t="shared" si="3"/>
        <v>+20%</v>
      </c>
      <c r="N219" s="27" t="s">
        <v>89</v>
      </c>
      <c r="O219" s="27" t="s">
        <v>38</v>
      </c>
      <c r="P219" s="27" t="s">
        <v>17</v>
      </c>
      <c r="Q219" s="27" t="s">
        <v>19</v>
      </c>
    </row>
    <row r="220" spans="1:17" x14ac:dyDescent="0.3">
      <c r="A220" s="22">
        <v>43</v>
      </c>
      <c r="B220" s="19">
        <v>100</v>
      </c>
      <c r="C220" s="20">
        <f>Sales!$B220*Sales!$A220</f>
        <v>4300</v>
      </c>
      <c r="D220" s="21">
        <v>37931</v>
      </c>
      <c r="E220" s="22" t="s">
        <v>9</v>
      </c>
      <c r="F220" s="22">
        <v>4</v>
      </c>
      <c r="G220" s="22">
        <v>11</v>
      </c>
      <c r="H220" s="22">
        <v>2003</v>
      </c>
      <c r="I220" s="22" t="s">
        <v>104</v>
      </c>
      <c r="J220" s="20">
        <v>136</v>
      </c>
      <c r="K220" s="20">
        <f>Sales!$B220-Sales!$J220</f>
        <v>-36</v>
      </c>
      <c r="L220" s="23">
        <f>(Sales!$J220-Sales!$B220)/Sales!$J220</f>
        <v>0.26470588235294118</v>
      </c>
      <c r="M220" s="23" t="str">
        <f t="shared" si="3"/>
        <v>+20%</v>
      </c>
      <c r="N220" s="22" t="s">
        <v>52</v>
      </c>
      <c r="O220" s="22" t="s">
        <v>27</v>
      </c>
      <c r="P220" s="22" t="s">
        <v>28</v>
      </c>
      <c r="Q220" s="22" t="s">
        <v>19</v>
      </c>
    </row>
    <row r="221" spans="1:17" x14ac:dyDescent="0.3">
      <c r="A221" s="27">
        <v>41</v>
      </c>
      <c r="B221" s="24">
        <v>100</v>
      </c>
      <c r="C221" s="25">
        <f>Sales!$B221*Sales!$A221</f>
        <v>4100</v>
      </c>
      <c r="D221" s="26">
        <v>37938</v>
      </c>
      <c r="E221" s="27" t="s">
        <v>9</v>
      </c>
      <c r="F221" s="27">
        <v>4</v>
      </c>
      <c r="G221" s="27">
        <v>11</v>
      </c>
      <c r="H221" s="27">
        <v>2003</v>
      </c>
      <c r="I221" s="27" t="s">
        <v>104</v>
      </c>
      <c r="J221" s="25">
        <v>136</v>
      </c>
      <c r="K221" s="25">
        <f>Sales!$B221-Sales!$J221</f>
        <v>-36</v>
      </c>
      <c r="L221" s="28">
        <f>(Sales!$J221-Sales!$B221)/Sales!$J221</f>
        <v>0.26470588235294118</v>
      </c>
      <c r="M221" s="28" t="str">
        <f t="shared" si="3"/>
        <v>+20%</v>
      </c>
      <c r="N221" s="27" t="s">
        <v>53</v>
      </c>
      <c r="O221" s="27" t="s">
        <v>12</v>
      </c>
      <c r="P221" s="27" t="s">
        <v>13</v>
      </c>
      <c r="Q221" s="27" t="s">
        <v>19</v>
      </c>
    </row>
    <row r="222" spans="1:17" x14ac:dyDescent="0.3">
      <c r="A222" s="22">
        <v>38</v>
      </c>
      <c r="B222" s="19">
        <v>100</v>
      </c>
      <c r="C222" s="20">
        <f>Sales!$B222*Sales!$A222</f>
        <v>3800</v>
      </c>
      <c r="D222" s="21">
        <v>37950</v>
      </c>
      <c r="E222" s="22" t="s">
        <v>9</v>
      </c>
      <c r="F222" s="22">
        <v>4</v>
      </c>
      <c r="G222" s="22">
        <v>11</v>
      </c>
      <c r="H222" s="22">
        <v>2003</v>
      </c>
      <c r="I222" s="22" t="s">
        <v>104</v>
      </c>
      <c r="J222" s="20">
        <v>136</v>
      </c>
      <c r="K222" s="20">
        <f>Sales!$B222-Sales!$J222</f>
        <v>-36</v>
      </c>
      <c r="L222" s="23">
        <f>(Sales!$J222-Sales!$B222)/Sales!$J222</f>
        <v>0.26470588235294118</v>
      </c>
      <c r="M222" s="23" t="str">
        <f t="shared" si="3"/>
        <v>+20%</v>
      </c>
      <c r="N222" s="22" t="s">
        <v>54</v>
      </c>
      <c r="O222" s="22" t="s">
        <v>16</v>
      </c>
      <c r="P222" s="22" t="s">
        <v>17</v>
      </c>
      <c r="Q222" s="22" t="s">
        <v>19</v>
      </c>
    </row>
    <row r="223" spans="1:17" x14ac:dyDescent="0.3">
      <c r="A223" s="27">
        <v>28</v>
      </c>
      <c r="B223" s="24">
        <v>100</v>
      </c>
      <c r="C223" s="25">
        <f>Sales!$B223*Sales!$A223</f>
        <v>2800</v>
      </c>
      <c r="D223" s="26">
        <v>37960</v>
      </c>
      <c r="E223" s="27" t="s">
        <v>9</v>
      </c>
      <c r="F223" s="27">
        <v>4</v>
      </c>
      <c r="G223" s="27">
        <v>12</v>
      </c>
      <c r="H223" s="27">
        <v>2003</v>
      </c>
      <c r="I223" s="27" t="s">
        <v>104</v>
      </c>
      <c r="J223" s="25">
        <v>136</v>
      </c>
      <c r="K223" s="25">
        <f>Sales!$B223-Sales!$J223</f>
        <v>-36</v>
      </c>
      <c r="L223" s="28">
        <f>(Sales!$J223-Sales!$B223)/Sales!$J223</f>
        <v>0.26470588235294118</v>
      </c>
      <c r="M223" s="28" t="str">
        <f t="shared" si="3"/>
        <v>+20%</v>
      </c>
      <c r="N223" s="27" t="s">
        <v>55</v>
      </c>
      <c r="O223" s="27" t="s">
        <v>56</v>
      </c>
      <c r="P223" s="27" t="s">
        <v>13</v>
      </c>
      <c r="Q223" s="27" t="s">
        <v>19</v>
      </c>
    </row>
    <row r="224" spans="1:17" x14ac:dyDescent="0.3">
      <c r="A224" s="22">
        <v>43</v>
      </c>
      <c r="B224" s="19">
        <v>100</v>
      </c>
      <c r="C224" s="20">
        <f>Sales!$B224*Sales!$A224</f>
        <v>4300</v>
      </c>
      <c r="D224" s="21">
        <v>38019</v>
      </c>
      <c r="E224" s="22" t="s">
        <v>9</v>
      </c>
      <c r="F224" s="22">
        <v>1</v>
      </c>
      <c r="G224" s="22">
        <v>2</v>
      </c>
      <c r="H224" s="22">
        <v>2004</v>
      </c>
      <c r="I224" s="22" t="s">
        <v>104</v>
      </c>
      <c r="J224" s="20">
        <v>136</v>
      </c>
      <c r="K224" s="20">
        <f>Sales!$B224-Sales!$J224</f>
        <v>-36</v>
      </c>
      <c r="L224" s="23">
        <f>(Sales!$J224-Sales!$B224)/Sales!$J224</f>
        <v>0.26470588235294118</v>
      </c>
      <c r="M224" s="23" t="str">
        <f t="shared" si="3"/>
        <v>+20%</v>
      </c>
      <c r="N224" s="22" t="s">
        <v>63</v>
      </c>
      <c r="O224" s="22" t="s">
        <v>16</v>
      </c>
      <c r="P224" s="22" t="s">
        <v>17</v>
      </c>
      <c r="Q224" s="22" t="s">
        <v>19</v>
      </c>
    </row>
    <row r="225" spans="1:17" x14ac:dyDescent="0.3">
      <c r="A225" s="27">
        <v>25</v>
      </c>
      <c r="B225" s="24">
        <v>100</v>
      </c>
      <c r="C225" s="25">
        <f>Sales!$B225*Sales!$A225</f>
        <v>2500</v>
      </c>
      <c r="D225" s="26">
        <v>38057</v>
      </c>
      <c r="E225" s="27" t="s">
        <v>9</v>
      </c>
      <c r="F225" s="27">
        <v>1</v>
      </c>
      <c r="G225" s="27">
        <v>3</v>
      </c>
      <c r="H225" s="27">
        <v>2004</v>
      </c>
      <c r="I225" s="27" t="s">
        <v>104</v>
      </c>
      <c r="J225" s="25">
        <v>136</v>
      </c>
      <c r="K225" s="25">
        <f>Sales!$B225-Sales!$J225</f>
        <v>-36</v>
      </c>
      <c r="L225" s="28">
        <f>(Sales!$J225-Sales!$B225)/Sales!$J225</f>
        <v>0.26470588235294118</v>
      </c>
      <c r="M225" s="28" t="str">
        <f t="shared" si="3"/>
        <v>+20%</v>
      </c>
      <c r="N225" s="27" t="s">
        <v>64</v>
      </c>
      <c r="O225" s="27" t="s">
        <v>12</v>
      </c>
      <c r="P225" s="27" t="s">
        <v>13</v>
      </c>
      <c r="Q225" s="27" t="s">
        <v>19</v>
      </c>
    </row>
    <row r="226" spans="1:17" x14ac:dyDescent="0.3">
      <c r="A226" s="22">
        <v>38</v>
      </c>
      <c r="B226" s="19">
        <v>100</v>
      </c>
      <c r="C226" s="20">
        <f>Sales!$B226*Sales!$A226</f>
        <v>3800</v>
      </c>
      <c r="D226" s="21">
        <v>38111</v>
      </c>
      <c r="E226" s="22" t="s">
        <v>9</v>
      </c>
      <c r="F226" s="22">
        <v>2</v>
      </c>
      <c r="G226" s="22">
        <v>5</v>
      </c>
      <c r="H226" s="22">
        <v>2004</v>
      </c>
      <c r="I226" s="22" t="s">
        <v>104</v>
      </c>
      <c r="J226" s="20">
        <v>136</v>
      </c>
      <c r="K226" s="20">
        <f>Sales!$B226-Sales!$J226</f>
        <v>-36</v>
      </c>
      <c r="L226" s="23">
        <f>(Sales!$J226-Sales!$B226)/Sales!$J226</f>
        <v>0.26470588235294118</v>
      </c>
      <c r="M226" s="23" t="str">
        <f t="shared" si="3"/>
        <v>+20%</v>
      </c>
      <c r="N226" s="22" t="s">
        <v>58</v>
      </c>
      <c r="O226" s="22" t="s">
        <v>12</v>
      </c>
      <c r="P226" s="22" t="s">
        <v>13</v>
      </c>
      <c r="Q226" s="22" t="s">
        <v>19</v>
      </c>
    </row>
    <row r="227" spans="1:17" x14ac:dyDescent="0.3">
      <c r="A227" s="27">
        <v>41</v>
      </c>
      <c r="B227" s="24">
        <v>100</v>
      </c>
      <c r="C227" s="25">
        <f>Sales!$B227*Sales!$A227</f>
        <v>4100</v>
      </c>
      <c r="D227" s="26">
        <v>38153</v>
      </c>
      <c r="E227" s="27" t="s">
        <v>9</v>
      </c>
      <c r="F227" s="27">
        <v>2</v>
      </c>
      <c r="G227" s="27">
        <v>6</v>
      </c>
      <c r="H227" s="27">
        <v>2004</v>
      </c>
      <c r="I227" s="27" t="s">
        <v>104</v>
      </c>
      <c r="J227" s="25">
        <v>136</v>
      </c>
      <c r="K227" s="25">
        <f>Sales!$B227-Sales!$J227</f>
        <v>-36</v>
      </c>
      <c r="L227" s="28">
        <f>(Sales!$J227-Sales!$B227)/Sales!$J227</f>
        <v>0.26470588235294118</v>
      </c>
      <c r="M227" s="28" t="str">
        <f t="shared" si="3"/>
        <v>+20%</v>
      </c>
      <c r="N227" s="27" t="s">
        <v>59</v>
      </c>
      <c r="O227" s="27" t="s">
        <v>51</v>
      </c>
      <c r="P227" s="27" t="s">
        <v>51</v>
      </c>
      <c r="Q227" s="27" t="s">
        <v>19</v>
      </c>
    </row>
    <row r="228" spans="1:17" x14ac:dyDescent="0.3">
      <c r="A228" s="22">
        <v>28</v>
      </c>
      <c r="B228" s="19">
        <v>100</v>
      </c>
      <c r="C228" s="20">
        <f>Sales!$B228*Sales!$A228</f>
        <v>2800</v>
      </c>
      <c r="D228" s="21">
        <v>38187</v>
      </c>
      <c r="E228" s="22" t="s">
        <v>9</v>
      </c>
      <c r="F228" s="22">
        <v>3</v>
      </c>
      <c r="G228" s="22">
        <v>7</v>
      </c>
      <c r="H228" s="22">
        <v>2004</v>
      </c>
      <c r="I228" s="22" t="s">
        <v>104</v>
      </c>
      <c r="J228" s="20">
        <v>136</v>
      </c>
      <c r="K228" s="20">
        <f>Sales!$B228-Sales!$J228</f>
        <v>-36</v>
      </c>
      <c r="L228" s="23">
        <f>(Sales!$J228-Sales!$B228)/Sales!$J228</f>
        <v>0.26470588235294118</v>
      </c>
      <c r="M228" s="23" t="str">
        <f t="shared" si="3"/>
        <v>+20%</v>
      </c>
      <c r="N228" s="22" t="s">
        <v>40</v>
      </c>
      <c r="O228" s="22" t="s">
        <v>27</v>
      </c>
      <c r="P228" s="22" t="s">
        <v>28</v>
      </c>
      <c r="Q228" s="22" t="s">
        <v>19</v>
      </c>
    </row>
    <row r="229" spans="1:17" x14ac:dyDescent="0.3">
      <c r="A229" s="27">
        <v>25</v>
      </c>
      <c r="B229" s="24">
        <v>100</v>
      </c>
      <c r="C229" s="25">
        <f>Sales!$B229*Sales!$A229</f>
        <v>2500</v>
      </c>
      <c r="D229" s="26">
        <v>38218</v>
      </c>
      <c r="E229" s="27" t="s">
        <v>9</v>
      </c>
      <c r="F229" s="27">
        <v>3</v>
      </c>
      <c r="G229" s="27">
        <v>8</v>
      </c>
      <c r="H229" s="27">
        <v>2004</v>
      </c>
      <c r="I229" s="27" t="s">
        <v>104</v>
      </c>
      <c r="J229" s="25">
        <v>136</v>
      </c>
      <c r="K229" s="25">
        <f>Sales!$B229-Sales!$J229</f>
        <v>-36</v>
      </c>
      <c r="L229" s="28">
        <f>(Sales!$J229-Sales!$B229)/Sales!$J229</f>
        <v>0.26470588235294118</v>
      </c>
      <c r="M229" s="28" t="str">
        <f t="shared" si="3"/>
        <v>+20%</v>
      </c>
      <c r="N229" s="27" t="s">
        <v>36</v>
      </c>
      <c r="O229" s="27" t="s">
        <v>12</v>
      </c>
      <c r="P229" s="27" t="s">
        <v>13</v>
      </c>
      <c r="Q229" s="27" t="s">
        <v>14</v>
      </c>
    </row>
    <row r="230" spans="1:17" x14ac:dyDescent="0.3">
      <c r="A230" s="22">
        <v>41</v>
      </c>
      <c r="B230" s="19">
        <v>100</v>
      </c>
      <c r="C230" s="20">
        <f>Sales!$B230*Sales!$A230</f>
        <v>4100</v>
      </c>
      <c r="D230" s="21">
        <v>38238</v>
      </c>
      <c r="E230" s="22" t="s">
        <v>9</v>
      </c>
      <c r="F230" s="22">
        <v>3</v>
      </c>
      <c r="G230" s="22">
        <v>9</v>
      </c>
      <c r="H230" s="22">
        <v>2004</v>
      </c>
      <c r="I230" s="22" t="s">
        <v>104</v>
      </c>
      <c r="J230" s="20">
        <v>136</v>
      </c>
      <c r="K230" s="20">
        <f>Sales!$B230-Sales!$J230</f>
        <v>-36</v>
      </c>
      <c r="L230" s="23">
        <f>(Sales!$J230-Sales!$B230)/Sales!$J230</f>
        <v>0.26470588235294118</v>
      </c>
      <c r="M230" s="23" t="str">
        <f t="shared" si="3"/>
        <v>+20%</v>
      </c>
      <c r="N230" s="22" t="s">
        <v>62</v>
      </c>
      <c r="O230" s="22" t="s">
        <v>49</v>
      </c>
      <c r="P230" s="22" t="s">
        <v>17</v>
      </c>
      <c r="Q230" s="22" t="s">
        <v>19</v>
      </c>
    </row>
    <row r="231" spans="1:17" x14ac:dyDescent="0.3">
      <c r="A231" s="27">
        <v>39</v>
      </c>
      <c r="B231" s="24">
        <v>100</v>
      </c>
      <c r="C231" s="25">
        <f>Sales!$B231*Sales!$A231</f>
        <v>3900</v>
      </c>
      <c r="D231" s="26">
        <v>38271</v>
      </c>
      <c r="E231" s="27" t="s">
        <v>9</v>
      </c>
      <c r="F231" s="27">
        <v>4</v>
      </c>
      <c r="G231" s="27">
        <v>10</v>
      </c>
      <c r="H231" s="27">
        <v>2004</v>
      </c>
      <c r="I231" s="27" t="s">
        <v>104</v>
      </c>
      <c r="J231" s="25">
        <v>136</v>
      </c>
      <c r="K231" s="25">
        <f>Sales!$B231-Sales!$J231</f>
        <v>-36</v>
      </c>
      <c r="L231" s="28">
        <f>(Sales!$J231-Sales!$B231)/Sales!$J231</f>
        <v>0.26470588235294118</v>
      </c>
      <c r="M231" s="28" t="str">
        <f t="shared" si="3"/>
        <v>+20%</v>
      </c>
      <c r="N231" s="27" t="s">
        <v>63</v>
      </c>
      <c r="O231" s="27" t="s">
        <v>16</v>
      </c>
      <c r="P231" s="27" t="s">
        <v>17</v>
      </c>
      <c r="Q231" s="27" t="s">
        <v>19</v>
      </c>
    </row>
    <row r="232" spans="1:17" x14ac:dyDescent="0.3">
      <c r="A232" s="22">
        <v>21</v>
      </c>
      <c r="B232" s="19">
        <v>100</v>
      </c>
      <c r="C232" s="20">
        <f>Sales!$B232*Sales!$A232</f>
        <v>2100</v>
      </c>
      <c r="D232" s="21">
        <v>38282</v>
      </c>
      <c r="E232" s="22" t="s">
        <v>9</v>
      </c>
      <c r="F232" s="22">
        <v>4</v>
      </c>
      <c r="G232" s="22">
        <v>10</v>
      </c>
      <c r="H232" s="22">
        <v>2004</v>
      </c>
      <c r="I232" s="22" t="s">
        <v>104</v>
      </c>
      <c r="J232" s="20">
        <v>136</v>
      </c>
      <c r="K232" s="20">
        <f>Sales!$B232-Sales!$J232</f>
        <v>-36</v>
      </c>
      <c r="L232" s="23">
        <f>(Sales!$J232-Sales!$B232)/Sales!$J232</f>
        <v>0.26470588235294118</v>
      </c>
      <c r="M232" s="23" t="str">
        <f t="shared" si="3"/>
        <v>+20%</v>
      </c>
      <c r="N232" s="22" t="s">
        <v>55</v>
      </c>
      <c r="O232" s="22" t="s">
        <v>56</v>
      </c>
      <c r="P232" s="22" t="s">
        <v>13</v>
      </c>
      <c r="Q232" s="22" t="s">
        <v>14</v>
      </c>
    </row>
    <row r="233" spans="1:17" x14ac:dyDescent="0.3">
      <c r="A233" s="27">
        <v>27</v>
      </c>
      <c r="B233" s="24">
        <v>100</v>
      </c>
      <c r="C233" s="25">
        <f>Sales!$B233*Sales!$A233</f>
        <v>2700</v>
      </c>
      <c r="D233" s="26">
        <v>38295</v>
      </c>
      <c r="E233" s="27" t="s">
        <v>9</v>
      </c>
      <c r="F233" s="27">
        <v>4</v>
      </c>
      <c r="G233" s="27">
        <v>11</v>
      </c>
      <c r="H233" s="27">
        <v>2004</v>
      </c>
      <c r="I233" s="27" t="s">
        <v>104</v>
      </c>
      <c r="J233" s="25">
        <v>136</v>
      </c>
      <c r="K233" s="25">
        <f>Sales!$B233-Sales!$J233</f>
        <v>-36</v>
      </c>
      <c r="L233" s="28">
        <f>(Sales!$J233-Sales!$B233)/Sales!$J233</f>
        <v>0.26470588235294118</v>
      </c>
      <c r="M233" s="28" t="str">
        <f t="shared" si="3"/>
        <v>+20%</v>
      </c>
      <c r="N233" s="27" t="s">
        <v>65</v>
      </c>
      <c r="O233" s="27" t="s">
        <v>12</v>
      </c>
      <c r="P233" s="27" t="s">
        <v>13</v>
      </c>
      <c r="Q233" s="27" t="s">
        <v>19</v>
      </c>
    </row>
    <row r="234" spans="1:17" x14ac:dyDescent="0.3">
      <c r="A234" s="22">
        <v>33</v>
      </c>
      <c r="B234" s="19">
        <v>99.21</v>
      </c>
      <c r="C234" s="20">
        <f>Sales!$B234*Sales!$A234</f>
        <v>3273.93</v>
      </c>
      <c r="D234" s="21">
        <v>38309</v>
      </c>
      <c r="E234" s="22" t="s">
        <v>9</v>
      </c>
      <c r="F234" s="22">
        <v>4</v>
      </c>
      <c r="G234" s="22">
        <v>11</v>
      </c>
      <c r="H234" s="22">
        <v>2004</v>
      </c>
      <c r="I234" s="22" t="s">
        <v>104</v>
      </c>
      <c r="J234" s="20">
        <v>136</v>
      </c>
      <c r="K234" s="20">
        <f>Sales!$B234-Sales!$J234</f>
        <v>-36.790000000000006</v>
      </c>
      <c r="L234" s="23">
        <f>(Sales!$J234-Sales!$B234)/Sales!$J234</f>
        <v>0.27051470588235299</v>
      </c>
      <c r="M234" s="23" t="str">
        <f t="shared" si="3"/>
        <v>+20%</v>
      </c>
      <c r="N234" s="22" t="s">
        <v>21</v>
      </c>
      <c r="O234" s="22" t="s">
        <v>12</v>
      </c>
      <c r="P234" s="22" t="s">
        <v>13</v>
      </c>
      <c r="Q234" s="22" t="s">
        <v>19</v>
      </c>
    </row>
    <row r="235" spans="1:17" x14ac:dyDescent="0.3">
      <c r="A235" s="27">
        <v>29</v>
      </c>
      <c r="B235" s="24">
        <v>100</v>
      </c>
      <c r="C235" s="25">
        <f>Sales!$B235*Sales!$A235</f>
        <v>2900</v>
      </c>
      <c r="D235" s="26">
        <v>38320</v>
      </c>
      <c r="E235" s="27" t="s">
        <v>9</v>
      </c>
      <c r="F235" s="27">
        <v>4</v>
      </c>
      <c r="G235" s="27">
        <v>11</v>
      </c>
      <c r="H235" s="27">
        <v>2004</v>
      </c>
      <c r="I235" s="27" t="s">
        <v>104</v>
      </c>
      <c r="J235" s="25">
        <v>136</v>
      </c>
      <c r="K235" s="25">
        <f>Sales!$B235-Sales!$J235</f>
        <v>-36</v>
      </c>
      <c r="L235" s="28">
        <f>(Sales!$J235-Sales!$B235)/Sales!$J235</f>
        <v>0.26470588235294118</v>
      </c>
      <c r="M235" s="28" t="str">
        <f t="shared" si="3"/>
        <v>+20%</v>
      </c>
      <c r="N235" s="27" t="s">
        <v>26</v>
      </c>
      <c r="O235" s="27" t="s">
        <v>27</v>
      </c>
      <c r="P235" s="27" t="s">
        <v>28</v>
      </c>
      <c r="Q235" s="27" t="s">
        <v>19</v>
      </c>
    </row>
    <row r="236" spans="1:17" x14ac:dyDescent="0.3">
      <c r="A236" s="22">
        <v>49</v>
      </c>
      <c r="B236" s="19">
        <v>100</v>
      </c>
      <c r="C236" s="20">
        <f>Sales!$B236*Sales!$A236</f>
        <v>4900</v>
      </c>
      <c r="D236" s="21">
        <v>38331</v>
      </c>
      <c r="E236" s="22" t="s">
        <v>9</v>
      </c>
      <c r="F236" s="22">
        <v>4</v>
      </c>
      <c r="G236" s="22">
        <v>12</v>
      </c>
      <c r="H236" s="22">
        <v>2004</v>
      </c>
      <c r="I236" s="22" t="s">
        <v>104</v>
      </c>
      <c r="J236" s="20">
        <v>136</v>
      </c>
      <c r="K236" s="20">
        <f>Sales!$B236-Sales!$J236</f>
        <v>-36</v>
      </c>
      <c r="L236" s="23">
        <f>(Sales!$J236-Sales!$B236)/Sales!$J236</f>
        <v>0.26470588235294118</v>
      </c>
      <c r="M236" s="23" t="str">
        <f t="shared" si="3"/>
        <v>+20%</v>
      </c>
      <c r="N236" s="22" t="s">
        <v>64</v>
      </c>
      <c r="O236" s="22" t="s">
        <v>12</v>
      </c>
      <c r="P236" s="22" t="s">
        <v>13</v>
      </c>
      <c r="Q236" s="22" t="s">
        <v>19</v>
      </c>
    </row>
    <row r="237" spans="1:17" x14ac:dyDescent="0.3">
      <c r="A237" s="27">
        <v>49</v>
      </c>
      <c r="B237" s="24">
        <v>100</v>
      </c>
      <c r="C237" s="25">
        <f>Sales!$B237*Sales!$A237</f>
        <v>4900</v>
      </c>
      <c r="D237" s="26">
        <v>38372</v>
      </c>
      <c r="E237" s="27" t="s">
        <v>9</v>
      </c>
      <c r="F237" s="27">
        <v>1</v>
      </c>
      <c r="G237" s="27">
        <v>1</v>
      </c>
      <c r="H237" s="27">
        <v>2005</v>
      </c>
      <c r="I237" s="27" t="s">
        <v>104</v>
      </c>
      <c r="J237" s="25">
        <v>136</v>
      </c>
      <c r="K237" s="25">
        <f>Sales!$B237-Sales!$J237</f>
        <v>-36</v>
      </c>
      <c r="L237" s="28">
        <f>(Sales!$J237-Sales!$B237)/Sales!$J237</f>
        <v>0.26470588235294118</v>
      </c>
      <c r="M237" s="28" t="str">
        <f t="shared" si="3"/>
        <v>+20%</v>
      </c>
      <c r="N237" s="27" t="s">
        <v>67</v>
      </c>
      <c r="O237" s="27" t="s">
        <v>27</v>
      </c>
      <c r="P237" s="27" t="s">
        <v>28</v>
      </c>
      <c r="Q237" s="27" t="s">
        <v>39</v>
      </c>
    </row>
    <row r="238" spans="1:17" x14ac:dyDescent="0.3">
      <c r="A238" s="22">
        <v>20</v>
      </c>
      <c r="B238" s="19">
        <v>100</v>
      </c>
      <c r="C238" s="20">
        <f>Sales!$B238*Sales!$A238</f>
        <v>2000</v>
      </c>
      <c r="D238" s="21">
        <v>38400</v>
      </c>
      <c r="E238" s="22" t="s">
        <v>9</v>
      </c>
      <c r="F238" s="22">
        <v>1</v>
      </c>
      <c r="G238" s="22">
        <v>2</v>
      </c>
      <c r="H238" s="22">
        <v>2005</v>
      </c>
      <c r="I238" s="22" t="s">
        <v>104</v>
      </c>
      <c r="J238" s="20">
        <v>136</v>
      </c>
      <c r="K238" s="20">
        <f>Sales!$B238-Sales!$J238</f>
        <v>-36</v>
      </c>
      <c r="L238" s="23">
        <f>(Sales!$J238-Sales!$B238)/Sales!$J238</f>
        <v>0.26470588235294118</v>
      </c>
      <c r="M238" s="23" t="str">
        <f t="shared" si="3"/>
        <v>+20%</v>
      </c>
      <c r="N238" s="22" t="s">
        <v>21</v>
      </c>
      <c r="O238" s="22" t="s">
        <v>12</v>
      </c>
      <c r="P238" s="22" t="s">
        <v>13</v>
      </c>
      <c r="Q238" s="22" t="s">
        <v>14</v>
      </c>
    </row>
    <row r="239" spans="1:17" x14ac:dyDescent="0.3">
      <c r="A239" s="27">
        <v>39</v>
      </c>
      <c r="B239" s="24">
        <v>63.2</v>
      </c>
      <c r="C239" s="25">
        <f>Sales!$B239*Sales!$A239</f>
        <v>2464.8000000000002</v>
      </c>
      <c r="D239" s="26">
        <v>38420</v>
      </c>
      <c r="E239" s="27" t="s">
        <v>9</v>
      </c>
      <c r="F239" s="27">
        <v>1</v>
      </c>
      <c r="G239" s="27">
        <v>3</v>
      </c>
      <c r="H239" s="27">
        <v>2005</v>
      </c>
      <c r="I239" s="27" t="s">
        <v>104</v>
      </c>
      <c r="J239" s="25">
        <v>136</v>
      </c>
      <c r="K239" s="25">
        <f>Sales!$B239-Sales!$J239</f>
        <v>-72.8</v>
      </c>
      <c r="L239" s="28">
        <f>(Sales!$J239-Sales!$B239)/Sales!$J239</f>
        <v>0.53529411764705881</v>
      </c>
      <c r="M239" s="28" t="str">
        <f t="shared" si="3"/>
        <v>+20%</v>
      </c>
      <c r="N239" s="27" t="s">
        <v>67</v>
      </c>
      <c r="O239" s="27" t="s">
        <v>27</v>
      </c>
      <c r="P239" s="27" t="s">
        <v>28</v>
      </c>
      <c r="Q239" s="27" t="s">
        <v>14</v>
      </c>
    </row>
    <row r="240" spans="1:17" x14ac:dyDescent="0.3">
      <c r="A240" s="22">
        <v>40</v>
      </c>
      <c r="B240" s="19">
        <v>100</v>
      </c>
      <c r="C240" s="20">
        <f>Sales!$B240*Sales!$A240</f>
        <v>4000</v>
      </c>
      <c r="D240" s="21">
        <v>38473</v>
      </c>
      <c r="E240" s="22" t="s">
        <v>9</v>
      </c>
      <c r="F240" s="22">
        <v>2</v>
      </c>
      <c r="G240" s="22">
        <v>5</v>
      </c>
      <c r="H240" s="22">
        <v>2005</v>
      </c>
      <c r="I240" s="22" t="s">
        <v>104</v>
      </c>
      <c r="J240" s="20">
        <v>136</v>
      </c>
      <c r="K240" s="20">
        <f>Sales!$B240-Sales!$J240</f>
        <v>-36</v>
      </c>
      <c r="L240" s="23">
        <f>(Sales!$J240-Sales!$B240)/Sales!$J240</f>
        <v>0.26470588235294118</v>
      </c>
      <c r="M240" s="23" t="str">
        <f t="shared" si="3"/>
        <v>+20%</v>
      </c>
      <c r="N240" s="22" t="s">
        <v>68</v>
      </c>
      <c r="O240" s="22" t="s">
        <v>56</v>
      </c>
      <c r="P240" s="22" t="s">
        <v>13</v>
      </c>
      <c r="Q240" s="22" t="s">
        <v>19</v>
      </c>
    </row>
    <row r="241" spans="1:17" x14ac:dyDescent="0.3">
      <c r="A241" s="27">
        <v>49</v>
      </c>
      <c r="B241" s="24">
        <v>100</v>
      </c>
      <c r="C241" s="25">
        <f>Sales!$B241*Sales!$A241</f>
        <v>4900</v>
      </c>
      <c r="D241" s="26">
        <v>38503</v>
      </c>
      <c r="E241" s="27" t="s">
        <v>69</v>
      </c>
      <c r="F241" s="27">
        <v>2</v>
      </c>
      <c r="G241" s="27">
        <v>5</v>
      </c>
      <c r="H241" s="27">
        <v>2005</v>
      </c>
      <c r="I241" s="27" t="s">
        <v>104</v>
      </c>
      <c r="J241" s="25">
        <v>136</v>
      </c>
      <c r="K241" s="25">
        <f>Sales!$B241-Sales!$J241</f>
        <v>-36</v>
      </c>
      <c r="L241" s="28">
        <f>(Sales!$J241-Sales!$B241)/Sales!$J241</f>
        <v>0.26470588235294118</v>
      </c>
      <c r="M241" s="28" t="str">
        <f t="shared" si="3"/>
        <v>+20%</v>
      </c>
      <c r="N241" s="27" t="s">
        <v>45</v>
      </c>
      <c r="O241" s="27" t="s">
        <v>46</v>
      </c>
      <c r="P241" s="27" t="s">
        <v>17</v>
      </c>
      <c r="Q241" s="27" t="s">
        <v>39</v>
      </c>
    </row>
    <row r="242" spans="1:17" x14ac:dyDescent="0.3">
      <c r="A242" s="22">
        <v>21</v>
      </c>
      <c r="B242" s="19">
        <v>100</v>
      </c>
      <c r="C242" s="20">
        <f>Sales!$B242*Sales!$A242</f>
        <v>2100</v>
      </c>
      <c r="D242" s="21">
        <v>37676</v>
      </c>
      <c r="E242" s="22" t="s">
        <v>9</v>
      </c>
      <c r="F242" s="22">
        <v>1</v>
      </c>
      <c r="G242" s="22">
        <v>2</v>
      </c>
      <c r="H242" s="22">
        <v>2003</v>
      </c>
      <c r="I242" s="22" t="s">
        <v>10</v>
      </c>
      <c r="J242" s="20">
        <v>150</v>
      </c>
      <c r="K242" s="20">
        <f>Sales!$B242-Sales!$J242</f>
        <v>-50</v>
      </c>
      <c r="L242" s="23">
        <f>(Sales!$J242-Sales!$B242)/Sales!$J242</f>
        <v>0.33333333333333331</v>
      </c>
      <c r="M242" s="23" t="str">
        <f t="shared" si="3"/>
        <v>+20%</v>
      </c>
      <c r="N242" s="22" t="s">
        <v>11</v>
      </c>
      <c r="O242" s="22" t="s">
        <v>12</v>
      </c>
      <c r="P242" s="22" t="s">
        <v>13</v>
      </c>
      <c r="Q242" s="22" t="s">
        <v>19</v>
      </c>
    </row>
    <row r="243" spans="1:17" x14ac:dyDescent="0.3">
      <c r="A243" s="27">
        <v>50</v>
      </c>
      <c r="B243" s="24">
        <v>100</v>
      </c>
      <c r="C243" s="25">
        <f>Sales!$B243*Sales!$A243</f>
        <v>5000</v>
      </c>
      <c r="D243" s="26">
        <v>37748</v>
      </c>
      <c r="E243" s="27" t="s">
        <v>9</v>
      </c>
      <c r="F243" s="27">
        <v>2</v>
      </c>
      <c r="G243" s="27">
        <v>5</v>
      </c>
      <c r="H243" s="27">
        <v>2003</v>
      </c>
      <c r="I243" s="27" t="s">
        <v>10</v>
      </c>
      <c r="J243" s="25">
        <v>150</v>
      </c>
      <c r="K243" s="25">
        <f>Sales!$B243-Sales!$J243</f>
        <v>-50</v>
      </c>
      <c r="L243" s="28">
        <f>(Sales!$J243-Sales!$B243)/Sales!$J243</f>
        <v>0.33333333333333331</v>
      </c>
      <c r="M243" s="28" t="str">
        <f t="shared" si="3"/>
        <v>+20%</v>
      </c>
      <c r="N243" s="27" t="s">
        <v>15</v>
      </c>
      <c r="O243" s="27" t="s">
        <v>16</v>
      </c>
      <c r="P243" s="27" t="s">
        <v>17</v>
      </c>
      <c r="Q243" s="27" t="s">
        <v>39</v>
      </c>
    </row>
    <row r="244" spans="1:17" x14ac:dyDescent="0.3">
      <c r="A244" s="22">
        <v>20</v>
      </c>
      <c r="B244" s="19">
        <v>100</v>
      </c>
      <c r="C244" s="20">
        <f>Sales!$B244*Sales!$A244</f>
        <v>2000</v>
      </c>
      <c r="D244" s="21">
        <v>37803</v>
      </c>
      <c r="E244" s="22" t="s">
        <v>9</v>
      </c>
      <c r="F244" s="22">
        <v>3</v>
      </c>
      <c r="G244" s="22">
        <v>7</v>
      </c>
      <c r="H244" s="22">
        <v>2003</v>
      </c>
      <c r="I244" s="22" t="s">
        <v>10</v>
      </c>
      <c r="J244" s="20">
        <v>150</v>
      </c>
      <c r="K244" s="20">
        <f>Sales!$B244-Sales!$J244</f>
        <v>-50</v>
      </c>
      <c r="L244" s="23">
        <f>(Sales!$J244-Sales!$B244)/Sales!$J244</f>
        <v>0.33333333333333331</v>
      </c>
      <c r="M244" s="23" t="str">
        <f t="shared" si="3"/>
        <v>+20%</v>
      </c>
      <c r="N244" s="22" t="s">
        <v>18</v>
      </c>
      <c r="O244" s="22" t="s">
        <v>16</v>
      </c>
      <c r="P244" s="22" t="s">
        <v>17</v>
      </c>
      <c r="Q244" s="22" t="s">
        <v>14</v>
      </c>
    </row>
    <row r="245" spans="1:17" x14ac:dyDescent="0.3">
      <c r="A245" s="27">
        <v>49</v>
      </c>
      <c r="B245" s="24">
        <v>100</v>
      </c>
      <c r="C245" s="25">
        <f>Sales!$B245*Sales!$A245</f>
        <v>4900</v>
      </c>
      <c r="D245" s="26">
        <v>37858</v>
      </c>
      <c r="E245" s="27" t="s">
        <v>9</v>
      </c>
      <c r="F245" s="27">
        <v>3</v>
      </c>
      <c r="G245" s="27">
        <v>8</v>
      </c>
      <c r="H245" s="27">
        <v>2003</v>
      </c>
      <c r="I245" s="27" t="s">
        <v>10</v>
      </c>
      <c r="J245" s="25">
        <v>150</v>
      </c>
      <c r="K245" s="25">
        <f>Sales!$B245-Sales!$J245</f>
        <v>-50</v>
      </c>
      <c r="L245" s="28">
        <f>(Sales!$J245-Sales!$B245)/Sales!$J245</f>
        <v>0.33333333333333331</v>
      </c>
      <c r="M245" s="28" t="str">
        <f t="shared" si="3"/>
        <v>+20%</v>
      </c>
      <c r="N245" s="27" t="s">
        <v>20</v>
      </c>
      <c r="O245" s="27" t="s">
        <v>12</v>
      </c>
      <c r="P245" s="27" t="s">
        <v>13</v>
      </c>
      <c r="Q245" s="27" t="s">
        <v>39</v>
      </c>
    </row>
    <row r="246" spans="1:17" x14ac:dyDescent="0.3">
      <c r="A246" s="22">
        <v>38</v>
      </c>
      <c r="B246" s="19">
        <v>100</v>
      </c>
      <c r="C246" s="20">
        <f>Sales!$B246*Sales!$A246</f>
        <v>3800</v>
      </c>
      <c r="D246" s="21">
        <v>37904</v>
      </c>
      <c r="E246" s="22" t="s">
        <v>9</v>
      </c>
      <c r="F246" s="22">
        <v>4</v>
      </c>
      <c r="G246" s="22">
        <v>10</v>
      </c>
      <c r="H246" s="22">
        <v>2003</v>
      </c>
      <c r="I246" s="22" t="s">
        <v>10</v>
      </c>
      <c r="J246" s="20">
        <v>150</v>
      </c>
      <c r="K246" s="20">
        <f>Sales!$B246-Sales!$J246</f>
        <v>-50</v>
      </c>
      <c r="L246" s="23">
        <f>(Sales!$J246-Sales!$B246)/Sales!$J246</f>
        <v>0.33333333333333331</v>
      </c>
      <c r="M246" s="23" t="str">
        <f t="shared" si="3"/>
        <v>+20%</v>
      </c>
      <c r="N246" s="22" t="s">
        <v>21</v>
      </c>
      <c r="O246" s="22" t="s">
        <v>12</v>
      </c>
      <c r="P246" s="22" t="s">
        <v>13</v>
      </c>
      <c r="Q246" s="22" t="s">
        <v>19</v>
      </c>
    </row>
    <row r="247" spans="1:17" x14ac:dyDescent="0.3">
      <c r="A247" s="27">
        <v>35</v>
      </c>
      <c r="B247" s="24">
        <v>100</v>
      </c>
      <c r="C247" s="25">
        <f>Sales!$B247*Sales!$A247</f>
        <v>3500</v>
      </c>
      <c r="D247" s="26">
        <v>37929</v>
      </c>
      <c r="E247" s="27" t="s">
        <v>9</v>
      </c>
      <c r="F247" s="27">
        <v>4</v>
      </c>
      <c r="G247" s="27">
        <v>11</v>
      </c>
      <c r="H247" s="27">
        <v>2003</v>
      </c>
      <c r="I247" s="27" t="s">
        <v>10</v>
      </c>
      <c r="J247" s="25">
        <v>150</v>
      </c>
      <c r="K247" s="25">
        <f>Sales!$B247-Sales!$J247</f>
        <v>-50</v>
      </c>
      <c r="L247" s="28">
        <f>(Sales!$J247-Sales!$B247)/Sales!$J247</f>
        <v>0.33333333333333331</v>
      </c>
      <c r="M247" s="28" t="str">
        <f t="shared" si="3"/>
        <v>+20%</v>
      </c>
      <c r="N247" s="27" t="s">
        <v>67</v>
      </c>
      <c r="O247" s="27" t="s">
        <v>27</v>
      </c>
      <c r="P247" s="27" t="s">
        <v>28</v>
      </c>
      <c r="Q247" s="27" t="s">
        <v>19</v>
      </c>
    </row>
    <row r="248" spans="1:17" x14ac:dyDescent="0.3">
      <c r="A248" s="22">
        <v>40</v>
      </c>
      <c r="B248" s="19">
        <v>100</v>
      </c>
      <c r="C248" s="20">
        <f>Sales!$B248*Sales!$A248</f>
        <v>4000</v>
      </c>
      <c r="D248" s="21">
        <v>37936</v>
      </c>
      <c r="E248" s="22" t="s">
        <v>9</v>
      </c>
      <c r="F248" s="22">
        <v>4</v>
      </c>
      <c r="G248" s="22">
        <v>11</v>
      </c>
      <c r="H248" s="22">
        <v>2003</v>
      </c>
      <c r="I248" s="22" t="s">
        <v>10</v>
      </c>
      <c r="J248" s="20">
        <v>150</v>
      </c>
      <c r="K248" s="20">
        <f>Sales!$B248-Sales!$J248</f>
        <v>-50</v>
      </c>
      <c r="L248" s="23">
        <f>(Sales!$J248-Sales!$B248)/Sales!$J248</f>
        <v>0.33333333333333331</v>
      </c>
      <c r="M248" s="23" t="str">
        <f t="shared" si="3"/>
        <v>+20%</v>
      </c>
      <c r="N248" s="22" t="s">
        <v>23</v>
      </c>
      <c r="O248" s="22" t="s">
        <v>16</v>
      </c>
      <c r="P248" s="22" t="s">
        <v>17</v>
      </c>
      <c r="Q248" s="22" t="s">
        <v>19</v>
      </c>
    </row>
    <row r="249" spans="1:17" x14ac:dyDescent="0.3">
      <c r="A249" s="27">
        <v>28</v>
      </c>
      <c r="B249" s="24">
        <v>100</v>
      </c>
      <c r="C249" s="25">
        <f>Sales!$B249*Sales!$A249</f>
        <v>2800</v>
      </c>
      <c r="D249" s="26">
        <v>37943</v>
      </c>
      <c r="E249" s="27" t="s">
        <v>9</v>
      </c>
      <c r="F249" s="27">
        <v>4</v>
      </c>
      <c r="G249" s="27">
        <v>11</v>
      </c>
      <c r="H249" s="27">
        <v>2003</v>
      </c>
      <c r="I249" s="27" t="s">
        <v>10</v>
      </c>
      <c r="J249" s="25">
        <v>150</v>
      </c>
      <c r="K249" s="25">
        <f>Sales!$B249-Sales!$J249</f>
        <v>-50</v>
      </c>
      <c r="L249" s="28">
        <f>(Sales!$J249-Sales!$B249)/Sales!$J249</f>
        <v>0.33333333333333331</v>
      </c>
      <c r="M249" s="28" t="str">
        <f t="shared" si="3"/>
        <v>+20%</v>
      </c>
      <c r="N249" s="27" t="s">
        <v>20</v>
      </c>
      <c r="O249" s="27" t="s">
        <v>12</v>
      </c>
      <c r="P249" s="27" t="s">
        <v>13</v>
      </c>
      <c r="Q249" s="27" t="s">
        <v>19</v>
      </c>
    </row>
    <row r="250" spans="1:17" x14ac:dyDescent="0.3">
      <c r="A250" s="22">
        <v>25</v>
      </c>
      <c r="B250" s="19">
        <v>100</v>
      </c>
      <c r="C250" s="20">
        <f>Sales!$B250*Sales!$A250</f>
        <v>2500</v>
      </c>
      <c r="D250" s="21">
        <v>37956</v>
      </c>
      <c r="E250" s="22" t="s">
        <v>9</v>
      </c>
      <c r="F250" s="22">
        <v>4</v>
      </c>
      <c r="G250" s="22">
        <v>12</v>
      </c>
      <c r="H250" s="22">
        <v>2003</v>
      </c>
      <c r="I250" s="22" t="s">
        <v>10</v>
      </c>
      <c r="J250" s="20">
        <v>150</v>
      </c>
      <c r="K250" s="20">
        <f>Sales!$B250-Sales!$J250</f>
        <v>-50</v>
      </c>
      <c r="L250" s="23">
        <f>(Sales!$J250-Sales!$B250)/Sales!$J250</f>
        <v>0.33333333333333331</v>
      </c>
      <c r="M250" s="23" t="str">
        <f t="shared" si="3"/>
        <v>+20%</v>
      </c>
      <c r="N250" s="22" t="s">
        <v>21</v>
      </c>
      <c r="O250" s="22" t="s">
        <v>12</v>
      </c>
      <c r="P250" s="22" t="s">
        <v>13</v>
      </c>
      <c r="Q250" s="22" t="s">
        <v>19</v>
      </c>
    </row>
    <row r="251" spans="1:17" x14ac:dyDescent="0.3">
      <c r="A251" s="27">
        <v>36</v>
      </c>
      <c r="B251" s="24">
        <v>100</v>
      </c>
      <c r="C251" s="25">
        <f>Sales!$B251*Sales!$A251</f>
        <v>3600</v>
      </c>
      <c r="D251" s="26">
        <v>38001</v>
      </c>
      <c r="E251" s="27" t="s">
        <v>9</v>
      </c>
      <c r="F251" s="27">
        <v>1</v>
      </c>
      <c r="G251" s="27">
        <v>1</v>
      </c>
      <c r="H251" s="27">
        <v>2004</v>
      </c>
      <c r="I251" s="27" t="s">
        <v>10</v>
      </c>
      <c r="J251" s="25">
        <v>150</v>
      </c>
      <c r="K251" s="25">
        <f>Sales!$B251-Sales!$J251</f>
        <v>-50</v>
      </c>
      <c r="L251" s="28">
        <f>(Sales!$J251-Sales!$B251)/Sales!$J251</f>
        <v>0.33333333333333331</v>
      </c>
      <c r="M251" s="28" t="str">
        <f t="shared" si="3"/>
        <v>+20%</v>
      </c>
      <c r="N251" s="27" t="s">
        <v>18</v>
      </c>
      <c r="O251" s="27" t="s">
        <v>16</v>
      </c>
      <c r="P251" s="27" t="s">
        <v>17</v>
      </c>
      <c r="Q251" s="27" t="s">
        <v>19</v>
      </c>
    </row>
    <row r="252" spans="1:17" x14ac:dyDescent="0.3">
      <c r="A252" s="22">
        <v>43</v>
      </c>
      <c r="B252" s="19">
        <v>100</v>
      </c>
      <c r="C252" s="20">
        <f>Sales!$B252*Sales!$A252</f>
        <v>4300</v>
      </c>
      <c r="D252" s="21">
        <v>38038</v>
      </c>
      <c r="E252" s="22" t="s">
        <v>9</v>
      </c>
      <c r="F252" s="22">
        <v>1</v>
      </c>
      <c r="G252" s="22">
        <v>2</v>
      </c>
      <c r="H252" s="22">
        <v>2004</v>
      </c>
      <c r="I252" s="22" t="s">
        <v>10</v>
      </c>
      <c r="J252" s="20">
        <v>150</v>
      </c>
      <c r="K252" s="20">
        <f>Sales!$B252-Sales!$J252</f>
        <v>-50</v>
      </c>
      <c r="L252" s="23">
        <f>(Sales!$J252-Sales!$B252)/Sales!$J252</f>
        <v>0.33333333333333331</v>
      </c>
      <c r="M252" s="23" t="str">
        <f t="shared" si="3"/>
        <v>+20%</v>
      </c>
      <c r="N252" s="22" t="s">
        <v>23</v>
      </c>
      <c r="O252" s="22" t="s">
        <v>16</v>
      </c>
      <c r="P252" s="22" t="s">
        <v>17</v>
      </c>
      <c r="Q252" s="22" t="s">
        <v>19</v>
      </c>
    </row>
    <row r="253" spans="1:17" x14ac:dyDescent="0.3">
      <c r="A253" s="27">
        <v>32</v>
      </c>
      <c r="B253" s="24">
        <v>100</v>
      </c>
      <c r="C253" s="25">
        <f>Sales!$B253*Sales!$A253</f>
        <v>3200</v>
      </c>
      <c r="D253" s="26">
        <v>38082</v>
      </c>
      <c r="E253" s="27" t="s">
        <v>9</v>
      </c>
      <c r="F253" s="27">
        <v>2</v>
      </c>
      <c r="G253" s="27">
        <v>4</v>
      </c>
      <c r="H253" s="27">
        <v>2004</v>
      </c>
      <c r="I253" s="27" t="s">
        <v>10</v>
      </c>
      <c r="J253" s="25">
        <v>150</v>
      </c>
      <c r="K253" s="25">
        <f>Sales!$B253-Sales!$J253</f>
        <v>-50</v>
      </c>
      <c r="L253" s="28">
        <f>(Sales!$J253-Sales!$B253)/Sales!$J253</f>
        <v>0.33333333333333331</v>
      </c>
      <c r="M253" s="28" t="str">
        <f t="shared" si="3"/>
        <v>+20%</v>
      </c>
      <c r="N253" s="27" t="s">
        <v>11</v>
      </c>
      <c r="O253" s="27" t="s">
        <v>12</v>
      </c>
      <c r="P253" s="27" t="s">
        <v>13</v>
      </c>
      <c r="Q253" s="27" t="s">
        <v>19</v>
      </c>
    </row>
    <row r="254" spans="1:17" x14ac:dyDescent="0.3">
      <c r="A254" s="22">
        <v>46</v>
      </c>
      <c r="B254" s="19">
        <v>100</v>
      </c>
      <c r="C254" s="20">
        <f>Sales!$B254*Sales!$A254</f>
        <v>4600</v>
      </c>
      <c r="D254" s="21">
        <v>38125</v>
      </c>
      <c r="E254" s="22" t="s">
        <v>9</v>
      </c>
      <c r="F254" s="22">
        <v>2</v>
      </c>
      <c r="G254" s="22">
        <v>5</v>
      </c>
      <c r="H254" s="22">
        <v>2004</v>
      </c>
      <c r="I254" s="22" t="s">
        <v>10</v>
      </c>
      <c r="J254" s="20">
        <v>150</v>
      </c>
      <c r="K254" s="20">
        <f>Sales!$B254-Sales!$J254</f>
        <v>-50</v>
      </c>
      <c r="L254" s="23">
        <f>(Sales!$J254-Sales!$B254)/Sales!$J254</f>
        <v>0.33333333333333331</v>
      </c>
      <c r="M254" s="23" t="str">
        <f t="shared" si="3"/>
        <v>+20%</v>
      </c>
      <c r="N254" s="22" t="s">
        <v>29</v>
      </c>
      <c r="O254" s="22" t="s">
        <v>12</v>
      </c>
      <c r="P254" s="22" t="s">
        <v>13</v>
      </c>
      <c r="Q254" s="22" t="s">
        <v>39</v>
      </c>
    </row>
    <row r="255" spans="1:17" x14ac:dyDescent="0.3">
      <c r="A255" s="27">
        <v>48</v>
      </c>
      <c r="B255" s="24">
        <v>100</v>
      </c>
      <c r="C255" s="25">
        <f>Sales!$B255*Sales!$A255</f>
        <v>4800</v>
      </c>
      <c r="D255" s="26">
        <v>38166</v>
      </c>
      <c r="E255" s="27" t="s">
        <v>9</v>
      </c>
      <c r="F255" s="27">
        <v>2</v>
      </c>
      <c r="G255" s="27">
        <v>6</v>
      </c>
      <c r="H255" s="27">
        <v>2004</v>
      </c>
      <c r="I255" s="27" t="s">
        <v>10</v>
      </c>
      <c r="J255" s="25">
        <v>150</v>
      </c>
      <c r="K255" s="25">
        <f>Sales!$B255-Sales!$J255</f>
        <v>-50</v>
      </c>
      <c r="L255" s="28">
        <f>(Sales!$J255-Sales!$B255)/Sales!$J255</f>
        <v>0.33333333333333331</v>
      </c>
      <c r="M255" s="28" t="str">
        <f t="shared" si="3"/>
        <v>+20%</v>
      </c>
      <c r="N255" s="27" t="s">
        <v>30</v>
      </c>
      <c r="O255" s="27" t="s">
        <v>12</v>
      </c>
      <c r="P255" s="27" t="s">
        <v>13</v>
      </c>
      <c r="Q255" s="27" t="s">
        <v>19</v>
      </c>
    </row>
    <row r="256" spans="1:17" x14ac:dyDescent="0.3">
      <c r="A256" s="22">
        <v>43</v>
      </c>
      <c r="B256" s="19">
        <v>100</v>
      </c>
      <c r="C256" s="20">
        <f>Sales!$B256*Sales!$A256</f>
        <v>4300</v>
      </c>
      <c r="D256" s="21">
        <v>38201</v>
      </c>
      <c r="E256" s="22" t="s">
        <v>9</v>
      </c>
      <c r="F256" s="22">
        <v>3</v>
      </c>
      <c r="G256" s="22">
        <v>8</v>
      </c>
      <c r="H256" s="22">
        <v>2004</v>
      </c>
      <c r="I256" s="22" t="s">
        <v>10</v>
      </c>
      <c r="J256" s="20">
        <v>150</v>
      </c>
      <c r="K256" s="20">
        <f>Sales!$B256-Sales!$J256</f>
        <v>-50</v>
      </c>
      <c r="L256" s="23">
        <f>(Sales!$J256-Sales!$B256)/Sales!$J256</f>
        <v>0.33333333333333331</v>
      </c>
      <c r="M256" s="23" t="str">
        <f t="shared" si="3"/>
        <v>+20%</v>
      </c>
      <c r="N256" s="22" t="s">
        <v>66</v>
      </c>
      <c r="O256" s="22" t="s">
        <v>12</v>
      </c>
      <c r="P256" s="22" t="s">
        <v>13</v>
      </c>
      <c r="Q256" s="22" t="s">
        <v>19</v>
      </c>
    </row>
    <row r="257" spans="1:17" x14ac:dyDescent="0.3">
      <c r="A257" s="27">
        <v>49</v>
      </c>
      <c r="B257" s="24">
        <v>100</v>
      </c>
      <c r="C257" s="25">
        <f>Sales!$B257*Sales!$A257</f>
        <v>4900</v>
      </c>
      <c r="D257" s="26">
        <v>38226</v>
      </c>
      <c r="E257" s="27" t="s">
        <v>9</v>
      </c>
      <c r="F257" s="27">
        <v>3</v>
      </c>
      <c r="G257" s="27">
        <v>8</v>
      </c>
      <c r="H257" s="27">
        <v>2004</v>
      </c>
      <c r="I257" s="27" t="s">
        <v>10</v>
      </c>
      <c r="J257" s="25">
        <v>150</v>
      </c>
      <c r="K257" s="25">
        <f>Sales!$B257-Sales!$J257</f>
        <v>-50</v>
      </c>
      <c r="L257" s="28">
        <f>(Sales!$J257-Sales!$B257)/Sales!$J257</f>
        <v>0.33333333333333331</v>
      </c>
      <c r="M257" s="28" t="str">
        <f t="shared" si="3"/>
        <v>+20%</v>
      </c>
      <c r="N257" s="27" t="s">
        <v>32</v>
      </c>
      <c r="O257" s="27" t="s">
        <v>12</v>
      </c>
      <c r="P257" s="27" t="s">
        <v>13</v>
      </c>
      <c r="Q257" s="27" t="s">
        <v>19</v>
      </c>
    </row>
    <row r="258" spans="1:17" x14ac:dyDescent="0.3">
      <c r="A258" s="22">
        <v>24</v>
      </c>
      <c r="B258" s="19">
        <v>100</v>
      </c>
      <c r="C258" s="20">
        <f>Sales!$B258*Sales!$A258</f>
        <v>2400</v>
      </c>
      <c r="D258" s="21">
        <v>38260</v>
      </c>
      <c r="E258" s="22" t="s">
        <v>9</v>
      </c>
      <c r="F258" s="22">
        <v>3</v>
      </c>
      <c r="G258" s="22">
        <v>9</v>
      </c>
      <c r="H258" s="22">
        <v>2004</v>
      </c>
      <c r="I258" s="22" t="s">
        <v>10</v>
      </c>
      <c r="J258" s="20">
        <v>150</v>
      </c>
      <c r="K258" s="20">
        <f>Sales!$B258-Sales!$J258</f>
        <v>-50</v>
      </c>
      <c r="L258" s="23">
        <f>(Sales!$J258-Sales!$B258)/Sales!$J258</f>
        <v>0.33333333333333331</v>
      </c>
      <c r="M258" s="23" t="str">
        <f t="shared" si="3"/>
        <v>+20%</v>
      </c>
      <c r="N258" s="22" t="s">
        <v>33</v>
      </c>
      <c r="O258" s="22" t="s">
        <v>34</v>
      </c>
      <c r="P258" s="22" t="s">
        <v>17</v>
      </c>
      <c r="Q258" s="22" t="s">
        <v>19</v>
      </c>
    </row>
    <row r="259" spans="1:17" x14ac:dyDescent="0.3">
      <c r="A259" s="27">
        <v>26</v>
      </c>
      <c r="B259" s="24">
        <v>100</v>
      </c>
      <c r="C259" s="25">
        <f>Sales!$B259*Sales!$A259</f>
        <v>2600</v>
      </c>
      <c r="D259" s="26">
        <v>38275</v>
      </c>
      <c r="E259" s="27" t="s">
        <v>9</v>
      </c>
      <c r="F259" s="27">
        <v>4</v>
      </c>
      <c r="G259" s="27">
        <v>10</v>
      </c>
      <c r="H259" s="27">
        <v>2004</v>
      </c>
      <c r="I259" s="27" t="s">
        <v>10</v>
      </c>
      <c r="J259" s="25">
        <v>150</v>
      </c>
      <c r="K259" s="25">
        <f>Sales!$B259-Sales!$J259</f>
        <v>-50</v>
      </c>
      <c r="L259" s="28">
        <f>(Sales!$J259-Sales!$B259)/Sales!$J259</f>
        <v>0.33333333333333331</v>
      </c>
      <c r="M259" s="28" t="str">
        <f t="shared" ref="M259:M322" si="4">IF(L259&lt;0%,"Below 0%",IF(L259=0%,"0%",IF(AND(L259&lt;=5%,L259&gt;0%),"0%-5%",IF(AND(L259&lt;=10%,L259&gt;5%),"5%-10%",IF(AND(L259&lt;=15%,L259&gt;10%),"10%-15%",IF(AND(L259&lt;=20%,L259&gt;15%),"15%-20%","+20%"))))))</f>
        <v>+20%</v>
      </c>
      <c r="N259" s="27" t="s">
        <v>35</v>
      </c>
      <c r="O259" s="27" t="s">
        <v>25</v>
      </c>
      <c r="P259" s="27" t="s">
        <v>17</v>
      </c>
      <c r="Q259" s="27" t="s">
        <v>19</v>
      </c>
    </row>
    <row r="260" spans="1:17" x14ac:dyDescent="0.3">
      <c r="A260" s="22">
        <v>30</v>
      </c>
      <c r="B260" s="19">
        <v>100</v>
      </c>
      <c r="C260" s="20">
        <f>Sales!$B260*Sales!$A260</f>
        <v>3000</v>
      </c>
      <c r="D260" s="21">
        <v>38294</v>
      </c>
      <c r="E260" s="22" t="s">
        <v>9</v>
      </c>
      <c r="F260" s="22">
        <v>4</v>
      </c>
      <c r="G260" s="22">
        <v>11</v>
      </c>
      <c r="H260" s="22">
        <v>2004</v>
      </c>
      <c r="I260" s="22" t="s">
        <v>10</v>
      </c>
      <c r="J260" s="20">
        <v>150</v>
      </c>
      <c r="K260" s="20">
        <f>Sales!$B260-Sales!$J260</f>
        <v>-50</v>
      </c>
      <c r="L260" s="23">
        <f>(Sales!$J260-Sales!$B260)/Sales!$J260</f>
        <v>0.33333333333333331</v>
      </c>
      <c r="M260" s="23" t="str">
        <f t="shared" si="4"/>
        <v>+20%</v>
      </c>
      <c r="N260" s="22" t="s">
        <v>11</v>
      </c>
      <c r="O260" s="22" t="s">
        <v>12</v>
      </c>
      <c r="P260" s="22" t="s">
        <v>13</v>
      </c>
      <c r="Q260" s="22" t="s">
        <v>19</v>
      </c>
    </row>
    <row r="261" spans="1:17" x14ac:dyDescent="0.3">
      <c r="A261" s="27">
        <v>24</v>
      </c>
      <c r="B261" s="24">
        <v>100</v>
      </c>
      <c r="C261" s="25">
        <f>Sales!$B261*Sales!$A261</f>
        <v>2400</v>
      </c>
      <c r="D261" s="26">
        <v>38306</v>
      </c>
      <c r="E261" s="27" t="s">
        <v>9</v>
      </c>
      <c r="F261" s="27">
        <v>4</v>
      </c>
      <c r="G261" s="27">
        <v>11</v>
      </c>
      <c r="H261" s="27">
        <v>2004</v>
      </c>
      <c r="I261" s="27" t="s">
        <v>10</v>
      </c>
      <c r="J261" s="25">
        <v>150</v>
      </c>
      <c r="K261" s="25">
        <f>Sales!$B261-Sales!$J261</f>
        <v>-50</v>
      </c>
      <c r="L261" s="28">
        <f>(Sales!$J261-Sales!$B261)/Sales!$J261</f>
        <v>0.33333333333333331</v>
      </c>
      <c r="M261" s="28" t="str">
        <f t="shared" si="4"/>
        <v>+20%</v>
      </c>
      <c r="N261" s="27" t="s">
        <v>11</v>
      </c>
      <c r="O261" s="27" t="s">
        <v>12</v>
      </c>
      <c r="P261" s="27" t="s">
        <v>13</v>
      </c>
      <c r="Q261" s="27" t="s">
        <v>19</v>
      </c>
    </row>
    <row r="262" spans="1:17" x14ac:dyDescent="0.3">
      <c r="A262" s="22">
        <v>55</v>
      </c>
      <c r="B262" s="19">
        <v>100</v>
      </c>
      <c r="C262" s="20">
        <f>Sales!$B262*Sales!$A262</f>
        <v>5500</v>
      </c>
      <c r="D262" s="21">
        <v>38315</v>
      </c>
      <c r="E262" s="22" t="s">
        <v>9</v>
      </c>
      <c r="F262" s="22">
        <v>4</v>
      </c>
      <c r="G262" s="22">
        <v>11</v>
      </c>
      <c r="H262" s="22">
        <v>2004</v>
      </c>
      <c r="I262" s="22" t="s">
        <v>10</v>
      </c>
      <c r="J262" s="20">
        <v>150</v>
      </c>
      <c r="K262" s="20">
        <f>Sales!$B262-Sales!$J262</f>
        <v>-50</v>
      </c>
      <c r="L262" s="23">
        <f>(Sales!$J262-Sales!$B262)/Sales!$J262</f>
        <v>0.33333333333333331</v>
      </c>
      <c r="M262" s="23" t="str">
        <f t="shared" si="4"/>
        <v>+20%</v>
      </c>
      <c r="N262" s="22" t="s">
        <v>37</v>
      </c>
      <c r="O262" s="22" t="s">
        <v>38</v>
      </c>
      <c r="P262" s="22" t="s">
        <v>17</v>
      </c>
      <c r="Q262" s="22" t="s">
        <v>39</v>
      </c>
    </row>
    <row r="263" spans="1:17" x14ac:dyDescent="0.3">
      <c r="A263" s="27">
        <v>22</v>
      </c>
      <c r="B263" s="24">
        <v>100</v>
      </c>
      <c r="C263" s="25">
        <f>Sales!$B263*Sales!$A263</f>
        <v>2200</v>
      </c>
      <c r="D263" s="26">
        <v>38357</v>
      </c>
      <c r="E263" s="27" t="s">
        <v>9</v>
      </c>
      <c r="F263" s="27">
        <v>1</v>
      </c>
      <c r="G263" s="27">
        <v>1</v>
      </c>
      <c r="H263" s="27">
        <v>2005</v>
      </c>
      <c r="I263" s="27" t="s">
        <v>10</v>
      </c>
      <c r="J263" s="25">
        <v>150</v>
      </c>
      <c r="K263" s="25">
        <f>Sales!$B263-Sales!$J263</f>
        <v>-50</v>
      </c>
      <c r="L263" s="28">
        <f>(Sales!$J263-Sales!$B263)/Sales!$J263</f>
        <v>0.33333333333333331</v>
      </c>
      <c r="M263" s="28" t="str">
        <f t="shared" si="4"/>
        <v>+20%</v>
      </c>
      <c r="N263" s="27" t="s">
        <v>22</v>
      </c>
      <c r="O263" s="27" t="s">
        <v>12</v>
      </c>
      <c r="P263" s="27" t="s">
        <v>13</v>
      </c>
      <c r="Q263" s="27" t="s">
        <v>19</v>
      </c>
    </row>
    <row r="264" spans="1:17" x14ac:dyDescent="0.3">
      <c r="A264" s="22">
        <v>49</v>
      </c>
      <c r="B264" s="19">
        <v>78.92</v>
      </c>
      <c r="C264" s="20">
        <f>Sales!$B264*Sales!$A264</f>
        <v>3867.08</v>
      </c>
      <c r="D264" s="21">
        <v>38386</v>
      </c>
      <c r="E264" s="22" t="s">
        <v>9</v>
      </c>
      <c r="F264" s="22">
        <v>1</v>
      </c>
      <c r="G264" s="22">
        <v>2</v>
      </c>
      <c r="H264" s="22">
        <v>2005</v>
      </c>
      <c r="I264" s="22" t="s">
        <v>10</v>
      </c>
      <c r="J264" s="20">
        <v>150</v>
      </c>
      <c r="K264" s="20">
        <f>Sales!$B264-Sales!$J264</f>
        <v>-71.08</v>
      </c>
      <c r="L264" s="23">
        <f>(Sales!$J264-Sales!$B264)/Sales!$J264</f>
        <v>0.47386666666666666</v>
      </c>
      <c r="M264" s="23" t="str">
        <f t="shared" si="4"/>
        <v>+20%</v>
      </c>
      <c r="N264" s="22" t="s">
        <v>31</v>
      </c>
      <c r="O264" s="22" t="s">
        <v>16</v>
      </c>
      <c r="P264" s="22" t="s">
        <v>17</v>
      </c>
      <c r="Q264" s="22" t="s">
        <v>19</v>
      </c>
    </row>
    <row r="265" spans="1:17" x14ac:dyDescent="0.3">
      <c r="A265" s="27">
        <v>44</v>
      </c>
      <c r="B265" s="24">
        <v>100</v>
      </c>
      <c r="C265" s="25">
        <f>Sales!$B265*Sales!$A265</f>
        <v>4400</v>
      </c>
      <c r="D265" s="26">
        <v>38414</v>
      </c>
      <c r="E265" s="27" t="s">
        <v>9</v>
      </c>
      <c r="F265" s="27">
        <v>1</v>
      </c>
      <c r="G265" s="27">
        <v>3</v>
      </c>
      <c r="H265" s="27">
        <v>2005</v>
      </c>
      <c r="I265" s="27" t="s">
        <v>10</v>
      </c>
      <c r="J265" s="25">
        <v>150</v>
      </c>
      <c r="K265" s="25">
        <f>Sales!$B265-Sales!$J265</f>
        <v>-50</v>
      </c>
      <c r="L265" s="28">
        <f>(Sales!$J265-Sales!$B265)/Sales!$J265</f>
        <v>0.33333333333333331</v>
      </c>
      <c r="M265" s="28" t="str">
        <f t="shared" si="4"/>
        <v>+20%</v>
      </c>
      <c r="N265" s="27" t="s">
        <v>41</v>
      </c>
      <c r="O265" s="27" t="s">
        <v>12</v>
      </c>
      <c r="P265" s="27" t="s">
        <v>13</v>
      </c>
      <c r="Q265" s="27" t="s">
        <v>19</v>
      </c>
    </row>
    <row r="266" spans="1:17" x14ac:dyDescent="0.3">
      <c r="A266" s="22">
        <v>66</v>
      </c>
      <c r="B266" s="19">
        <v>100</v>
      </c>
      <c r="C266" s="20">
        <f>Sales!$B266*Sales!$A266</f>
        <v>6600</v>
      </c>
      <c r="D266" s="21">
        <v>38450</v>
      </c>
      <c r="E266" s="22" t="s">
        <v>9</v>
      </c>
      <c r="F266" s="22">
        <v>2</v>
      </c>
      <c r="G266" s="22">
        <v>4</v>
      </c>
      <c r="H266" s="22">
        <v>2005</v>
      </c>
      <c r="I266" s="22" t="s">
        <v>10</v>
      </c>
      <c r="J266" s="20">
        <v>150</v>
      </c>
      <c r="K266" s="20">
        <f>Sales!$B266-Sales!$J266</f>
        <v>-50</v>
      </c>
      <c r="L266" s="23">
        <f>(Sales!$J266-Sales!$B266)/Sales!$J266</f>
        <v>0.33333333333333331</v>
      </c>
      <c r="M266" s="23" t="str">
        <f t="shared" si="4"/>
        <v>+20%</v>
      </c>
      <c r="N266" s="22" t="s">
        <v>42</v>
      </c>
      <c r="O266" s="22" t="s">
        <v>43</v>
      </c>
      <c r="P266" s="22" t="s">
        <v>17</v>
      </c>
      <c r="Q266" s="22" t="s">
        <v>39</v>
      </c>
    </row>
    <row r="267" spans="1:17" x14ac:dyDescent="0.3">
      <c r="A267" s="27">
        <v>21</v>
      </c>
      <c r="B267" s="24">
        <v>100</v>
      </c>
      <c r="C267" s="25">
        <f>Sales!$B267*Sales!$A267</f>
        <v>2100</v>
      </c>
      <c r="D267" s="26">
        <v>38485</v>
      </c>
      <c r="E267" s="27" t="s">
        <v>44</v>
      </c>
      <c r="F267" s="27">
        <v>2</v>
      </c>
      <c r="G267" s="27">
        <v>5</v>
      </c>
      <c r="H267" s="27">
        <v>2005</v>
      </c>
      <c r="I267" s="27" t="s">
        <v>10</v>
      </c>
      <c r="J267" s="25">
        <v>150</v>
      </c>
      <c r="K267" s="25">
        <f>Sales!$B267-Sales!$J267</f>
        <v>-50</v>
      </c>
      <c r="L267" s="28">
        <f>(Sales!$J267-Sales!$B267)/Sales!$J267</f>
        <v>0.33333333333333331</v>
      </c>
      <c r="M267" s="28" t="str">
        <f t="shared" si="4"/>
        <v>+20%</v>
      </c>
      <c r="N267" s="27" t="s">
        <v>45</v>
      </c>
      <c r="O267" s="27" t="s">
        <v>46</v>
      </c>
      <c r="P267" s="27" t="s">
        <v>17</v>
      </c>
      <c r="Q267" s="27" t="s">
        <v>19</v>
      </c>
    </row>
    <row r="268" spans="1:17" x14ac:dyDescent="0.3">
      <c r="A268" s="22">
        <v>34</v>
      </c>
      <c r="B268" s="19">
        <v>100</v>
      </c>
      <c r="C268" s="20">
        <f>Sales!$B268*Sales!$A268</f>
        <v>3400</v>
      </c>
      <c r="D268" s="21">
        <v>37652</v>
      </c>
      <c r="E268" s="22" t="s">
        <v>9</v>
      </c>
      <c r="F268" s="22">
        <v>1</v>
      </c>
      <c r="G268" s="22">
        <v>1</v>
      </c>
      <c r="H268" s="22">
        <v>2003</v>
      </c>
      <c r="I268" s="22" t="s">
        <v>47</v>
      </c>
      <c r="J268" s="20">
        <v>151</v>
      </c>
      <c r="K268" s="20">
        <f>Sales!$B268-Sales!$J268</f>
        <v>-51</v>
      </c>
      <c r="L268" s="23">
        <f>(Sales!$J268-Sales!$B268)/Sales!$J268</f>
        <v>0.33774834437086093</v>
      </c>
      <c r="M268" s="23" t="str">
        <f t="shared" si="4"/>
        <v>+20%</v>
      </c>
      <c r="N268" s="22" t="s">
        <v>45</v>
      </c>
      <c r="O268" s="22" t="s">
        <v>46</v>
      </c>
      <c r="P268" s="22" t="s">
        <v>17</v>
      </c>
      <c r="Q268" s="22" t="s">
        <v>19</v>
      </c>
    </row>
    <row r="269" spans="1:17" x14ac:dyDescent="0.3">
      <c r="A269" s="27">
        <v>43</v>
      </c>
      <c r="B269" s="24">
        <v>100</v>
      </c>
      <c r="C269" s="25">
        <f>Sales!$B269*Sales!$A269</f>
        <v>4300</v>
      </c>
      <c r="D269" s="26">
        <v>37727</v>
      </c>
      <c r="E269" s="27" t="s">
        <v>9</v>
      </c>
      <c r="F269" s="27">
        <v>2</v>
      </c>
      <c r="G269" s="27">
        <v>4</v>
      </c>
      <c r="H269" s="27">
        <v>2003</v>
      </c>
      <c r="I269" s="27" t="s">
        <v>47</v>
      </c>
      <c r="J269" s="25">
        <v>151</v>
      </c>
      <c r="K269" s="25">
        <f>Sales!$B269-Sales!$J269</f>
        <v>-51</v>
      </c>
      <c r="L269" s="28">
        <f>(Sales!$J269-Sales!$B269)/Sales!$J269</f>
        <v>0.33774834437086093</v>
      </c>
      <c r="M269" s="28" t="str">
        <f t="shared" si="4"/>
        <v>+20%</v>
      </c>
      <c r="N269" s="27" t="s">
        <v>50</v>
      </c>
      <c r="O269" s="27" t="s">
        <v>50</v>
      </c>
      <c r="P269" s="27" t="s">
        <v>28</v>
      </c>
      <c r="Q269" s="27" t="s">
        <v>19</v>
      </c>
    </row>
    <row r="270" spans="1:17" x14ac:dyDescent="0.3">
      <c r="A270" s="22">
        <v>46</v>
      </c>
      <c r="B270" s="19">
        <v>100</v>
      </c>
      <c r="C270" s="20">
        <f>Sales!$B270*Sales!$A270</f>
        <v>4600</v>
      </c>
      <c r="D270" s="21">
        <v>37775</v>
      </c>
      <c r="E270" s="22" t="s">
        <v>9</v>
      </c>
      <c r="F270" s="22">
        <v>2</v>
      </c>
      <c r="G270" s="22">
        <v>6</v>
      </c>
      <c r="H270" s="22">
        <v>2003</v>
      </c>
      <c r="I270" s="22" t="s">
        <v>47</v>
      </c>
      <c r="J270" s="20">
        <v>151</v>
      </c>
      <c r="K270" s="20">
        <f>Sales!$B270-Sales!$J270</f>
        <v>-51</v>
      </c>
      <c r="L270" s="23">
        <f>(Sales!$J270-Sales!$B270)/Sales!$J270</f>
        <v>0.33774834437086093</v>
      </c>
      <c r="M270" s="23" t="str">
        <f t="shared" si="4"/>
        <v>+20%</v>
      </c>
      <c r="N270" s="22" t="s">
        <v>11</v>
      </c>
      <c r="O270" s="22" t="s">
        <v>12</v>
      </c>
      <c r="P270" s="22" t="s">
        <v>13</v>
      </c>
      <c r="Q270" s="22" t="s">
        <v>39</v>
      </c>
    </row>
    <row r="271" spans="1:17" x14ac:dyDescent="0.3">
      <c r="A271" s="27">
        <v>33</v>
      </c>
      <c r="B271" s="24">
        <v>100</v>
      </c>
      <c r="C271" s="25">
        <f>Sales!$B271*Sales!$A271</f>
        <v>3300</v>
      </c>
      <c r="D271" s="26">
        <v>37841</v>
      </c>
      <c r="E271" s="27" t="s">
        <v>9</v>
      </c>
      <c r="F271" s="27">
        <v>3</v>
      </c>
      <c r="G271" s="27">
        <v>8</v>
      </c>
      <c r="H271" s="27">
        <v>2003</v>
      </c>
      <c r="I271" s="27" t="s">
        <v>47</v>
      </c>
      <c r="J271" s="25">
        <v>151</v>
      </c>
      <c r="K271" s="25">
        <f>Sales!$B271-Sales!$J271</f>
        <v>-51</v>
      </c>
      <c r="L271" s="28">
        <f>(Sales!$J271-Sales!$B271)/Sales!$J271</f>
        <v>0.33774834437086093</v>
      </c>
      <c r="M271" s="28" t="str">
        <f t="shared" si="4"/>
        <v>+20%</v>
      </c>
      <c r="N271" s="27" t="s">
        <v>64</v>
      </c>
      <c r="O271" s="27" t="s">
        <v>12</v>
      </c>
      <c r="P271" s="27" t="s">
        <v>13</v>
      </c>
      <c r="Q271" s="27" t="s">
        <v>19</v>
      </c>
    </row>
    <row r="272" spans="1:17" x14ac:dyDescent="0.3">
      <c r="A272" s="22">
        <v>42</v>
      </c>
      <c r="B272" s="19">
        <v>100</v>
      </c>
      <c r="C272" s="20">
        <f>Sales!$B272*Sales!$A272</f>
        <v>4200</v>
      </c>
      <c r="D272" s="21">
        <v>37892</v>
      </c>
      <c r="E272" s="22" t="s">
        <v>9</v>
      </c>
      <c r="F272" s="22">
        <v>3</v>
      </c>
      <c r="G272" s="22">
        <v>9</v>
      </c>
      <c r="H272" s="22">
        <v>2003</v>
      </c>
      <c r="I272" s="22" t="s">
        <v>47</v>
      </c>
      <c r="J272" s="20">
        <v>151</v>
      </c>
      <c r="K272" s="20">
        <f>Sales!$B272-Sales!$J272</f>
        <v>-51</v>
      </c>
      <c r="L272" s="23">
        <f>(Sales!$J272-Sales!$B272)/Sales!$J272</f>
        <v>0.33774834437086093</v>
      </c>
      <c r="M272" s="23" t="str">
        <f t="shared" si="4"/>
        <v>+20%</v>
      </c>
      <c r="N272" s="22" t="s">
        <v>45</v>
      </c>
      <c r="O272" s="22" t="s">
        <v>46</v>
      </c>
      <c r="P272" s="22" t="s">
        <v>17</v>
      </c>
      <c r="Q272" s="22" t="s">
        <v>19</v>
      </c>
    </row>
    <row r="273" spans="1:17" x14ac:dyDescent="0.3">
      <c r="A273" s="27">
        <v>34</v>
      </c>
      <c r="B273" s="24">
        <v>100</v>
      </c>
      <c r="C273" s="25">
        <f>Sales!$B273*Sales!$A273</f>
        <v>3400</v>
      </c>
      <c r="D273" s="26">
        <v>37916</v>
      </c>
      <c r="E273" s="27" t="s">
        <v>9</v>
      </c>
      <c r="F273" s="27">
        <v>4</v>
      </c>
      <c r="G273" s="27">
        <v>10</v>
      </c>
      <c r="H273" s="27">
        <v>2003</v>
      </c>
      <c r="I273" s="27" t="s">
        <v>47</v>
      </c>
      <c r="J273" s="25">
        <v>151</v>
      </c>
      <c r="K273" s="25">
        <f>Sales!$B273-Sales!$J273</f>
        <v>-51</v>
      </c>
      <c r="L273" s="28">
        <f>(Sales!$J273-Sales!$B273)/Sales!$J273</f>
        <v>0.33774834437086093</v>
      </c>
      <c r="M273" s="28" t="str">
        <f t="shared" si="4"/>
        <v>+20%</v>
      </c>
      <c r="N273" s="27" t="s">
        <v>50</v>
      </c>
      <c r="O273" s="27" t="s">
        <v>50</v>
      </c>
      <c r="P273" s="27" t="s">
        <v>28</v>
      </c>
      <c r="Q273" s="27" t="s">
        <v>19</v>
      </c>
    </row>
    <row r="274" spans="1:17" x14ac:dyDescent="0.3">
      <c r="A274" s="22">
        <v>47</v>
      </c>
      <c r="B274" s="19">
        <v>100</v>
      </c>
      <c r="C274" s="20">
        <f>Sales!$B274*Sales!$A274</f>
        <v>4700</v>
      </c>
      <c r="D274" s="21">
        <v>37931</v>
      </c>
      <c r="E274" s="22" t="s">
        <v>9</v>
      </c>
      <c r="F274" s="22">
        <v>4</v>
      </c>
      <c r="G274" s="22">
        <v>11</v>
      </c>
      <c r="H274" s="22">
        <v>2003</v>
      </c>
      <c r="I274" s="22" t="s">
        <v>47</v>
      </c>
      <c r="J274" s="20">
        <v>151</v>
      </c>
      <c r="K274" s="20">
        <f>Sales!$B274-Sales!$J274</f>
        <v>-51</v>
      </c>
      <c r="L274" s="23">
        <f>(Sales!$J274-Sales!$B274)/Sales!$J274</f>
        <v>0.33774834437086093</v>
      </c>
      <c r="M274" s="23" t="str">
        <f t="shared" si="4"/>
        <v>+20%</v>
      </c>
      <c r="N274" s="22" t="s">
        <v>97</v>
      </c>
      <c r="O274" s="22" t="s">
        <v>61</v>
      </c>
      <c r="P274" s="22" t="s">
        <v>17</v>
      </c>
      <c r="Q274" s="22" t="s">
        <v>39</v>
      </c>
    </row>
    <row r="275" spans="1:17" x14ac:dyDescent="0.3">
      <c r="A275" s="27">
        <v>33</v>
      </c>
      <c r="B275" s="24">
        <v>100</v>
      </c>
      <c r="C275" s="25">
        <f>Sales!$B275*Sales!$A275</f>
        <v>3300</v>
      </c>
      <c r="D275" s="26">
        <v>37939</v>
      </c>
      <c r="E275" s="27" t="s">
        <v>9</v>
      </c>
      <c r="F275" s="27">
        <v>4</v>
      </c>
      <c r="G275" s="27">
        <v>11</v>
      </c>
      <c r="H275" s="27">
        <v>2003</v>
      </c>
      <c r="I275" s="27" t="s">
        <v>47</v>
      </c>
      <c r="J275" s="25">
        <v>151</v>
      </c>
      <c r="K275" s="25">
        <f>Sales!$B275-Sales!$J275</f>
        <v>-51</v>
      </c>
      <c r="L275" s="28">
        <f>(Sales!$J275-Sales!$B275)/Sales!$J275</f>
        <v>0.33774834437086093</v>
      </c>
      <c r="M275" s="28" t="str">
        <f t="shared" si="4"/>
        <v>+20%</v>
      </c>
      <c r="N275" s="27" t="s">
        <v>41</v>
      </c>
      <c r="O275" s="27" t="s">
        <v>12</v>
      </c>
      <c r="P275" s="27" t="s">
        <v>13</v>
      </c>
      <c r="Q275" s="27" t="s">
        <v>19</v>
      </c>
    </row>
    <row r="276" spans="1:17" x14ac:dyDescent="0.3">
      <c r="A276" s="22">
        <v>24</v>
      </c>
      <c r="B276" s="19">
        <v>100</v>
      </c>
      <c r="C276" s="20">
        <f>Sales!$B276*Sales!$A276</f>
        <v>2400</v>
      </c>
      <c r="D276" s="21">
        <v>37951</v>
      </c>
      <c r="E276" s="22" t="s">
        <v>9</v>
      </c>
      <c r="F276" s="22">
        <v>4</v>
      </c>
      <c r="G276" s="22">
        <v>11</v>
      </c>
      <c r="H276" s="22">
        <v>2003</v>
      </c>
      <c r="I276" s="22" t="s">
        <v>47</v>
      </c>
      <c r="J276" s="20">
        <v>151</v>
      </c>
      <c r="K276" s="20">
        <f>Sales!$B276-Sales!$J276</f>
        <v>-51</v>
      </c>
      <c r="L276" s="23">
        <f>(Sales!$J276-Sales!$B276)/Sales!$J276</f>
        <v>0.33774834437086093</v>
      </c>
      <c r="M276" s="23" t="str">
        <f t="shared" si="4"/>
        <v>+20%</v>
      </c>
      <c r="N276" s="22" t="s">
        <v>58</v>
      </c>
      <c r="O276" s="22" t="s">
        <v>12</v>
      </c>
      <c r="P276" s="22" t="s">
        <v>13</v>
      </c>
      <c r="Q276" s="22" t="s">
        <v>19</v>
      </c>
    </row>
    <row r="277" spans="1:17" x14ac:dyDescent="0.3">
      <c r="A277" s="27">
        <v>26</v>
      </c>
      <c r="B277" s="24">
        <v>100</v>
      </c>
      <c r="C277" s="25">
        <f>Sales!$B277*Sales!$A277</f>
        <v>2600</v>
      </c>
      <c r="D277" s="26">
        <v>37988</v>
      </c>
      <c r="E277" s="27" t="s">
        <v>9</v>
      </c>
      <c r="F277" s="27">
        <v>1</v>
      </c>
      <c r="G277" s="27">
        <v>1</v>
      </c>
      <c r="H277" s="27">
        <v>2004</v>
      </c>
      <c r="I277" s="27" t="s">
        <v>47</v>
      </c>
      <c r="J277" s="25">
        <v>151</v>
      </c>
      <c r="K277" s="25">
        <f>Sales!$B277-Sales!$J277</f>
        <v>-51</v>
      </c>
      <c r="L277" s="28">
        <f>(Sales!$J277-Sales!$B277)/Sales!$J277</f>
        <v>0.33774834437086093</v>
      </c>
      <c r="M277" s="28" t="str">
        <f t="shared" si="4"/>
        <v>+20%</v>
      </c>
      <c r="N277" s="27" t="s">
        <v>54</v>
      </c>
      <c r="O277" s="27" t="s">
        <v>16</v>
      </c>
      <c r="P277" s="27" t="s">
        <v>17</v>
      </c>
      <c r="Q277" s="27" t="s">
        <v>19</v>
      </c>
    </row>
    <row r="278" spans="1:17" x14ac:dyDescent="0.3">
      <c r="A278" s="22">
        <v>30</v>
      </c>
      <c r="B278" s="19">
        <v>100</v>
      </c>
      <c r="C278" s="20">
        <f>Sales!$B278*Sales!$A278</f>
        <v>3000</v>
      </c>
      <c r="D278" s="21">
        <v>38029</v>
      </c>
      <c r="E278" s="22" t="s">
        <v>9</v>
      </c>
      <c r="F278" s="22">
        <v>1</v>
      </c>
      <c r="G278" s="22">
        <v>2</v>
      </c>
      <c r="H278" s="22">
        <v>2004</v>
      </c>
      <c r="I278" s="22" t="s">
        <v>47</v>
      </c>
      <c r="J278" s="20">
        <v>151</v>
      </c>
      <c r="K278" s="20">
        <f>Sales!$B278-Sales!$J278</f>
        <v>-51</v>
      </c>
      <c r="L278" s="23">
        <f>(Sales!$J278-Sales!$B278)/Sales!$J278</f>
        <v>0.33774834437086093</v>
      </c>
      <c r="M278" s="23" t="str">
        <f t="shared" si="4"/>
        <v>+20%</v>
      </c>
      <c r="N278" s="22" t="s">
        <v>100</v>
      </c>
      <c r="O278" s="22" t="s">
        <v>101</v>
      </c>
      <c r="P278" s="22" t="s">
        <v>17</v>
      </c>
      <c r="Q278" s="22" t="s">
        <v>19</v>
      </c>
    </row>
    <row r="279" spans="1:17" x14ac:dyDescent="0.3">
      <c r="A279" s="27">
        <v>43</v>
      </c>
      <c r="B279" s="24">
        <v>100</v>
      </c>
      <c r="C279" s="25">
        <f>Sales!$B279*Sales!$A279</f>
        <v>4300</v>
      </c>
      <c r="D279" s="26">
        <v>38061</v>
      </c>
      <c r="E279" s="27" t="s">
        <v>9</v>
      </c>
      <c r="F279" s="27">
        <v>1</v>
      </c>
      <c r="G279" s="27">
        <v>3</v>
      </c>
      <c r="H279" s="27">
        <v>2004</v>
      </c>
      <c r="I279" s="27" t="s">
        <v>47</v>
      </c>
      <c r="J279" s="25">
        <v>151</v>
      </c>
      <c r="K279" s="25">
        <f>Sales!$B279-Sales!$J279</f>
        <v>-51</v>
      </c>
      <c r="L279" s="28">
        <f>(Sales!$J279-Sales!$B279)/Sales!$J279</f>
        <v>0.33774834437086093</v>
      </c>
      <c r="M279" s="28" t="str">
        <f t="shared" si="4"/>
        <v>+20%</v>
      </c>
      <c r="N279" s="27" t="s">
        <v>98</v>
      </c>
      <c r="O279" s="27" t="s">
        <v>94</v>
      </c>
      <c r="P279" s="27" t="s">
        <v>17</v>
      </c>
      <c r="Q279" s="27" t="s">
        <v>39</v>
      </c>
    </row>
    <row r="280" spans="1:17" x14ac:dyDescent="0.3">
      <c r="A280" s="22">
        <v>25</v>
      </c>
      <c r="B280" s="19">
        <v>100</v>
      </c>
      <c r="C280" s="20">
        <f>Sales!$B280*Sales!$A280</f>
        <v>2500</v>
      </c>
      <c r="D280" s="21">
        <v>38112</v>
      </c>
      <c r="E280" s="22" t="s">
        <v>9</v>
      </c>
      <c r="F280" s="22">
        <v>2</v>
      </c>
      <c r="G280" s="22">
        <v>5</v>
      </c>
      <c r="H280" s="22">
        <v>2004</v>
      </c>
      <c r="I280" s="22" t="s">
        <v>47</v>
      </c>
      <c r="J280" s="20">
        <v>151</v>
      </c>
      <c r="K280" s="20">
        <f>Sales!$B280-Sales!$J280</f>
        <v>-51</v>
      </c>
      <c r="L280" s="23">
        <f>(Sales!$J280-Sales!$B280)/Sales!$J280</f>
        <v>0.33774834437086093</v>
      </c>
      <c r="M280" s="23" t="str">
        <f t="shared" si="4"/>
        <v>+20%</v>
      </c>
      <c r="N280" s="22" t="s">
        <v>99</v>
      </c>
      <c r="O280" s="22" t="s">
        <v>34</v>
      </c>
      <c r="P280" s="22" t="s">
        <v>17</v>
      </c>
      <c r="Q280" s="22" t="s">
        <v>19</v>
      </c>
    </row>
    <row r="281" spans="1:17" x14ac:dyDescent="0.3">
      <c r="A281" s="27">
        <v>27</v>
      </c>
      <c r="B281" s="24">
        <v>100</v>
      </c>
      <c r="C281" s="25">
        <f>Sales!$B281*Sales!$A281</f>
        <v>2700</v>
      </c>
      <c r="D281" s="26">
        <v>38188</v>
      </c>
      <c r="E281" s="27" t="s">
        <v>9</v>
      </c>
      <c r="F281" s="27">
        <v>3</v>
      </c>
      <c r="G281" s="27">
        <v>7</v>
      </c>
      <c r="H281" s="27">
        <v>2004</v>
      </c>
      <c r="I281" s="27" t="s">
        <v>47</v>
      </c>
      <c r="J281" s="25">
        <v>151</v>
      </c>
      <c r="K281" s="25">
        <f>Sales!$B281-Sales!$J281</f>
        <v>-51</v>
      </c>
      <c r="L281" s="28">
        <f>(Sales!$J281-Sales!$B281)/Sales!$J281</f>
        <v>0.33774834437086093</v>
      </c>
      <c r="M281" s="28" t="str">
        <f t="shared" si="4"/>
        <v>+20%</v>
      </c>
      <c r="N281" s="27" t="s">
        <v>36</v>
      </c>
      <c r="O281" s="27" t="s">
        <v>12</v>
      </c>
      <c r="P281" s="27" t="s">
        <v>13</v>
      </c>
      <c r="Q281" s="27" t="s">
        <v>19</v>
      </c>
    </row>
    <row r="282" spans="1:17" x14ac:dyDescent="0.3">
      <c r="A282" s="22">
        <v>27</v>
      </c>
      <c r="B282" s="19">
        <v>100</v>
      </c>
      <c r="C282" s="20">
        <f>Sales!$B282*Sales!$A282</f>
        <v>2700</v>
      </c>
      <c r="D282" s="21">
        <v>38219</v>
      </c>
      <c r="E282" s="22" t="s">
        <v>9</v>
      </c>
      <c r="F282" s="22">
        <v>3</v>
      </c>
      <c r="G282" s="22">
        <v>8</v>
      </c>
      <c r="H282" s="22">
        <v>2004</v>
      </c>
      <c r="I282" s="22" t="s">
        <v>47</v>
      </c>
      <c r="J282" s="20">
        <v>151</v>
      </c>
      <c r="K282" s="20">
        <f>Sales!$B282-Sales!$J282</f>
        <v>-51</v>
      </c>
      <c r="L282" s="23">
        <f>(Sales!$J282-Sales!$B282)/Sales!$J282</f>
        <v>0.33774834437086093</v>
      </c>
      <c r="M282" s="23" t="str">
        <f t="shared" si="4"/>
        <v>+20%</v>
      </c>
      <c r="N282" s="22" t="s">
        <v>64</v>
      </c>
      <c r="O282" s="22" t="s">
        <v>12</v>
      </c>
      <c r="P282" s="22" t="s">
        <v>13</v>
      </c>
      <c r="Q282" s="22" t="s">
        <v>19</v>
      </c>
    </row>
    <row r="283" spans="1:17" x14ac:dyDescent="0.3">
      <c r="A283" s="27">
        <v>24</v>
      </c>
      <c r="B283" s="24">
        <v>100</v>
      </c>
      <c r="C283" s="25">
        <f>Sales!$B283*Sales!$A283</f>
        <v>2400</v>
      </c>
      <c r="D283" s="26">
        <v>38239</v>
      </c>
      <c r="E283" s="27" t="s">
        <v>9</v>
      </c>
      <c r="F283" s="27">
        <v>3</v>
      </c>
      <c r="G283" s="27">
        <v>9</v>
      </c>
      <c r="H283" s="27">
        <v>2004</v>
      </c>
      <c r="I283" s="27" t="s">
        <v>47</v>
      </c>
      <c r="J283" s="25">
        <v>151</v>
      </c>
      <c r="K283" s="25">
        <f>Sales!$B283-Sales!$J283</f>
        <v>-51</v>
      </c>
      <c r="L283" s="28">
        <f>(Sales!$J283-Sales!$B283)/Sales!$J283</f>
        <v>0.33774834437086093</v>
      </c>
      <c r="M283" s="28" t="str">
        <f t="shared" si="4"/>
        <v>+20%</v>
      </c>
      <c r="N283" s="27" t="s">
        <v>60</v>
      </c>
      <c r="O283" s="27" t="s">
        <v>61</v>
      </c>
      <c r="P283" s="27" t="s">
        <v>17</v>
      </c>
      <c r="Q283" s="27" t="s">
        <v>19</v>
      </c>
    </row>
    <row r="284" spans="1:17" x14ac:dyDescent="0.3">
      <c r="A284" s="22">
        <v>34</v>
      </c>
      <c r="B284" s="19">
        <v>100</v>
      </c>
      <c r="C284" s="20">
        <f>Sales!$B284*Sales!$A284</f>
        <v>3400</v>
      </c>
      <c r="D284" s="21">
        <v>38274</v>
      </c>
      <c r="E284" s="22" t="s">
        <v>9</v>
      </c>
      <c r="F284" s="22">
        <v>4</v>
      </c>
      <c r="G284" s="22">
        <v>10</v>
      </c>
      <c r="H284" s="22">
        <v>2004</v>
      </c>
      <c r="I284" s="22" t="s">
        <v>47</v>
      </c>
      <c r="J284" s="20">
        <v>151</v>
      </c>
      <c r="K284" s="20">
        <f>Sales!$B284-Sales!$J284</f>
        <v>-51</v>
      </c>
      <c r="L284" s="23">
        <f>(Sales!$J284-Sales!$B284)/Sales!$J284</f>
        <v>0.33774834437086093</v>
      </c>
      <c r="M284" s="23" t="str">
        <f t="shared" si="4"/>
        <v>+20%</v>
      </c>
      <c r="N284" s="22" t="s">
        <v>102</v>
      </c>
      <c r="O284" s="22" t="s">
        <v>43</v>
      </c>
      <c r="P284" s="22" t="s">
        <v>17</v>
      </c>
      <c r="Q284" s="22" t="s">
        <v>19</v>
      </c>
    </row>
    <row r="285" spans="1:17" x14ac:dyDescent="0.3">
      <c r="A285" s="27">
        <v>46</v>
      </c>
      <c r="B285" s="24">
        <v>100</v>
      </c>
      <c r="C285" s="25">
        <f>Sales!$B285*Sales!$A285</f>
        <v>4600</v>
      </c>
      <c r="D285" s="26">
        <v>38282</v>
      </c>
      <c r="E285" s="27" t="s">
        <v>9</v>
      </c>
      <c r="F285" s="27">
        <v>4</v>
      </c>
      <c r="G285" s="27">
        <v>10</v>
      </c>
      <c r="H285" s="27">
        <v>2004</v>
      </c>
      <c r="I285" s="27" t="s">
        <v>47</v>
      </c>
      <c r="J285" s="25">
        <v>151</v>
      </c>
      <c r="K285" s="25">
        <f>Sales!$B285-Sales!$J285</f>
        <v>-51</v>
      </c>
      <c r="L285" s="28">
        <f>(Sales!$J285-Sales!$B285)/Sales!$J285</f>
        <v>0.33774834437086093</v>
      </c>
      <c r="M285" s="28" t="str">
        <f t="shared" si="4"/>
        <v>+20%</v>
      </c>
      <c r="N285" s="27" t="s">
        <v>103</v>
      </c>
      <c r="O285" s="27" t="s">
        <v>73</v>
      </c>
      <c r="P285" s="27" t="s">
        <v>17</v>
      </c>
      <c r="Q285" s="27" t="s">
        <v>19</v>
      </c>
    </row>
    <row r="286" spans="1:17" x14ac:dyDescent="0.3">
      <c r="A286" s="22">
        <v>27</v>
      </c>
      <c r="B286" s="19">
        <v>54.33</v>
      </c>
      <c r="C286" s="20">
        <f>Sales!$B286*Sales!$A286</f>
        <v>1466.9099999999999</v>
      </c>
      <c r="D286" s="21">
        <v>38296</v>
      </c>
      <c r="E286" s="22" t="s">
        <v>9</v>
      </c>
      <c r="F286" s="22">
        <v>4</v>
      </c>
      <c r="G286" s="22">
        <v>11</v>
      </c>
      <c r="H286" s="22">
        <v>2004</v>
      </c>
      <c r="I286" s="22" t="s">
        <v>47</v>
      </c>
      <c r="J286" s="20">
        <v>151</v>
      </c>
      <c r="K286" s="20">
        <f>Sales!$B286-Sales!$J286</f>
        <v>-96.67</v>
      </c>
      <c r="L286" s="23">
        <f>(Sales!$J286-Sales!$B286)/Sales!$J286</f>
        <v>0.64019867549668874</v>
      </c>
      <c r="M286" s="23" t="str">
        <f t="shared" si="4"/>
        <v>+20%</v>
      </c>
      <c r="N286" s="22" t="s">
        <v>11</v>
      </c>
      <c r="O286" s="22" t="s">
        <v>12</v>
      </c>
      <c r="P286" s="22" t="s">
        <v>13</v>
      </c>
      <c r="Q286" s="22" t="s">
        <v>14</v>
      </c>
    </row>
    <row r="287" spans="1:17" x14ac:dyDescent="0.3">
      <c r="A287" s="27">
        <v>33</v>
      </c>
      <c r="B287" s="24">
        <v>100</v>
      </c>
      <c r="C287" s="25">
        <f>Sales!$B287*Sales!$A287</f>
        <v>3300</v>
      </c>
      <c r="D287" s="26">
        <v>38311</v>
      </c>
      <c r="E287" s="27" t="s">
        <v>9</v>
      </c>
      <c r="F287" s="27">
        <v>4</v>
      </c>
      <c r="G287" s="27">
        <v>11</v>
      </c>
      <c r="H287" s="27">
        <v>2004</v>
      </c>
      <c r="I287" s="27" t="s">
        <v>47</v>
      </c>
      <c r="J287" s="25">
        <v>151</v>
      </c>
      <c r="K287" s="25">
        <f>Sales!$B287-Sales!$J287</f>
        <v>-51</v>
      </c>
      <c r="L287" s="28">
        <f>(Sales!$J287-Sales!$B287)/Sales!$J287</f>
        <v>0.33774834437086093</v>
      </c>
      <c r="M287" s="28" t="str">
        <f t="shared" si="4"/>
        <v>+20%</v>
      </c>
      <c r="N287" s="27" t="s">
        <v>18</v>
      </c>
      <c r="O287" s="27" t="s">
        <v>16</v>
      </c>
      <c r="P287" s="27" t="s">
        <v>17</v>
      </c>
      <c r="Q287" s="27" t="s">
        <v>19</v>
      </c>
    </row>
    <row r="288" spans="1:17" x14ac:dyDescent="0.3">
      <c r="A288" s="22">
        <v>47</v>
      </c>
      <c r="B288" s="19">
        <v>100</v>
      </c>
      <c r="C288" s="20">
        <f>Sales!$B288*Sales!$A288</f>
        <v>4700</v>
      </c>
      <c r="D288" s="21">
        <v>38292</v>
      </c>
      <c r="E288" s="22" t="s">
        <v>9</v>
      </c>
      <c r="F288" s="22">
        <v>4</v>
      </c>
      <c r="G288" s="22">
        <v>11</v>
      </c>
      <c r="H288" s="22">
        <v>2004</v>
      </c>
      <c r="I288" s="22" t="s">
        <v>47</v>
      </c>
      <c r="J288" s="20">
        <v>151</v>
      </c>
      <c r="K288" s="20">
        <f>Sales!$B288-Sales!$J288</f>
        <v>-51</v>
      </c>
      <c r="L288" s="23">
        <f>(Sales!$J288-Sales!$B288)/Sales!$J288</f>
        <v>0.33774834437086093</v>
      </c>
      <c r="M288" s="23" t="str">
        <f t="shared" si="4"/>
        <v>+20%</v>
      </c>
      <c r="N288" s="22" t="s">
        <v>45</v>
      </c>
      <c r="O288" s="22" t="s">
        <v>46</v>
      </c>
      <c r="P288" s="22" t="s">
        <v>17</v>
      </c>
      <c r="Q288" s="22" t="s">
        <v>19</v>
      </c>
    </row>
    <row r="289" spans="1:17" x14ac:dyDescent="0.3">
      <c r="A289" s="27">
        <v>49</v>
      </c>
      <c r="B289" s="24">
        <v>55.34</v>
      </c>
      <c r="C289" s="25">
        <f>Sales!$B289*Sales!$A289</f>
        <v>2711.6600000000003</v>
      </c>
      <c r="D289" s="26">
        <v>38331</v>
      </c>
      <c r="E289" s="27" t="s">
        <v>9</v>
      </c>
      <c r="F289" s="27">
        <v>4</v>
      </c>
      <c r="G289" s="27">
        <v>12</v>
      </c>
      <c r="H289" s="27">
        <v>2004</v>
      </c>
      <c r="I289" s="27" t="s">
        <v>47</v>
      </c>
      <c r="J289" s="25">
        <v>151</v>
      </c>
      <c r="K289" s="25">
        <f>Sales!$B289-Sales!$J289</f>
        <v>-95.66</v>
      </c>
      <c r="L289" s="28">
        <f>(Sales!$J289-Sales!$B289)/Sales!$J289</f>
        <v>0.63350993377483444</v>
      </c>
      <c r="M289" s="28" t="str">
        <f t="shared" si="4"/>
        <v>+20%</v>
      </c>
      <c r="N289" s="27" t="s">
        <v>45</v>
      </c>
      <c r="O289" s="27" t="s">
        <v>46</v>
      </c>
      <c r="P289" s="27" t="s">
        <v>17</v>
      </c>
      <c r="Q289" s="27" t="s">
        <v>14</v>
      </c>
    </row>
    <row r="290" spans="1:17" x14ac:dyDescent="0.3">
      <c r="A290" s="22">
        <v>40</v>
      </c>
      <c r="B290" s="19">
        <v>100</v>
      </c>
      <c r="C290" s="20">
        <f>Sales!$B290*Sales!$A290</f>
        <v>4000</v>
      </c>
      <c r="D290" s="21">
        <v>38378</v>
      </c>
      <c r="E290" s="22" t="s">
        <v>9</v>
      </c>
      <c r="F290" s="22">
        <v>1</v>
      </c>
      <c r="G290" s="22">
        <v>1</v>
      </c>
      <c r="H290" s="22">
        <v>2005</v>
      </c>
      <c r="I290" s="22" t="s">
        <v>47</v>
      </c>
      <c r="J290" s="20">
        <v>151</v>
      </c>
      <c r="K290" s="20">
        <f>Sales!$B290-Sales!$J290</f>
        <v>-51</v>
      </c>
      <c r="L290" s="23">
        <f>(Sales!$J290-Sales!$B290)/Sales!$J290</f>
        <v>0.33774834437086093</v>
      </c>
      <c r="M290" s="23" t="str">
        <f t="shared" si="4"/>
        <v>+20%</v>
      </c>
      <c r="N290" s="22" t="s">
        <v>59</v>
      </c>
      <c r="O290" s="22" t="s">
        <v>51</v>
      </c>
      <c r="P290" s="22" t="s">
        <v>51</v>
      </c>
      <c r="Q290" s="22" t="s">
        <v>19</v>
      </c>
    </row>
    <row r="291" spans="1:17" x14ac:dyDescent="0.3">
      <c r="A291" s="27">
        <v>37</v>
      </c>
      <c r="B291" s="24">
        <v>100</v>
      </c>
      <c r="C291" s="25">
        <f>Sales!$B291*Sales!$A291</f>
        <v>3700</v>
      </c>
      <c r="D291" s="26">
        <v>38400</v>
      </c>
      <c r="E291" s="27" t="s">
        <v>9</v>
      </c>
      <c r="F291" s="27">
        <v>1</v>
      </c>
      <c r="G291" s="27">
        <v>2</v>
      </c>
      <c r="H291" s="27">
        <v>2005</v>
      </c>
      <c r="I291" s="27" t="s">
        <v>47</v>
      </c>
      <c r="J291" s="25">
        <v>151</v>
      </c>
      <c r="K291" s="25">
        <f>Sales!$B291-Sales!$J291</f>
        <v>-51</v>
      </c>
      <c r="L291" s="28">
        <f>(Sales!$J291-Sales!$B291)/Sales!$J291</f>
        <v>0.33774834437086093</v>
      </c>
      <c r="M291" s="28" t="str">
        <f t="shared" si="4"/>
        <v>+20%</v>
      </c>
      <c r="N291" s="27" t="s">
        <v>64</v>
      </c>
      <c r="O291" s="27" t="s">
        <v>12</v>
      </c>
      <c r="P291" s="27" t="s">
        <v>13</v>
      </c>
      <c r="Q291" s="27" t="s">
        <v>19</v>
      </c>
    </row>
    <row r="292" spans="1:17" x14ac:dyDescent="0.3">
      <c r="A292" s="22">
        <v>47</v>
      </c>
      <c r="B292" s="19">
        <v>100</v>
      </c>
      <c r="C292" s="20">
        <f>Sales!$B292*Sales!$A292</f>
        <v>4700</v>
      </c>
      <c r="D292" s="21">
        <v>38477</v>
      </c>
      <c r="E292" s="22" t="s">
        <v>9</v>
      </c>
      <c r="F292" s="22">
        <v>2</v>
      </c>
      <c r="G292" s="22">
        <v>5</v>
      </c>
      <c r="H292" s="22">
        <v>2005</v>
      </c>
      <c r="I292" s="22" t="s">
        <v>47</v>
      </c>
      <c r="J292" s="20">
        <v>151</v>
      </c>
      <c r="K292" s="20">
        <f>Sales!$B292-Sales!$J292</f>
        <v>-51</v>
      </c>
      <c r="L292" s="23">
        <f>(Sales!$J292-Sales!$B292)/Sales!$J292</f>
        <v>0.33774834437086093</v>
      </c>
      <c r="M292" s="23" t="str">
        <f t="shared" si="4"/>
        <v>+20%</v>
      </c>
      <c r="N292" s="22" t="s">
        <v>30</v>
      </c>
      <c r="O292" s="22" t="s">
        <v>12</v>
      </c>
      <c r="P292" s="22" t="s">
        <v>13</v>
      </c>
      <c r="Q292" s="22" t="s">
        <v>39</v>
      </c>
    </row>
    <row r="293" spans="1:17" x14ac:dyDescent="0.3">
      <c r="A293" s="27">
        <v>45</v>
      </c>
      <c r="B293" s="24">
        <v>100</v>
      </c>
      <c r="C293" s="25">
        <f>Sales!$B293*Sales!$A293</f>
        <v>4500</v>
      </c>
      <c r="D293" s="26">
        <v>37683</v>
      </c>
      <c r="E293" s="27" t="s">
        <v>9</v>
      </c>
      <c r="F293" s="27">
        <v>1</v>
      </c>
      <c r="G293" s="27">
        <v>3</v>
      </c>
      <c r="H293" s="27">
        <v>2003</v>
      </c>
      <c r="I293" s="27" t="s">
        <v>47</v>
      </c>
      <c r="J293" s="25">
        <v>117</v>
      </c>
      <c r="K293" s="25">
        <f>Sales!$B293-Sales!$J293</f>
        <v>-17</v>
      </c>
      <c r="L293" s="28">
        <f>(Sales!$J293-Sales!$B293)/Sales!$J293</f>
        <v>0.14529914529914531</v>
      </c>
      <c r="M293" s="28" t="str">
        <f t="shared" si="4"/>
        <v>10%-15%</v>
      </c>
      <c r="N293" s="27" t="s">
        <v>90</v>
      </c>
      <c r="O293" s="27" t="s">
        <v>91</v>
      </c>
      <c r="P293" s="27" t="s">
        <v>28</v>
      </c>
      <c r="Q293" s="27" t="s">
        <v>19</v>
      </c>
    </row>
    <row r="294" spans="1:17" x14ac:dyDescent="0.3">
      <c r="A294" s="22">
        <v>37</v>
      </c>
      <c r="B294" s="19">
        <v>99.82</v>
      </c>
      <c r="C294" s="20">
        <f>Sales!$B294*Sales!$A294</f>
        <v>3693.3399999999997</v>
      </c>
      <c r="D294" s="21">
        <v>37749</v>
      </c>
      <c r="E294" s="22" t="s">
        <v>9</v>
      </c>
      <c r="F294" s="22">
        <v>2</v>
      </c>
      <c r="G294" s="22">
        <v>5</v>
      </c>
      <c r="H294" s="22">
        <v>2003</v>
      </c>
      <c r="I294" s="22" t="s">
        <v>47</v>
      </c>
      <c r="J294" s="20">
        <v>117</v>
      </c>
      <c r="K294" s="20">
        <f>Sales!$B294-Sales!$J294</f>
        <v>-17.180000000000007</v>
      </c>
      <c r="L294" s="23">
        <f>(Sales!$J294-Sales!$B294)/Sales!$J294</f>
        <v>0.14683760683760688</v>
      </c>
      <c r="M294" s="23" t="str">
        <f t="shared" si="4"/>
        <v>10%-15%</v>
      </c>
      <c r="N294" s="22" t="s">
        <v>92</v>
      </c>
      <c r="O294" s="22" t="s">
        <v>16</v>
      </c>
      <c r="P294" s="22" t="s">
        <v>17</v>
      </c>
      <c r="Q294" s="22" t="s">
        <v>19</v>
      </c>
    </row>
    <row r="295" spans="1:17" x14ac:dyDescent="0.3">
      <c r="A295" s="27">
        <v>48</v>
      </c>
      <c r="B295" s="24">
        <v>100</v>
      </c>
      <c r="C295" s="25">
        <f>Sales!$B295*Sales!$A295</f>
        <v>4800</v>
      </c>
      <c r="D295" s="26">
        <v>37804</v>
      </c>
      <c r="E295" s="27" t="s">
        <v>9</v>
      </c>
      <c r="F295" s="27">
        <v>3</v>
      </c>
      <c r="G295" s="27">
        <v>7</v>
      </c>
      <c r="H295" s="27">
        <v>2003</v>
      </c>
      <c r="I295" s="27" t="s">
        <v>47</v>
      </c>
      <c r="J295" s="25">
        <v>117</v>
      </c>
      <c r="K295" s="25">
        <f>Sales!$B295-Sales!$J295</f>
        <v>-17</v>
      </c>
      <c r="L295" s="28">
        <f>(Sales!$J295-Sales!$B295)/Sales!$J295</f>
        <v>0.14529914529914531</v>
      </c>
      <c r="M295" s="28" t="str">
        <f t="shared" si="4"/>
        <v>10%-15%</v>
      </c>
      <c r="N295" s="27" t="s">
        <v>64</v>
      </c>
      <c r="O295" s="27" t="s">
        <v>12</v>
      </c>
      <c r="P295" s="27" t="s">
        <v>13</v>
      </c>
      <c r="Q295" s="27" t="s">
        <v>19</v>
      </c>
    </row>
    <row r="296" spans="1:17" x14ac:dyDescent="0.3">
      <c r="A296" s="22">
        <v>31</v>
      </c>
      <c r="B296" s="19">
        <v>100</v>
      </c>
      <c r="C296" s="20">
        <f>Sales!$B296*Sales!$A296</f>
        <v>3100</v>
      </c>
      <c r="D296" s="21">
        <v>37869</v>
      </c>
      <c r="E296" s="22" t="s">
        <v>9</v>
      </c>
      <c r="F296" s="22">
        <v>3</v>
      </c>
      <c r="G296" s="22">
        <v>9</v>
      </c>
      <c r="H296" s="22">
        <v>2003</v>
      </c>
      <c r="I296" s="22" t="s">
        <v>47</v>
      </c>
      <c r="J296" s="20">
        <v>117</v>
      </c>
      <c r="K296" s="20">
        <f>Sales!$B296-Sales!$J296</f>
        <v>-17</v>
      </c>
      <c r="L296" s="23">
        <f>(Sales!$J296-Sales!$B296)/Sales!$J296</f>
        <v>0.14529914529914531</v>
      </c>
      <c r="M296" s="23" t="str">
        <f t="shared" si="4"/>
        <v>10%-15%</v>
      </c>
      <c r="N296" s="22" t="s">
        <v>66</v>
      </c>
      <c r="O296" s="22" t="s">
        <v>12</v>
      </c>
      <c r="P296" s="22" t="s">
        <v>13</v>
      </c>
      <c r="Q296" s="22" t="s">
        <v>19</v>
      </c>
    </row>
    <row r="297" spans="1:17" x14ac:dyDescent="0.3">
      <c r="A297" s="27">
        <v>46</v>
      </c>
      <c r="B297" s="24">
        <v>100</v>
      </c>
      <c r="C297" s="25">
        <f>Sales!$B297*Sales!$A297</f>
        <v>4600</v>
      </c>
      <c r="D297" s="26">
        <v>37905</v>
      </c>
      <c r="E297" s="27" t="s">
        <v>9</v>
      </c>
      <c r="F297" s="27">
        <v>4</v>
      </c>
      <c r="G297" s="27">
        <v>10</v>
      </c>
      <c r="H297" s="27">
        <v>2003</v>
      </c>
      <c r="I297" s="27" t="s">
        <v>47</v>
      </c>
      <c r="J297" s="25">
        <v>117</v>
      </c>
      <c r="K297" s="25">
        <f>Sales!$B297-Sales!$J297</f>
        <v>-17</v>
      </c>
      <c r="L297" s="28">
        <f>(Sales!$J297-Sales!$B297)/Sales!$J297</f>
        <v>0.14529914529914531</v>
      </c>
      <c r="M297" s="28" t="str">
        <f t="shared" si="4"/>
        <v>10%-15%</v>
      </c>
      <c r="N297" s="27" t="s">
        <v>78</v>
      </c>
      <c r="O297" s="27" t="s">
        <v>12</v>
      </c>
      <c r="P297" s="27" t="s">
        <v>13</v>
      </c>
      <c r="Q297" s="27" t="s">
        <v>19</v>
      </c>
    </row>
    <row r="298" spans="1:17" x14ac:dyDescent="0.3">
      <c r="A298" s="22">
        <v>47</v>
      </c>
      <c r="B298" s="19">
        <v>100</v>
      </c>
      <c r="C298" s="20">
        <f>Sales!$B298*Sales!$A298</f>
        <v>4700</v>
      </c>
      <c r="D298" s="21">
        <v>37929</v>
      </c>
      <c r="E298" s="22" t="s">
        <v>9</v>
      </c>
      <c r="F298" s="22">
        <v>4</v>
      </c>
      <c r="G298" s="22">
        <v>11</v>
      </c>
      <c r="H298" s="22">
        <v>2003</v>
      </c>
      <c r="I298" s="22" t="s">
        <v>47</v>
      </c>
      <c r="J298" s="20">
        <v>117</v>
      </c>
      <c r="K298" s="20">
        <f>Sales!$B298-Sales!$J298</f>
        <v>-17</v>
      </c>
      <c r="L298" s="23">
        <f>(Sales!$J298-Sales!$B298)/Sales!$J298</f>
        <v>0.14529914529914531</v>
      </c>
      <c r="M298" s="23" t="str">
        <f t="shared" si="4"/>
        <v>10%-15%</v>
      </c>
      <c r="N298" s="22" t="s">
        <v>89</v>
      </c>
      <c r="O298" s="22" t="s">
        <v>38</v>
      </c>
      <c r="P298" s="22" t="s">
        <v>17</v>
      </c>
      <c r="Q298" s="22" t="s">
        <v>19</v>
      </c>
    </row>
    <row r="299" spans="1:17" x14ac:dyDescent="0.3">
      <c r="A299" s="27">
        <v>28</v>
      </c>
      <c r="B299" s="24">
        <v>100</v>
      </c>
      <c r="C299" s="25">
        <f>Sales!$B299*Sales!$A299</f>
        <v>2800</v>
      </c>
      <c r="D299" s="26">
        <v>37937</v>
      </c>
      <c r="E299" s="27" t="s">
        <v>9</v>
      </c>
      <c r="F299" s="27">
        <v>4</v>
      </c>
      <c r="G299" s="27">
        <v>11</v>
      </c>
      <c r="H299" s="27">
        <v>2003</v>
      </c>
      <c r="I299" s="27" t="s">
        <v>47</v>
      </c>
      <c r="J299" s="25">
        <v>117</v>
      </c>
      <c r="K299" s="25">
        <f>Sales!$B299-Sales!$J299</f>
        <v>-17</v>
      </c>
      <c r="L299" s="28">
        <f>(Sales!$J299-Sales!$B299)/Sales!$J299</f>
        <v>0.14529914529914531</v>
      </c>
      <c r="M299" s="28" t="str">
        <f t="shared" si="4"/>
        <v>10%-15%</v>
      </c>
      <c r="N299" s="27" t="s">
        <v>24</v>
      </c>
      <c r="O299" s="27" t="s">
        <v>25</v>
      </c>
      <c r="P299" s="27" t="s">
        <v>17</v>
      </c>
      <c r="Q299" s="27" t="s">
        <v>14</v>
      </c>
    </row>
    <row r="300" spans="1:17" x14ac:dyDescent="0.3">
      <c r="A300" s="22">
        <v>40</v>
      </c>
      <c r="B300" s="19">
        <v>100</v>
      </c>
      <c r="C300" s="20">
        <f>Sales!$B300*Sales!$A300</f>
        <v>4000</v>
      </c>
      <c r="D300" s="21">
        <v>37945</v>
      </c>
      <c r="E300" s="22" t="s">
        <v>9</v>
      </c>
      <c r="F300" s="22">
        <v>4</v>
      </c>
      <c r="G300" s="22">
        <v>11</v>
      </c>
      <c r="H300" s="22">
        <v>2003</v>
      </c>
      <c r="I300" s="22" t="s">
        <v>47</v>
      </c>
      <c r="J300" s="20">
        <v>117</v>
      </c>
      <c r="K300" s="20">
        <f>Sales!$B300-Sales!$J300</f>
        <v>-17</v>
      </c>
      <c r="L300" s="23">
        <f>(Sales!$J300-Sales!$B300)/Sales!$J300</f>
        <v>0.14529914529914531</v>
      </c>
      <c r="M300" s="23" t="str">
        <f t="shared" si="4"/>
        <v>10%-15%</v>
      </c>
      <c r="N300" s="22" t="s">
        <v>93</v>
      </c>
      <c r="O300" s="22" t="s">
        <v>94</v>
      </c>
      <c r="P300" s="22" t="s">
        <v>17</v>
      </c>
      <c r="Q300" s="22" t="s">
        <v>19</v>
      </c>
    </row>
    <row r="301" spans="1:17" x14ac:dyDescent="0.3">
      <c r="A301" s="27">
        <v>20</v>
      </c>
      <c r="B301" s="24">
        <v>100</v>
      </c>
      <c r="C301" s="25">
        <f>Sales!$B301*Sales!$A301</f>
        <v>2000</v>
      </c>
      <c r="D301" s="26">
        <v>37957</v>
      </c>
      <c r="E301" s="27" t="s">
        <v>9</v>
      </c>
      <c r="F301" s="27">
        <v>4</v>
      </c>
      <c r="G301" s="27">
        <v>12</v>
      </c>
      <c r="H301" s="27">
        <v>2003</v>
      </c>
      <c r="I301" s="27" t="s">
        <v>47</v>
      </c>
      <c r="J301" s="25">
        <v>117</v>
      </c>
      <c r="K301" s="25">
        <f>Sales!$B301-Sales!$J301</f>
        <v>-17</v>
      </c>
      <c r="L301" s="28">
        <f>(Sales!$J301-Sales!$B301)/Sales!$J301</f>
        <v>0.14529914529914531</v>
      </c>
      <c r="M301" s="28" t="str">
        <f t="shared" si="4"/>
        <v>10%-15%</v>
      </c>
      <c r="N301" s="27" t="s">
        <v>45</v>
      </c>
      <c r="O301" s="27" t="s">
        <v>46</v>
      </c>
      <c r="P301" s="27" t="s">
        <v>17</v>
      </c>
      <c r="Q301" s="27" t="s">
        <v>14</v>
      </c>
    </row>
    <row r="302" spans="1:17" x14ac:dyDescent="0.3">
      <c r="A302" s="22">
        <v>39</v>
      </c>
      <c r="B302" s="19">
        <v>100</v>
      </c>
      <c r="C302" s="20">
        <f>Sales!$B302*Sales!$A302</f>
        <v>3900</v>
      </c>
      <c r="D302" s="21">
        <v>38002</v>
      </c>
      <c r="E302" s="22" t="s">
        <v>9</v>
      </c>
      <c r="F302" s="22">
        <v>1</v>
      </c>
      <c r="G302" s="22">
        <v>1</v>
      </c>
      <c r="H302" s="22">
        <v>2004</v>
      </c>
      <c r="I302" s="22" t="s">
        <v>47</v>
      </c>
      <c r="J302" s="20">
        <v>117</v>
      </c>
      <c r="K302" s="20">
        <f>Sales!$B302-Sales!$J302</f>
        <v>-17</v>
      </c>
      <c r="L302" s="23">
        <f>(Sales!$J302-Sales!$B302)/Sales!$J302</f>
        <v>0.14529914529914531</v>
      </c>
      <c r="M302" s="23" t="str">
        <f t="shared" si="4"/>
        <v>10%-15%</v>
      </c>
      <c r="N302" s="22" t="s">
        <v>45</v>
      </c>
      <c r="O302" s="22" t="s">
        <v>46</v>
      </c>
      <c r="P302" s="22" t="s">
        <v>17</v>
      </c>
      <c r="Q302" s="22" t="s">
        <v>19</v>
      </c>
    </row>
    <row r="303" spans="1:17" x14ac:dyDescent="0.3">
      <c r="A303" s="27">
        <v>25</v>
      </c>
      <c r="B303" s="24">
        <v>99.82</v>
      </c>
      <c r="C303" s="25">
        <f>Sales!$B303*Sales!$A303</f>
        <v>2495.5</v>
      </c>
      <c r="D303" s="26">
        <v>38039</v>
      </c>
      <c r="E303" s="27" t="s">
        <v>9</v>
      </c>
      <c r="F303" s="27">
        <v>1</v>
      </c>
      <c r="G303" s="27">
        <v>2</v>
      </c>
      <c r="H303" s="27">
        <v>2004</v>
      </c>
      <c r="I303" s="27" t="s">
        <v>47</v>
      </c>
      <c r="J303" s="25">
        <v>117</v>
      </c>
      <c r="K303" s="25">
        <f>Sales!$B303-Sales!$J303</f>
        <v>-17.180000000000007</v>
      </c>
      <c r="L303" s="28">
        <f>(Sales!$J303-Sales!$B303)/Sales!$J303</f>
        <v>0.14683760683760688</v>
      </c>
      <c r="M303" s="28" t="str">
        <f t="shared" si="4"/>
        <v>10%-15%</v>
      </c>
      <c r="N303" s="27" t="s">
        <v>95</v>
      </c>
      <c r="O303" s="27" t="s">
        <v>96</v>
      </c>
      <c r="P303" s="27" t="s">
        <v>17</v>
      </c>
      <c r="Q303" s="27" t="s">
        <v>14</v>
      </c>
    </row>
    <row r="304" spans="1:17" x14ac:dyDescent="0.3">
      <c r="A304" s="22">
        <v>29</v>
      </c>
      <c r="B304" s="19">
        <v>100</v>
      </c>
      <c r="C304" s="20">
        <f>Sales!$B304*Sales!$A304</f>
        <v>2900</v>
      </c>
      <c r="D304" s="21">
        <v>38086</v>
      </c>
      <c r="E304" s="22" t="s">
        <v>9</v>
      </c>
      <c r="F304" s="22">
        <v>2</v>
      </c>
      <c r="G304" s="22">
        <v>4</v>
      </c>
      <c r="H304" s="22">
        <v>2004</v>
      </c>
      <c r="I304" s="22" t="s">
        <v>47</v>
      </c>
      <c r="J304" s="20">
        <v>117</v>
      </c>
      <c r="K304" s="20">
        <f>Sales!$B304-Sales!$J304</f>
        <v>-17</v>
      </c>
      <c r="L304" s="23">
        <f>(Sales!$J304-Sales!$B304)/Sales!$J304</f>
        <v>0.14529914529914531</v>
      </c>
      <c r="M304" s="23" t="str">
        <f t="shared" si="4"/>
        <v>10%-15%</v>
      </c>
      <c r="N304" s="22" t="s">
        <v>72</v>
      </c>
      <c r="O304" s="22" t="s">
        <v>73</v>
      </c>
      <c r="P304" s="22" t="s">
        <v>17</v>
      </c>
      <c r="Q304" s="22" t="s">
        <v>19</v>
      </c>
    </row>
    <row r="305" spans="1:17" x14ac:dyDescent="0.3">
      <c r="A305" s="27">
        <v>22</v>
      </c>
      <c r="B305" s="24">
        <v>100</v>
      </c>
      <c r="C305" s="25">
        <f>Sales!$B305*Sales!$A305</f>
        <v>2200</v>
      </c>
      <c r="D305" s="26">
        <v>38139</v>
      </c>
      <c r="E305" s="27" t="s">
        <v>75</v>
      </c>
      <c r="F305" s="27">
        <v>2</v>
      </c>
      <c r="G305" s="27">
        <v>6</v>
      </c>
      <c r="H305" s="27">
        <v>2004</v>
      </c>
      <c r="I305" s="27" t="s">
        <v>47</v>
      </c>
      <c r="J305" s="25">
        <v>117</v>
      </c>
      <c r="K305" s="25">
        <f>Sales!$B305-Sales!$J305</f>
        <v>-17</v>
      </c>
      <c r="L305" s="28">
        <f>(Sales!$J305-Sales!$B305)/Sales!$J305</f>
        <v>0.14529914529914531</v>
      </c>
      <c r="M305" s="28" t="str">
        <f t="shared" si="4"/>
        <v>10%-15%</v>
      </c>
      <c r="N305" s="27" t="s">
        <v>42</v>
      </c>
      <c r="O305" s="27" t="s">
        <v>43</v>
      </c>
      <c r="P305" s="27" t="s">
        <v>17</v>
      </c>
      <c r="Q305" s="27" t="s">
        <v>14</v>
      </c>
    </row>
    <row r="306" spans="1:17" x14ac:dyDescent="0.3">
      <c r="A306" s="22">
        <v>22</v>
      </c>
      <c r="B306" s="19">
        <v>100</v>
      </c>
      <c r="C306" s="20">
        <f>Sales!$B306*Sales!$A306</f>
        <v>2200</v>
      </c>
      <c r="D306" s="21">
        <v>38174</v>
      </c>
      <c r="E306" s="22" t="s">
        <v>9</v>
      </c>
      <c r="F306" s="22">
        <v>3</v>
      </c>
      <c r="G306" s="22">
        <v>7</v>
      </c>
      <c r="H306" s="22">
        <v>2004</v>
      </c>
      <c r="I306" s="22" t="s">
        <v>47</v>
      </c>
      <c r="J306" s="20">
        <v>117</v>
      </c>
      <c r="K306" s="20">
        <f>Sales!$B306-Sales!$J306</f>
        <v>-17</v>
      </c>
      <c r="L306" s="23">
        <f>(Sales!$J306-Sales!$B306)/Sales!$J306</f>
        <v>0.14529914529914531</v>
      </c>
      <c r="M306" s="23" t="str">
        <f t="shared" si="4"/>
        <v>10%-15%</v>
      </c>
      <c r="N306" s="22" t="s">
        <v>97</v>
      </c>
      <c r="O306" s="22" t="s">
        <v>61</v>
      </c>
      <c r="P306" s="22" t="s">
        <v>17</v>
      </c>
      <c r="Q306" s="22" t="s">
        <v>14</v>
      </c>
    </row>
    <row r="307" spans="1:17" x14ac:dyDescent="0.3">
      <c r="A307" s="27">
        <v>47</v>
      </c>
      <c r="B307" s="24">
        <v>100</v>
      </c>
      <c r="C307" s="25">
        <f>Sales!$B307*Sales!$A307</f>
        <v>4700</v>
      </c>
      <c r="D307" s="26">
        <v>38201</v>
      </c>
      <c r="E307" s="27" t="s">
        <v>9</v>
      </c>
      <c r="F307" s="27">
        <v>3</v>
      </c>
      <c r="G307" s="27">
        <v>8</v>
      </c>
      <c r="H307" s="27">
        <v>2004</v>
      </c>
      <c r="I307" s="27" t="s">
        <v>47</v>
      </c>
      <c r="J307" s="25">
        <v>117</v>
      </c>
      <c r="K307" s="25">
        <f>Sales!$B307-Sales!$J307</f>
        <v>-17</v>
      </c>
      <c r="L307" s="28">
        <f>(Sales!$J307-Sales!$B307)/Sales!$J307</f>
        <v>0.14529914529914531</v>
      </c>
      <c r="M307" s="28" t="str">
        <f t="shared" si="4"/>
        <v>10%-15%</v>
      </c>
      <c r="N307" s="27" t="s">
        <v>66</v>
      </c>
      <c r="O307" s="27" t="s">
        <v>12</v>
      </c>
      <c r="P307" s="27" t="s">
        <v>13</v>
      </c>
      <c r="Q307" s="27" t="s">
        <v>19</v>
      </c>
    </row>
    <row r="308" spans="1:17" x14ac:dyDescent="0.3">
      <c r="A308" s="22">
        <v>45</v>
      </c>
      <c r="B308" s="19">
        <v>100</v>
      </c>
      <c r="C308" s="20">
        <f>Sales!$B308*Sales!$A308</f>
        <v>4500</v>
      </c>
      <c r="D308" s="21">
        <v>38229</v>
      </c>
      <c r="E308" s="22" t="s">
        <v>9</v>
      </c>
      <c r="F308" s="22">
        <v>3</v>
      </c>
      <c r="G308" s="22">
        <v>8</v>
      </c>
      <c r="H308" s="22">
        <v>2004</v>
      </c>
      <c r="I308" s="22" t="s">
        <v>47</v>
      </c>
      <c r="J308" s="20">
        <v>117</v>
      </c>
      <c r="K308" s="20">
        <f>Sales!$B308-Sales!$J308</f>
        <v>-17</v>
      </c>
      <c r="L308" s="23">
        <f>(Sales!$J308-Sales!$B308)/Sales!$J308</f>
        <v>0.14529914529914531</v>
      </c>
      <c r="M308" s="23" t="str">
        <f t="shared" si="4"/>
        <v>10%-15%</v>
      </c>
      <c r="N308" s="22" t="s">
        <v>95</v>
      </c>
      <c r="O308" s="22" t="s">
        <v>96</v>
      </c>
      <c r="P308" s="22" t="s">
        <v>17</v>
      </c>
      <c r="Q308" s="22" t="s">
        <v>19</v>
      </c>
    </row>
    <row r="309" spans="1:17" x14ac:dyDescent="0.3">
      <c r="A309" s="27">
        <v>29</v>
      </c>
      <c r="B309" s="24">
        <v>100</v>
      </c>
      <c r="C309" s="25">
        <f>Sales!$B309*Sales!$A309</f>
        <v>2900</v>
      </c>
      <c r="D309" s="26">
        <v>37898</v>
      </c>
      <c r="E309" s="27" t="s">
        <v>9</v>
      </c>
      <c r="F309" s="27">
        <v>4</v>
      </c>
      <c r="G309" s="27">
        <v>10</v>
      </c>
      <c r="H309" s="27">
        <v>2003</v>
      </c>
      <c r="I309" s="27" t="s">
        <v>47</v>
      </c>
      <c r="J309" s="25">
        <v>117</v>
      </c>
      <c r="K309" s="25">
        <f>Sales!$B309-Sales!$J309</f>
        <v>-17</v>
      </c>
      <c r="L309" s="28">
        <f>(Sales!$J309-Sales!$B309)/Sales!$J309</f>
        <v>0.14529914529914531</v>
      </c>
      <c r="M309" s="28" t="str">
        <f t="shared" si="4"/>
        <v>10%-15%</v>
      </c>
      <c r="N309" s="27" t="s">
        <v>98</v>
      </c>
      <c r="O309" s="27" t="s">
        <v>94</v>
      </c>
      <c r="P309" s="27" t="s">
        <v>17</v>
      </c>
      <c r="Q309" s="27" t="s">
        <v>19</v>
      </c>
    </row>
    <row r="310" spans="1:17" x14ac:dyDescent="0.3">
      <c r="A310" s="22">
        <v>24</v>
      </c>
      <c r="B310" s="19">
        <v>100</v>
      </c>
      <c r="C310" s="20">
        <f>Sales!$B310*Sales!$A310</f>
        <v>2400</v>
      </c>
      <c r="D310" s="21">
        <v>38276</v>
      </c>
      <c r="E310" s="22" t="s">
        <v>9</v>
      </c>
      <c r="F310" s="22">
        <v>4</v>
      </c>
      <c r="G310" s="22">
        <v>10</v>
      </c>
      <c r="H310" s="22">
        <v>2004</v>
      </c>
      <c r="I310" s="22" t="s">
        <v>47</v>
      </c>
      <c r="J310" s="20">
        <v>117</v>
      </c>
      <c r="K310" s="20">
        <f>Sales!$B310-Sales!$J310</f>
        <v>-17</v>
      </c>
      <c r="L310" s="23">
        <f>(Sales!$J310-Sales!$B310)/Sales!$J310</f>
        <v>0.14529914529914531</v>
      </c>
      <c r="M310" s="23" t="str">
        <f t="shared" si="4"/>
        <v>10%-15%</v>
      </c>
      <c r="N310" s="22" t="s">
        <v>93</v>
      </c>
      <c r="O310" s="22" t="s">
        <v>94</v>
      </c>
      <c r="P310" s="22" t="s">
        <v>17</v>
      </c>
      <c r="Q310" s="22" t="s">
        <v>19</v>
      </c>
    </row>
    <row r="311" spans="1:17" x14ac:dyDescent="0.3">
      <c r="A311" s="27">
        <v>35</v>
      </c>
      <c r="B311" s="24">
        <v>100</v>
      </c>
      <c r="C311" s="25">
        <f>Sales!$B311*Sales!$A311</f>
        <v>3500</v>
      </c>
      <c r="D311" s="26">
        <v>38294</v>
      </c>
      <c r="E311" s="27" t="s">
        <v>9</v>
      </c>
      <c r="F311" s="27">
        <v>4</v>
      </c>
      <c r="G311" s="27">
        <v>11</v>
      </c>
      <c r="H311" s="27">
        <v>2004</v>
      </c>
      <c r="I311" s="27" t="s">
        <v>47</v>
      </c>
      <c r="J311" s="25">
        <v>117</v>
      </c>
      <c r="K311" s="25">
        <f>Sales!$B311-Sales!$J311</f>
        <v>-17</v>
      </c>
      <c r="L311" s="28">
        <f>(Sales!$J311-Sales!$B311)/Sales!$J311</f>
        <v>0.14529914529914531</v>
      </c>
      <c r="M311" s="28" t="str">
        <f t="shared" si="4"/>
        <v>10%-15%</v>
      </c>
      <c r="N311" s="27" t="s">
        <v>48</v>
      </c>
      <c r="O311" s="27" t="s">
        <v>49</v>
      </c>
      <c r="P311" s="27" t="s">
        <v>17</v>
      </c>
      <c r="Q311" s="27" t="s">
        <v>19</v>
      </c>
    </row>
    <row r="312" spans="1:17" x14ac:dyDescent="0.3">
      <c r="A312" s="22">
        <v>46</v>
      </c>
      <c r="B312" s="19">
        <v>83.63</v>
      </c>
      <c r="C312" s="20">
        <f>Sales!$B312*Sales!$A312</f>
        <v>3846.9799999999996</v>
      </c>
      <c r="D312" s="21">
        <v>38306</v>
      </c>
      <c r="E312" s="22" t="s">
        <v>9</v>
      </c>
      <c r="F312" s="22">
        <v>4</v>
      </c>
      <c r="G312" s="22">
        <v>11</v>
      </c>
      <c r="H312" s="22">
        <v>2004</v>
      </c>
      <c r="I312" s="22" t="s">
        <v>47</v>
      </c>
      <c r="J312" s="20">
        <v>117</v>
      </c>
      <c r="K312" s="20">
        <f>Sales!$B312-Sales!$J312</f>
        <v>-33.370000000000005</v>
      </c>
      <c r="L312" s="23">
        <f>(Sales!$J312-Sales!$B312)/Sales!$J312</f>
        <v>0.28521367521367524</v>
      </c>
      <c r="M312" s="23" t="str">
        <f t="shared" si="4"/>
        <v>+20%</v>
      </c>
      <c r="N312" s="22" t="s">
        <v>11</v>
      </c>
      <c r="O312" s="22" t="s">
        <v>12</v>
      </c>
      <c r="P312" s="22" t="s">
        <v>13</v>
      </c>
      <c r="Q312" s="22" t="s">
        <v>19</v>
      </c>
    </row>
    <row r="313" spans="1:17" x14ac:dyDescent="0.3">
      <c r="A313" s="27">
        <v>44</v>
      </c>
      <c r="B313" s="24">
        <v>95.93</v>
      </c>
      <c r="C313" s="25">
        <f>Sales!$B313*Sales!$A313</f>
        <v>4220.92</v>
      </c>
      <c r="D313" s="26">
        <v>38315</v>
      </c>
      <c r="E313" s="27" t="s">
        <v>9</v>
      </c>
      <c r="F313" s="27">
        <v>4</v>
      </c>
      <c r="G313" s="27">
        <v>11</v>
      </c>
      <c r="H313" s="27">
        <v>2004</v>
      </c>
      <c r="I313" s="27" t="s">
        <v>47</v>
      </c>
      <c r="J313" s="25">
        <v>117</v>
      </c>
      <c r="K313" s="25">
        <f>Sales!$B313-Sales!$J313</f>
        <v>-21.069999999999993</v>
      </c>
      <c r="L313" s="28">
        <f>(Sales!$J313-Sales!$B313)/Sales!$J313</f>
        <v>0.18008547008547002</v>
      </c>
      <c r="M313" s="28" t="str">
        <f t="shared" si="4"/>
        <v>15%-20%</v>
      </c>
      <c r="N313" s="27" t="s">
        <v>37</v>
      </c>
      <c r="O313" s="27" t="s">
        <v>38</v>
      </c>
      <c r="P313" s="27" t="s">
        <v>17</v>
      </c>
      <c r="Q313" s="27" t="s">
        <v>19</v>
      </c>
    </row>
    <row r="314" spans="1:17" x14ac:dyDescent="0.3">
      <c r="A314" s="22">
        <v>34</v>
      </c>
      <c r="B314" s="19">
        <v>96.73</v>
      </c>
      <c r="C314" s="20">
        <f>Sales!$B314*Sales!$A314</f>
        <v>3288.82</v>
      </c>
      <c r="D314" s="21">
        <v>38358</v>
      </c>
      <c r="E314" s="22" t="s">
        <v>9</v>
      </c>
      <c r="F314" s="22">
        <v>1</v>
      </c>
      <c r="G314" s="22">
        <v>1</v>
      </c>
      <c r="H314" s="22">
        <v>2005</v>
      </c>
      <c r="I314" s="22" t="s">
        <v>47</v>
      </c>
      <c r="J314" s="20">
        <v>117</v>
      </c>
      <c r="K314" s="20">
        <f>Sales!$B314-Sales!$J314</f>
        <v>-20.269999999999996</v>
      </c>
      <c r="L314" s="23">
        <f>(Sales!$J314-Sales!$B314)/Sales!$J314</f>
        <v>0.1732478632478632</v>
      </c>
      <c r="M314" s="23" t="str">
        <f t="shared" si="4"/>
        <v>15%-20%</v>
      </c>
      <c r="N314" s="22" t="s">
        <v>99</v>
      </c>
      <c r="O314" s="22" t="s">
        <v>34</v>
      </c>
      <c r="P314" s="22" t="s">
        <v>17</v>
      </c>
      <c r="Q314" s="22" t="s">
        <v>19</v>
      </c>
    </row>
    <row r="315" spans="1:17" x14ac:dyDescent="0.3">
      <c r="A315" s="27">
        <v>35</v>
      </c>
      <c r="B315" s="24">
        <v>100</v>
      </c>
      <c r="C315" s="25">
        <f>Sales!$B315*Sales!$A315</f>
        <v>3500</v>
      </c>
      <c r="D315" s="26">
        <v>38391</v>
      </c>
      <c r="E315" s="27" t="s">
        <v>9</v>
      </c>
      <c r="F315" s="27">
        <v>1</v>
      </c>
      <c r="G315" s="27">
        <v>2</v>
      </c>
      <c r="H315" s="27">
        <v>2005</v>
      </c>
      <c r="I315" s="27" t="s">
        <v>47</v>
      </c>
      <c r="J315" s="25">
        <v>117</v>
      </c>
      <c r="K315" s="25">
        <f>Sales!$B315-Sales!$J315</f>
        <v>-17</v>
      </c>
      <c r="L315" s="28">
        <f>(Sales!$J315-Sales!$B315)/Sales!$J315</f>
        <v>0.14529914529914531</v>
      </c>
      <c r="M315" s="28" t="str">
        <f t="shared" si="4"/>
        <v>10%-15%</v>
      </c>
      <c r="N315" s="27" t="s">
        <v>105</v>
      </c>
      <c r="O315" s="27" t="s">
        <v>12</v>
      </c>
      <c r="P315" s="27" t="s">
        <v>13</v>
      </c>
      <c r="Q315" s="27" t="s">
        <v>19</v>
      </c>
    </row>
    <row r="316" spans="1:17" x14ac:dyDescent="0.3">
      <c r="A316" s="22">
        <v>25</v>
      </c>
      <c r="B316" s="19">
        <v>72.38</v>
      </c>
      <c r="C316" s="20">
        <f>Sales!$B316*Sales!$A316</f>
        <v>1809.5</v>
      </c>
      <c r="D316" s="21">
        <v>38414</v>
      </c>
      <c r="E316" s="22" t="s">
        <v>9</v>
      </c>
      <c r="F316" s="22">
        <v>1</v>
      </c>
      <c r="G316" s="22">
        <v>3</v>
      </c>
      <c r="H316" s="22">
        <v>2005</v>
      </c>
      <c r="I316" s="22" t="s">
        <v>47</v>
      </c>
      <c r="J316" s="20">
        <v>117</v>
      </c>
      <c r="K316" s="20">
        <f>Sales!$B316-Sales!$J316</f>
        <v>-44.620000000000005</v>
      </c>
      <c r="L316" s="23">
        <f>(Sales!$J316-Sales!$B316)/Sales!$J316</f>
        <v>0.38136752136752139</v>
      </c>
      <c r="M316" s="23" t="str">
        <f t="shared" si="4"/>
        <v>+20%</v>
      </c>
      <c r="N316" s="22" t="s">
        <v>62</v>
      </c>
      <c r="O316" s="22" t="s">
        <v>49</v>
      </c>
      <c r="P316" s="22" t="s">
        <v>17</v>
      </c>
      <c r="Q316" s="22" t="s">
        <v>14</v>
      </c>
    </row>
    <row r="317" spans="1:17" x14ac:dyDescent="0.3">
      <c r="A317" s="27">
        <v>10</v>
      </c>
      <c r="B317" s="24">
        <v>100</v>
      </c>
      <c r="C317" s="25">
        <f>Sales!$B317*Sales!$A317</f>
        <v>1000</v>
      </c>
      <c r="D317" s="26">
        <v>38489</v>
      </c>
      <c r="E317" s="27" t="s">
        <v>9</v>
      </c>
      <c r="F317" s="27">
        <v>2</v>
      </c>
      <c r="G317" s="27">
        <v>5</v>
      </c>
      <c r="H317" s="27">
        <v>2005</v>
      </c>
      <c r="I317" s="27" t="s">
        <v>47</v>
      </c>
      <c r="J317" s="25">
        <v>117</v>
      </c>
      <c r="K317" s="25">
        <f>Sales!$B317-Sales!$J317</f>
        <v>-17</v>
      </c>
      <c r="L317" s="28">
        <f>(Sales!$J317-Sales!$B317)/Sales!$J317</f>
        <v>0.14529914529914531</v>
      </c>
      <c r="M317" s="28" t="str">
        <f t="shared" si="4"/>
        <v>10%-15%</v>
      </c>
      <c r="N317" s="27" t="s">
        <v>37</v>
      </c>
      <c r="O317" s="27" t="s">
        <v>38</v>
      </c>
      <c r="P317" s="27" t="s">
        <v>17</v>
      </c>
      <c r="Q317" s="27" t="s">
        <v>14</v>
      </c>
    </row>
    <row r="318" spans="1:17" x14ac:dyDescent="0.3">
      <c r="A318" s="22">
        <v>29</v>
      </c>
      <c r="B318" s="19">
        <v>100</v>
      </c>
      <c r="C318" s="20">
        <f>Sales!$B318*Sales!$A318</f>
        <v>2900</v>
      </c>
      <c r="D318" s="21">
        <v>37663</v>
      </c>
      <c r="E318" s="22" t="s">
        <v>9</v>
      </c>
      <c r="F318" s="22">
        <v>1</v>
      </c>
      <c r="G318" s="22">
        <v>2</v>
      </c>
      <c r="H318" s="22">
        <v>2003</v>
      </c>
      <c r="I318" s="22" t="s">
        <v>47</v>
      </c>
      <c r="J318" s="20">
        <v>173</v>
      </c>
      <c r="K318" s="20">
        <f>Sales!$B318-Sales!$J318</f>
        <v>-73</v>
      </c>
      <c r="L318" s="23">
        <f>(Sales!$J318-Sales!$B318)/Sales!$J318</f>
        <v>0.42196531791907516</v>
      </c>
      <c r="M318" s="23" t="str">
        <f t="shared" si="4"/>
        <v>+20%</v>
      </c>
      <c r="N318" s="22" t="s">
        <v>72</v>
      </c>
      <c r="O318" s="22" t="s">
        <v>73</v>
      </c>
      <c r="P318" s="22" t="s">
        <v>17</v>
      </c>
      <c r="Q318" s="22" t="s">
        <v>19</v>
      </c>
    </row>
    <row r="319" spans="1:17" x14ac:dyDescent="0.3">
      <c r="A319" s="27">
        <v>39</v>
      </c>
      <c r="B319" s="24">
        <v>100</v>
      </c>
      <c r="C319" s="25">
        <f>Sales!$B319*Sales!$A319</f>
        <v>3900</v>
      </c>
      <c r="D319" s="26">
        <v>37727</v>
      </c>
      <c r="E319" s="27" t="s">
        <v>9</v>
      </c>
      <c r="F319" s="27">
        <v>2</v>
      </c>
      <c r="G319" s="27">
        <v>4</v>
      </c>
      <c r="H319" s="27">
        <v>2003</v>
      </c>
      <c r="I319" s="27" t="s">
        <v>47</v>
      </c>
      <c r="J319" s="25">
        <v>173</v>
      </c>
      <c r="K319" s="25">
        <f>Sales!$B319-Sales!$J319</f>
        <v>-73</v>
      </c>
      <c r="L319" s="28">
        <f>(Sales!$J319-Sales!$B319)/Sales!$J319</f>
        <v>0.42196531791907516</v>
      </c>
      <c r="M319" s="28" t="str">
        <f t="shared" si="4"/>
        <v>+20%</v>
      </c>
      <c r="N319" s="27" t="s">
        <v>50</v>
      </c>
      <c r="O319" s="27" t="s">
        <v>50</v>
      </c>
      <c r="P319" s="27" t="s">
        <v>28</v>
      </c>
      <c r="Q319" s="27" t="s">
        <v>19</v>
      </c>
    </row>
    <row r="320" spans="1:17" x14ac:dyDescent="0.3">
      <c r="A320" s="22">
        <v>42</v>
      </c>
      <c r="B320" s="19">
        <v>100</v>
      </c>
      <c r="C320" s="20">
        <f>Sales!$B320*Sales!$A320</f>
        <v>4200</v>
      </c>
      <c r="D320" s="21">
        <v>37775</v>
      </c>
      <c r="E320" s="22" t="s">
        <v>9</v>
      </c>
      <c r="F320" s="22">
        <v>2</v>
      </c>
      <c r="G320" s="22">
        <v>6</v>
      </c>
      <c r="H320" s="22">
        <v>2003</v>
      </c>
      <c r="I320" s="22" t="s">
        <v>47</v>
      </c>
      <c r="J320" s="20">
        <v>173</v>
      </c>
      <c r="K320" s="20">
        <f>Sales!$B320-Sales!$J320</f>
        <v>-73</v>
      </c>
      <c r="L320" s="23">
        <f>(Sales!$J320-Sales!$B320)/Sales!$J320</f>
        <v>0.42196531791907516</v>
      </c>
      <c r="M320" s="23" t="str">
        <f t="shared" si="4"/>
        <v>+20%</v>
      </c>
      <c r="N320" s="22" t="s">
        <v>11</v>
      </c>
      <c r="O320" s="22" t="s">
        <v>12</v>
      </c>
      <c r="P320" s="22" t="s">
        <v>13</v>
      </c>
      <c r="Q320" s="22" t="s">
        <v>39</v>
      </c>
    </row>
    <row r="321" spans="1:17" x14ac:dyDescent="0.3">
      <c r="A321" s="27">
        <v>46</v>
      </c>
      <c r="B321" s="24">
        <v>100</v>
      </c>
      <c r="C321" s="25">
        <f>Sales!$B321*Sales!$A321</f>
        <v>4600</v>
      </c>
      <c r="D321" s="26">
        <v>37841</v>
      </c>
      <c r="E321" s="27" t="s">
        <v>9</v>
      </c>
      <c r="F321" s="27">
        <v>3</v>
      </c>
      <c r="G321" s="27">
        <v>8</v>
      </c>
      <c r="H321" s="27">
        <v>2003</v>
      </c>
      <c r="I321" s="27" t="s">
        <v>47</v>
      </c>
      <c r="J321" s="25">
        <v>173</v>
      </c>
      <c r="K321" s="25">
        <f>Sales!$B321-Sales!$J321</f>
        <v>-73</v>
      </c>
      <c r="L321" s="28">
        <f>(Sales!$J321-Sales!$B321)/Sales!$J321</f>
        <v>0.42196531791907516</v>
      </c>
      <c r="M321" s="28" t="str">
        <f t="shared" si="4"/>
        <v>+20%</v>
      </c>
      <c r="N321" s="27" t="s">
        <v>64</v>
      </c>
      <c r="O321" s="27" t="s">
        <v>12</v>
      </c>
      <c r="P321" s="27" t="s">
        <v>13</v>
      </c>
      <c r="Q321" s="27" t="s">
        <v>39</v>
      </c>
    </row>
    <row r="322" spans="1:17" x14ac:dyDescent="0.3">
      <c r="A322" s="22">
        <v>49</v>
      </c>
      <c r="B322" s="19">
        <v>100</v>
      </c>
      <c r="C322" s="20">
        <f>Sales!$B322*Sales!$A322</f>
        <v>4900</v>
      </c>
      <c r="D322" s="21">
        <v>37892</v>
      </c>
      <c r="E322" s="22" t="s">
        <v>9</v>
      </c>
      <c r="F322" s="22">
        <v>3</v>
      </c>
      <c r="G322" s="22">
        <v>9</v>
      </c>
      <c r="H322" s="22">
        <v>2003</v>
      </c>
      <c r="I322" s="22" t="s">
        <v>47</v>
      </c>
      <c r="J322" s="20">
        <v>173</v>
      </c>
      <c r="K322" s="20">
        <f>Sales!$B322-Sales!$J322</f>
        <v>-73</v>
      </c>
      <c r="L322" s="23">
        <f>(Sales!$J322-Sales!$B322)/Sales!$J322</f>
        <v>0.42196531791907516</v>
      </c>
      <c r="M322" s="23" t="str">
        <f t="shared" si="4"/>
        <v>+20%</v>
      </c>
      <c r="N322" s="22" t="s">
        <v>45</v>
      </c>
      <c r="O322" s="22" t="s">
        <v>46</v>
      </c>
      <c r="P322" s="22" t="s">
        <v>17</v>
      </c>
      <c r="Q322" s="22" t="s">
        <v>39</v>
      </c>
    </row>
    <row r="323" spans="1:17" x14ac:dyDescent="0.3">
      <c r="A323" s="27">
        <v>27</v>
      </c>
      <c r="B323" s="24">
        <v>100</v>
      </c>
      <c r="C323" s="25">
        <f>Sales!$B323*Sales!$A323</f>
        <v>2700</v>
      </c>
      <c r="D323" s="26">
        <v>37916</v>
      </c>
      <c r="E323" s="27" t="s">
        <v>9</v>
      </c>
      <c r="F323" s="27">
        <v>4</v>
      </c>
      <c r="G323" s="27">
        <v>10</v>
      </c>
      <c r="H323" s="27">
        <v>2003</v>
      </c>
      <c r="I323" s="27" t="s">
        <v>47</v>
      </c>
      <c r="J323" s="25">
        <v>173</v>
      </c>
      <c r="K323" s="25">
        <f>Sales!$B323-Sales!$J323</f>
        <v>-73</v>
      </c>
      <c r="L323" s="28">
        <f>(Sales!$J323-Sales!$B323)/Sales!$J323</f>
        <v>0.42196531791907516</v>
      </c>
      <c r="M323" s="28" t="str">
        <f t="shared" ref="M323:M383" si="5">IF(L323&lt;0%,"Below 0%",IF(L323=0%,"0%",IF(AND(L323&lt;=5%,L323&gt;0%),"0%-5%",IF(AND(L323&lt;=10%,L323&gt;5%),"5%-10%",IF(AND(L323&lt;=15%,L323&gt;10%),"10%-15%",IF(AND(L323&lt;=20%,L323&gt;15%),"15%-20%","+20%"))))))</f>
        <v>+20%</v>
      </c>
      <c r="N323" s="27" t="s">
        <v>50</v>
      </c>
      <c r="O323" s="27" t="s">
        <v>50</v>
      </c>
      <c r="P323" s="27" t="s">
        <v>28</v>
      </c>
      <c r="Q323" s="27" t="s">
        <v>19</v>
      </c>
    </row>
    <row r="324" spans="1:17" x14ac:dyDescent="0.3">
      <c r="A324" s="22">
        <v>50</v>
      </c>
      <c r="B324" s="19">
        <v>100</v>
      </c>
      <c r="C324" s="20">
        <f>Sales!$B324*Sales!$A324</f>
        <v>5000</v>
      </c>
      <c r="D324" s="21">
        <v>37931</v>
      </c>
      <c r="E324" s="22" t="s">
        <v>9</v>
      </c>
      <c r="F324" s="22">
        <v>4</v>
      </c>
      <c r="G324" s="22">
        <v>11</v>
      </c>
      <c r="H324" s="22">
        <v>2003</v>
      </c>
      <c r="I324" s="22" t="s">
        <v>47</v>
      </c>
      <c r="J324" s="20">
        <v>173</v>
      </c>
      <c r="K324" s="20">
        <f>Sales!$B324-Sales!$J324</f>
        <v>-73</v>
      </c>
      <c r="L324" s="23">
        <f>(Sales!$J324-Sales!$B324)/Sales!$J324</f>
        <v>0.42196531791907516</v>
      </c>
      <c r="M324" s="23" t="str">
        <f t="shared" si="5"/>
        <v>+20%</v>
      </c>
      <c r="N324" s="22" t="s">
        <v>97</v>
      </c>
      <c r="O324" s="22" t="s">
        <v>61</v>
      </c>
      <c r="P324" s="22" t="s">
        <v>17</v>
      </c>
      <c r="Q324" s="22" t="s">
        <v>39</v>
      </c>
    </row>
    <row r="325" spans="1:17" x14ac:dyDescent="0.3">
      <c r="A325" s="27">
        <v>43</v>
      </c>
      <c r="B325" s="24">
        <v>100</v>
      </c>
      <c r="C325" s="25">
        <f>Sales!$B325*Sales!$A325</f>
        <v>4300</v>
      </c>
      <c r="D325" s="26">
        <v>37939</v>
      </c>
      <c r="E325" s="27" t="s">
        <v>9</v>
      </c>
      <c r="F325" s="27">
        <v>4</v>
      </c>
      <c r="G325" s="27">
        <v>11</v>
      </c>
      <c r="H325" s="27">
        <v>2003</v>
      </c>
      <c r="I325" s="27" t="s">
        <v>47</v>
      </c>
      <c r="J325" s="25">
        <v>173</v>
      </c>
      <c r="K325" s="25">
        <f>Sales!$B325-Sales!$J325</f>
        <v>-73</v>
      </c>
      <c r="L325" s="28">
        <f>(Sales!$J325-Sales!$B325)/Sales!$J325</f>
        <v>0.42196531791907516</v>
      </c>
      <c r="M325" s="28" t="str">
        <f t="shared" si="5"/>
        <v>+20%</v>
      </c>
      <c r="N325" s="27" t="s">
        <v>41</v>
      </c>
      <c r="O325" s="27" t="s">
        <v>12</v>
      </c>
      <c r="P325" s="27" t="s">
        <v>13</v>
      </c>
      <c r="Q325" s="27" t="s">
        <v>39</v>
      </c>
    </row>
    <row r="326" spans="1:17" x14ac:dyDescent="0.3">
      <c r="A326" s="22">
        <v>38</v>
      </c>
      <c r="B326" s="19">
        <v>100</v>
      </c>
      <c r="C326" s="20">
        <f>Sales!$B326*Sales!$A326</f>
        <v>3800</v>
      </c>
      <c r="D326" s="21">
        <v>37951</v>
      </c>
      <c r="E326" s="22" t="s">
        <v>9</v>
      </c>
      <c r="F326" s="22">
        <v>4</v>
      </c>
      <c r="G326" s="22">
        <v>11</v>
      </c>
      <c r="H326" s="22">
        <v>2003</v>
      </c>
      <c r="I326" s="22" t="s">
        <v>47</v>
      </c>
      <c r="J326" s="20">
        <v>173</v>
      </c>
      <c r="K326" s="20">
        <f>Sales!$B326-Sales!$J326</f>
        <v>-73</v>
      </c>
      <c r="L326" s="23">
        <f>(Sales!$J326-Sales!$B326)/Sales!$J326</f>
        <v>0.42196531791907516</v>
      </c>
      <c r="M326" s="23" t="str">
        <f t="shared" si="5"/>
        <v>+20%</v>
      </c>
      <c r="N326" s="22" t="s">
        <v>58</v>
      </c>
      <c r="O326" s="22" t="s">
        <v>12</v>
      </c>
      <c r="P326" s="22" t="s">
        <v>13</v>
      </c>
      <c r="Q326" s="22" t="s">
        <v>39</v>
      </c>
    </row>
    <row r="327" spans="1:17" x14ac:dyDescent="0.3">
      <c r="A327" s="27">
        <v>20</v>
      </c>
      <c r="B327" s="24">
        <v>100</v>
      </c>
      <c r="C327" s="25">
        <f>Sales!$B327*Sales!$A327</f>
        <v>2000</v>
      </c>
      <c r="D327" s="26">
        <v>37988</v>
      </c>
      <c r="E327" s="27" t="s">
        <v>9</v>
      </c>
      <c r="F327" s="27">
        <v>1</v>
      </c>
      <c r="G327" s="27">
        <v>1</v>
      </c>
      <c r="H327" s="27">
        <v>2004</v>
      </c>
      <c r="I327" s="27" t="s">
        <v>47</v>
      </c>
      <c r="J327" s="25">
        <v>173</v>
      </c>
      <c r="K327" s="25">
        <f>Sales!$B327-Sales!$J327</f>
        <v>-73</v>
      </c>
      <c r="L327" s="28">
        <f>(Sales!$J327-Sales!$B327)/Sales!$J327</f>
        <v>0.42196531791907516</v>
      </c>
      <c r="M327" s="28" t="str">
        <f t="shared" si="5"/>
        <v>+20%</v>
      </c>
      <c r="N327" s="27" t="s">
        <v>54</v>
      </c>
      <c r="O327" s="27" t="s">
        <v>16</v>
      </c>
      <c r="P327" s="27" t="s">
        <v>17</v>
      </c>
      <c r="Q327" s="27" t="s">
        <v>19</v>
      </c>
    </row>
    <row r="328" spans="1:17" x14ac:dyDescent="0.3">
      <c r="A328" s="22">
        <v>27</v>
      </c>
      <c r="B328" s="19">
        <v>100</v>
      </c>
      <c r="C328" s="20">
        <f>Sales!$B328*Sales!$A328</f>
        <v>2700</v>
      </c>
      <c r="D328" s="21">
        <v>38029</v>
      </c>
      <c r="E328" s="22" t="s">
        <v>9</v>
      </c>
      <c r="F328" s="22">
        <v>1</v>
      </c>
      <c r="G328" s="22">
        <v>2</v>
      </c>
      <c r="H328" s="22">
        <v>2004</v>
      </c>
      <c r="I328" s="22" t="s">
        <v>47</v>
      </c>
      <c r="J328" s="20">
        <v>173</v>
      </c>
      <c r="K328" s="20">
        <f>Sales!$B328-Sales!$J328</f>
        <v>-73</v>
      </c>
      <c r="L328" s="23">
        <f>(Sales!$J328-Sales!$B328)/Sales!$J328</f>
        <v>0.42196531791907516</v>
      </c>
      <c r="M328" s="23" t="str">
        <f t="shared" si="5"/>
        <v>+20%</v>
      </c>
      <c r="N328" s="22" t="s">
        <v>100</v>
      </c>
      <c r="O328" s="22" t="s">
        <v>101</v>
      </c>
      <c r="P328" s="22" t="s">
        <v>17</v>
      </c>
      <c r="Q328" s="22" t="s">
        <v>19</v>
      </c>
    </row>
    <row r="329" spans="1:17" x14ac:dyDescent="0.3">
      <c r="A329" s="27">
        <v>49</v>
      </c>
      <c r="B329" s="24">
        <v>100</v>
      </c>
      <c r="C329" s="25">
        <f>Sales!$B329*Sales!$A329</f>
        <v>4900</v>
      </c>
      <c r="D329" s="26">
        <v>38065</v>
      </c>
      <c r="E329" s="27" t="s">
        <v>9</v>
      </c>
      <c r="F329" s="27">
        <v>1</v>
      </c>
      <c r="G329" s="27">
        <v>3</v>
      </c>
      <c r="H329" s="27">
        <v>2004</v>
      </c>
      <c r="I329" s="27" t="s">
        <v>47</v>
      </c>
      <c r="J329" s="25">
        <v>173</v>
      </c>
      <c r="K329" s="25">
        <f>Sales!$B329-Sales!$J329</f>
        <v>-73</v>
      </c>
      <c r="L329" s="28">
        <f>(Sales!$J329-Sales!$B329)/Sales!$J329</f>
        <v>0.42196531791907516</v>
      </c>
      <c r="M329" s="28" t="str">
        <f t="shared" si="5"/>
        <v>+20%</v>
      </c>
      <c r="N329" s="27" t="s">
        <v>45</v>
      </c>
      <c r="O329" s="27" t="s">
        <v>46</v>
      </c>
      <c r="P329" s="27" t="s">
        <v>17</v>
      </c>
      <c r="Q329" s="27" t="s">
        <v>19</v>
      </c>
    </row>
    <row r="330" spans="1:17" x14ac:dyDescent="0.3">
      <c r="A330" s="22">
        <v>27</v>
      </c>
      <c r="B330" s="19">
        <v>100</v>
      </c>
      <c r="C330" s="20">
        <f>Sales!$B330*Sales!$A330</f>
        <v>2700</v>
      </c>
      <c r="D330" s="21">
        <v>38112</v>
      </c>
      <c r="E330" s="22" t="s">
        <v>9</v>
      </c>
      <c r="F330" s="22">
        <v>2</v>
      </c>
      <c r="G330" s="22">
        <v>5</v>
      </c>
      <c r="H330" s="22">
        <v>2004</v>
      </c>
      <c r="I330" s="22" t="s">
        <v>47</v>
      </c>
      <c r="J330" s="20">
        <v>173</v>
      </c>
      <c r="K330" s="20">
        <f>Sales!$B330-Sales!$J330</f>
        <v>-73</v>
      </c>
      <c r="L330" s="23">
        <f>(Sales!$J330-Sales!$B330)/Sales!$J330</f>
        <v>0.42196531791907516</v>
      </c>
      <c r="M330" s="23" t="str">
        <f t="shared" si="5"/>
        <v>+20%</v>
      </c>
      <c r="N330" s="22" t="s">
        <v>99</v>
      </c>
      <c r="O330" s="22" t="s">
        <v>34</v>
      </c>
      <c r="P330" s="22" t="s">
        <v>17</v>
      </c>
      <c r="Q330" s="22" t="s">
        <v>19</v>
      </c>
    </row>
    <row r="331" spans="1:17" x14ac:dyDescent="0.3">
      <c r="A331" s="27">
        <v>39</v>
      </c>
      <c r="B331" s="24">
        <v>100</v>
      </c>
      <c r="C331" s="25">
        <f>Sales!$B331*Sales!$A331</f>
        <v>3900</v>
      </c>
      <c r="D331" s="26">
        <v>38188</v>
      </c>
      <c r="E331" s="27" t="s">
        <v>9</v>
      </c>
      <c r="F331" s="27">
        <v>3</v>
      </c>
      <c r="G331" s="27">
        <v>7</v>
      </c>
      <c r="H331" s="27">
        <v>2004</v>
      </c>
      <c r="I331" s="27" t="s">
        <v>47</v>
      </c>
      <c r="J331" s="25">
        <v>173</v>
      </c>
      <c r="K331" s="25">
        <f>Sales!$B331-Sales!$J331</f>
        <v>-73</v>
      </c>
      <c r="L331" s="28">
        <f>(Sales!$J331-Sales!$B331)/Sales!$J331</f>
        <v>0.42196531791907516</v>
      </c>
      <c r="M331" s="28" t="str">
        <f t="shared" si="5"/>
        <v>+20%</v>
      </c>
      <c r="N331" s="27" t="s">
        <v>36</v>
      </c>
      <c r="O331" s="27" t="s">
        <v>12</v>
      </c>
      <c r="P331" s="27" t="s">
        <v>13</v>
      </c>
      <c r="Q331" s="27" t="s">
        <v>39</v>
      </c>
    </row>
    <row r="332" spans="1:17" x14ac:dyDescent="0.3">
      <c r="A332" s="22">
        <v>24</v>
      </c>
      <c r="B332" s="19">
        <v>100</v>
      </c>
      <c r="C332" s="20">
        <f>Sales!$B332*Sales!$A332</f>
        <v>2400</v>
      </c>
      <c r="D332" s="21">
        <v>38219</v>
      </c>
      <c r="E332" s="22" t="s">
        <v>9</v>
      </c>
      <c r="F332" s="22">
        <v>3</v>
      </c>
      <c r="G332" s="22">
        <v>8</v>
      </c>
      <c r="H332" s="22">
        <v>2004</v>
      </c>
      <c r="I332" s="22" t="s">
        <v>47</v>
      </c>
      <c r="J332" s="20">
        <v>173</v>
      </c>
      <c r="K332" s="20">
        <f>Sales!$B332-Sales!$J332</f>
        <v>-73</v>
      </c>
      <c r="L332" s="23">
        <f>(Sales!$J332-Sales!$B332)/Sales!$J332</f>
        <v>0.42196531791907516</v>
      </c>
      <c r="M332" s="23" t="str">
        <f t="shared" si="5"/>
        <v>+20%</v>
      </c>
      <c r="N332" s="22" t="s">
        <v>64</v>
      </c>
      <c r="O332" s="22" t="s">
        <v>12</v>
      </c>
      <c r="P332" s="22" t="s">
        <v>13</v>
      </c>
      <c r="Q332" s="22" t="s">
        <v>19</v>
      </c>
    </row>
    <row r="333" spans="1:17" x14ac:dyDescent="0.3">
      <c r="A333" s="27">
        <v>45</v>
      </c>
      <c r="B333" s="24">
        <v>100</v>
      </c>
      <c r="C333" s="25">
        <f>Sales!$B333*Sales!$A333</f>
        <v>4500</v>
      </c>
      <c r="D333" s="26">
        <v>38239</v>
      </c>
      <c r="E333" s="27" t="s">
        <v>9</v>
      </c>
      <c r="F333" s="27">
        <v>3</v>
      </c>
      <c r="G333" s="27">
        <v>9</v>
      </c>
      <c r="H333" s="27">
        <v>2004</v>
      </c>
      <c r="I333" s="27" t="s">
        <v>47</v>
      </c>
      <c r="J333" s="25">
        <v>173</v>
      </c>
      <c r="K333" s="25">
        <f>Sales!$B333-Sales!$J333</f>
        <v>-73</v>
      </c>
      <c r="L333" s="28">
        <f>(Sales!$J333-Sales!$B333)/Sales!$J333</f>
        <v>0.42196531791907516</v>
      </c>
      <c r="M333" s="28" t="str">
        <f t="shared" si="5"/>
        <v>+20%</v>
      </c>
      <c r="N333" s="27" t="s">
        <v>60</v>
      </c>
      <c r="O333" s="27" t="s">
        <v>61</v>
      </c>
      <c r="P333" s="27" t="s">
        <v>17</v>
      </c>
      <c r="Q333" s="27" t="s">
        <v>39</v>
      </c>
    </row>
    <row r="334" spans="1:17" x14ac:dyDescent="0.3">
      <c r="A334" s="22">
        <v>20</v>
      </c>
      <c r="B334" s="19">
        <v>100</v>
      </c>
      <c r="C334" s="20">
        <f>Sales!$B334*Sales!$A334</f>
        <v>2000</v>
      </c>
      <c r="D334" s="21">
        <v>38274</v>
      </c>
      <c r="E334" s="22" t="s">
        <v>9</v>
      </c>
      <c r="F334" s="22">
        <v>4</v>
      </c>
      <c r="G334" s="22">
        <v>10</v>
      </c>
      <c r="H334" s="22">
        <v>2004</v>
      </c>
      <c r="I334" s="22" t="s">
        <v>47</v>
      </c>
      <c r="J334" s="20">
        <v>173</v>
      </c>
      <c r="K334" s="20">
        <f>Sales!$B334-Sales!$J334</f>
        <v>-73</v>
      </c>
      <c r="L334" s="23">
        <f>(Sales!$J334-Sales!$B334)/Sales!$J334</f>
        <v>0.42196531791907516</v>
      </c>
      <c r="M334" s="23" t="str">
        <f t="shared" si="5"/>
        <v>+20%</v>
      </c>
      <c r="N334" s="22" t="s">
        <v>102</v>
      </c>
      <c r="O334" s="22" t="s">
        <v>43</v>
      </c>
      <c r="P334" s="22" t="s">
        <v>17</v>
      </c>
      <c r="Q334" s="22" t="s">
        <v>19</v>
      </c>
    </row>
    <row r="335" spans="1:17" x14ac:dyDescent="0.3">
      <c r="A335" s="27">
        <v>36</v>
      </c>
      <c r="B335" s="24">
        <v>100</v>
      </c>
      <c r="C335" s="25">
        <f>Sales!$B335*Sales!$A335</f>
        <v>3600</v>
      </c>
      <c r="D335" s="26">
        <v>38282</v>
      </c>
      <c r="E335" s="27" t="s">
        <v>9</v>
      </c>
      <c r="F335" s="27">
        <v>4</v>
      </c>
      <c r="G335" s="27">
        <v>10</v>
      </c>
      <c r="H335" s="27">
        <v>2004</v>
      </c>
      <c r="I335" s="27" t="s">
        <v>47</v>
      </c>
      <c r="J335" s="25">
        <v>173</v>
      </c>
      <c r="K335" s="25">
        <f>Sales!$B335-Sales!$J335</f>
        <v>-73</v>
      </c>
      <c r="L335" s="28">
        <f>(Sales!$J335-Sales!$B335)/Sales!$J335</f>
        <v>0.42196531791907516</v>
      </c>
      <c r="M335" s="28" t="str">
        <f t="shared" si="5"/>
        <v>+20%</v>
      </c>
      <c r="N335" s="27" t="s">
        <v>103</v>
      </c>
      <c r="O335" s="27" t="s">
        <v>73</v>
      </c>
      <c r="P335" s="27" t="s">
        <v>17</v>
      </c>
      <c r="Q335" s="27" t="s">
        <v>19</v>
      </c>
    </row>
    <row r="336" spans="1:17" x14ac:dyDescent="0.3">
      <c r="A336" s="22">
        <v>24</v>
      </c>
      <c r="B336" s="19">
        <v>100</v>
      </c>
      <c r="C336" s="20">
        <f>Sales!$B336*Sales!$A336</f>
        <v>2400</v>
      </c>
      <c r="D336" s="21">
        <v>38296</v>
      </c>
      <c r="E336" s="22" t="s">
        <v>9</v>
      </c>
      <c r="F336" s="22">
        <v>4</v>
      </c>
      <c r="G336" s="22">
        <v>11</v>
      </c>
      <c r="H336" s="22">
        <v>2004</v>
      </c>
      <c r="I336" s="22" t="s">
        <v>47</v>
      </c>
      <c r="J336" s="20">
        <v>173</v>
      </c>
      <c r="K336" s="20">
        <f>Sales!$B336-Sales!$J336</f>
        <v>-73</v>
      </c>
      <c r="L336" s="23">
        <f>(Sales!$J336-Sales!$B336)/Sales!$J336</f>
        <v>0.42196531791907516</v>
      </c>
      <c r="M336" s="23" t="str">
        <f t="shared" si="5"/>
        <v>+20%</v>
      </c>
      <c r="N336" s="22" t="s">
        <v>35</v>
      </c>
      <c r="O336" s="22" t="s">
        <v>25</v>
      </c>
      <c r="P336" s="22" t="s">
        <v>17</v>
      </c>
      <c r="Q336" s="22" t="s">
        <v>14</v>
      </c>
    </row>
    <row r="337" spans="1:17" x14ac:dyDescent="0.3">
      <c r="A337" s="27">
        <v>49</v>
      </c>
      <c r="B337" s="24">
        <v>63.38</v>
      </c>
      <c r="C337" s="25">
        <f>Sales!$B337*Sales!$A337</f>
        <v>3105.6200000000003</v>
      </c>
      <c r="D337" s="26">
        <v>38311</v>
      </c>
      <c r="E337" s="27" t="s">
        <v>9</v>
      </c>
      <c r="F337" s="27">
        <v>4</v>
      </c>
      <c r="G337" s="27">
        <v>11</v>
      </c>
      <c r="H337" s="27">
        <v>2004</v>
      </c>
      <c r="I337" s="27" t="s">
        <v>47</v>
      </c>
      <c r="J337" s="25">
        <v>173</v>
      </c>
      <c r="K337" s="25">
        <f>Sales!$B337-Sales!$J337</f>
        <v>-109.62</v>
      </c>
      <c r="L337" s="28">
        <f>(Sales!$J337-Sales!$B337)/Sales!$J337</f>
        <v>0.63364161849710987</v>
      </c>
      <c r="M337" s="28" t="str">
        <f t="shared" si="5"/>
        <v>+20%</v>
      </c>
      <c r="N337" s="27" t="s">
        <v>18</v>
      </c>
      <c r="O337" s="27" t="s">
        <v>16</v>
      </c>
      <c r="P337" s="27" t="s">
        <v>17</v>
      </c>
      <c r="Q337" s="27" t="s">
        <v>19</v>
      </c>
    </row>
    <row r="338" spans="1:17" x14ac:dyDescent="0.3">
      <c r="A338" s="22">
        <v>26</v>
      </c>
      <c r="B338" s="19">
        <v>100</v>
      </c>
      <c r="C338" s="20">
        <f>Sales!$B338*Sales!$A338</f>
        <v>2600</v>
      </c>
      <c r="D338" s="21">
        <v>38322</v>
      </c>
      <c r="E338" s="22" t="s">
        <v>9</v>
      </c>
      <c r="F338" s="22">
        <v>4</v>
      </c>
      <c r="G338" s="22">
        <v>12</v>
      </c>
      <c r="H338" s="22">
        <v>2004</v>
      </c>
      <c r="I338" s="22" t="s">
        <v>47</v>
      </c>
      <c r="J338" s="20">
        <v>173</v>
      </c>
      <c r="K338" s="20">
        <f>Sales!$B338-Sales!$J338</f>
        <v>-73</v>
      </c>
      <c r="L338" s="23">
        <f>(Sales!$J338-Sales!$B338)/Sales!$J338</f>
        <v>0.42196531791907516</v>
      </c>
      <c r="M338" s="23" t="str">
        <f t="shared" si="5"/>
        <v>+20%</v>
      </c>
      <c r="N338" s="22" t="s">
        <v>11</v>
      </c>
      <c r="O338" s="22" t="s">
        <v>12</v>
      </c>
      <c r="P338" s="22" t="s">
        <v>13</v>
      </c>
      <c r="Q338" s="22" t="s">
        <v>19</v>
      </c>
    </row>
    <row r="339" spans="1:17" x14ac:dyDescent="0.3">
      <c r="A339" s="27">
        <v>49</v>
      </c>
      <c r="B339" s="24">
        <v>62.09</v>
      </c>
      <c r="C339" s="25">
        <f>Sales!$B339*Sales!$A339</f>
        <v>3042.4100000000003</v>
      </c>
      <c r="D339" s="26">
        <v>38336</v>
      </c>
      <c r="E339" s="27" t="s">
        <v>9</v>
      </c>
      <c r="F339" s="27">
        <v>4</v>
      </c>
      <c r="G339" s="27">
        <v>12</v>
      </c>
      <c r="H339" s="27">
        <v>2004</v>
      </c>
      <c r="I339" s="27" t="s">
        <v>47</v>
      </c>
      <c r="J339" s="25">
        <v>173</v>
      </c>
      <c r="K339" s="25">
        <f>Sales!$B339-Sales!$J339</f>
        <v>-110.91</v>
      </c>
      <c r="L339" s="28">
        <f>(Sales!$J339-Sales!$B339)/Sales!$J339</f>
        <v>0.64109826589595376</v>
      </c>
      <c r="M339" s="28" t="str">
        <f t="shared" si="5"/>
        <v>+20%</v>
      </c>
      <c r="N339" s="27" t="s">
        <v>15</v>
      </c>
      <c r="O339" s="27" t="s">
        <v>16</v>
      </c>
      <c r="P339" s="27" t="s">
        <v>17</v>
      </c>
      <c r="Q339" s="27" t="s">
        <v>19</v>
      </c>
    </row>
    <row r="340" spans="1:17" x14ac:dyDescent="0.3">
      <c r="A340" s="22">
        <v>34</v>
      </c>
      <c r="B340" s="19">
        <v>100</v>
      </c>
      <c r="C340" s="20">
        <f>Sales!$B340*Sales!$A340</f>
        <v>3400</v>
      </c>
      <c r="D340" s="21">
        <v>38378</v>
      </c>
      <c r="E340" s="22" t="s">
        <v>9</v>
      </c>
      <c r="F340" s="22">
        <v>1</v>
      </c>
      <c r="G340" s="22">
        <v>1</v>
      </c>
      <c r="H340" s="22">
        <v>2005</v>
      </c>
      <c r="I340" s="22" t="s">
        <v>47</v>
      </c>
      <c r="J340" s="20">
        <v>173</v>
      </c>
      <c r="K340" s="20">
        <f>Sales!$B340-Sales!$J340</f>
        <v>-73</v>
      </c>
      <c r="L340" s="23">
        <f>(Sales!$J340-Sales!$B340)/Sales!$J340</f>
        <v>0.42196531791907516</v>
      </c>
      <c r="M340" s="23" t="str">
        <f t="shared" si="5"/>
        <v>+20%</v>
      </c>
      <c r="N340" s="22" t="s">
        <v>59</v>
      </c>
      <c r="O340" s="22" t="s">
        <v>51</v>
      </c>
      <c r="P340" s="22" t="s">
        <v>51</v>
      </c>
      <c r="Q340" s="22" t="s">
        <v>19</v>
      </c>
    </row>
    <row r="341" spans="1:17" x14ac:dyDescent="0.3">
      <c r="A341" s="27">
        <v>34</v>
      </c>
      <c r="B341" s="24">
        <v>95.35</v>
      </c>
      <c r="C341" s="25">
        <f>Sales!$B341*Sales!$A341</f>
        <v>3241.8999999999996</v>
      </c>
      <c r="D341" s="26">
        <v>38400</v>
      </c>
      <c r="E341" s="27" t="s">
        <v>9</v>
      </c>
      <c r="F341" s="27">
        <v>1</v>
      </c>
      <c r="G341" s="27">
        <v>2</v>
      </c>
      <c r="H341" s="27">
        <v>2005</v>
      </c>
      <c r="I341" s="27" t="s">
        <v>47</v>
      </c>
      <c r="J341" s="25">
        <v>173</v>
      </c>
      <c r="K341" s="25">
        <f>Sales!$B341-Sales!$J341</f>
        <v>-77.650000000000006</v>
      </c>
      <c r="L341" s="28">
        <f>(Sales!$J341-Sales!$B341)/Sales!$J341</f>
        <v>0.44884393063583816</v>
      </c>
      <c r="M341" s="28" t="str">
        <f t="shared" si="5"/>
        <v>+20%</v>
      </c>
      <c r="N341" s="27" t="s">
        <v>64</v>
      </c>
      <c r="O341" s="27" t="s">
        <v>12</v>
      </c>
      <c r="P341" s="27" t="s">
        <v>13</v>
      </c>
      <c r="Q341" s="27" t="s">
        <v>19</v>
      </c>
    </row>
    <row r="342" spans="1:17" x14ac:dyDescent="0.3">
      <c r="A342" s="22">
        <v>33</v>
      </c>
      <c r="B342" s="19">
        <v>100</v>
      </c>
      <c r="C342" s="20">
        <f>Sales!$B342*Sales!$A342</f>
        <v>3300</v>
      </c>
      <c r="D342" s="21">
        <v>38434</v>
      </c>
      <c r="E342" s="22" t="s">
        <v>9</v>
      </c>
      <c r="F342" s="22">
        <v>1</v>
      </c>
      <c r="G342" s="22">
        <v>3</v>
      </c>
      <c r="H342" s="22">
        <v>2005</v>
      </c>
      <c r="I342" s="22" t="s">
        <v>47</v>
      </c>
      <c r="J342" s="20">
        <v>173</v>
      </c>
      <c r="K342" s="20">
        <f>Sales!$B342-Sales!$J342</f>
        <v>-73</v>
      </c>
      <c r="L342" s="23">
        <f>(Sales!$J342-Sales!$B342)/Sales!$J342</f>
        <v>0.42196531791907516</v>
      </c>
      <c r="M342" s="23" t="str">
        <f t="shared" si="5"/>
        <v>+20%</v>
      </c>
      <c r="N342" s="22" t="s">
        <v>64</v>
      </c>
      <c r="O342" s="22" t="s">
        <v>12</v>
      </c>
      <c r="P342" s="22" t="s">
        <v>13</v>
      </c>
      <c r="Q342" s="22" t="s">
        <v>19</v>
      </c>
    </row>
    <row r="343" spans="1:17" x14ac:dyDescent="0.3">
      <c r="A343" s="27">
        <v>22</v>
      </c>
      <c r="B343" s="24">
        <v>100</v>
      </c>
      <c r="C343" s="25">
        <f>Sales!$B343*Sales!$A343</f>
        <v>2200</v>
      </c>
      <c r="D343" s="26">
        <v>38477</v>
      </c>
      <c r="E343" s="27" t="s">
        <v>9</v>
      </c>
      <c r="F343" s="27">
        <v>2</v>
      </c>
      <c r="G343" s="27">
        <v>5</v>
      </c>
      <c r="H343" s="27">
        <v>2005</v>
      </c>
      <c r="I343" s="27" t="s">
        <v>47</v>
      </c>
      <c r="J343" s="25">
        <v>173</v>
      </c>
      <c r="K343" s="25">
        <f>Sales!$B343-Sales!$J343</f>
        <v>-73</v>
      </c>
      <c r="L343" s="28">
        <f>(Sales!$J343-Sales!$B343)/Sales!$J343</f>
        <v>0.42196531791907516</v>
      </c>
      <c r="M343" s="28" t="str">
        <f t="shared" si="5"/>
        <v>+20%</v>
      </c>
      <c r="N343" s="27" t="s">
        <v>30</v>
      </c>
      <c r="O343" s="27" t="s">
        <v>12</v>
      </c>
      <c r="P343" s="27" t="s">
        <v>13</v>
      </c>
      <c r="Q343" s="27" t="s">
        <v>19</v>
      </c>
    </row>
    <row r="344" spans="1:17" x14ac:dyDescent="0.3">
      <c r="A344" s="22">
        <v>39</v>
      </c>
      <c r="B344" s="19">
        <v>89.38</v>
      </c>
      <c r="C344" s="20">
        <f>Sales!$B344*Sales!$A344</f>
        <v>3485.8199999999997</v>
      </c>
      <c r="D344" s="21">
        <v>37683</v>
      </c>
      <c r="E344" s="22" t="s">
        <v>9</v>
      </c>
      <c r="F344" s="22">
        <v>1</v>
      </c>
      <c r="G344" s="22">
        <v>3</v>
      </c>
      <c r="H344" s="22">
        <v>2003</v>
      </c>
      <c r="I344" s="22" t="s">
        <v>47</v>
      </c>
      <c r="J344" s="20">
        <v>79</v>
      </c>
      <c r="K344" s="20">
        <f>Sales!$B344-Sales!$J344</f>
        <v>10.379999999999995</v>
      </c>
      <c r="L344" s="23">
        <f>(Sales!$J344-Sales!$B344)/Sales!$J344</f>
        <v>-0.13139240506329108</v>
      </c>
      <c r="M344" s="23" t="str">
        <f t="shared" si="5"/>
        <v>Below 0%</v>
      </c>
      <c r="N344" s="22" t="s">
        <v>90</v>
      </c>
      <c r="O344" s="22" t="s">
        <v>91</v>
      </c>
      <c r="P344" s="22" t="s">
        <v>28</v>
      </c>
      <c r="Q344" s="22" t="s">
        <v>19</v>
      </c>
    </row>
    <row r="345" spans="1:17" x14ac:dyDescent="0.3">
      <c r="A345" s="27">
        <v>32</v>
      </c>
      <c r="B345" s="24">
        <v>63.84</v>
      </c>
      <c r="C345" s="25">
        <f>Sales!$B345*Sales!$A345</f>
        <v>2042.88</v>
      </c>
      <c r="D345" s="26">
        <v>37749</v>
      </c>
      <c r="E345" s="27" t="s">
        <v>9</v>
      </c>
      <c r="F345" s="27">
        <v>2</v>
      </c>
      <c r="G345" s="27">
        <v>5</v>
      </c>
      <c r="H345" s="27">
        <v>2003</v>
      </c>
      <c r="I345" s="27" t="s">
        <v>47</v>
      </c>
      <c r="J345" s="25">
        <v>79</v>
      </c>
      <c r="K345" s="25">
        <f>Sales!$B345-Sales!$J345</f>
        <v>-15.159999999999997</v>
      </c>
      <c r="L345" s="28">
        <f>(Sales!$J345-Sales!$B345)/Sales!$J345</f>
        <v>0.19189873417721515</v>
      </c>
      <c r="M345" s="28" t="str">
        <f t="shared" si="5"/>
        <v>15%-20%</v>
      </c>
      <c r="N345" s="27" t="s">
        <v>92</v>
      </c>
      <c r="O345" s="27" t="s">
        <v>16</v>
      </c>
      <c r="P345" s="27" t="s">
        <v>17</v>
      </c>
      <c r="Q345" s="27" t="s">
        <v>14</v>
      </c>
    </row>
    <row r="346" spans="1:17" x14ac:dyDescent="0.3">
      <c r="A346" s="22">
        <v>24</v>
      </c>
      <c r="B346" s="19">
        <v>75.010000000000005</v>
      </c>
      <c r="C346" s="20">
        <f>Sales!$B346*Sales!$A346</f>
        <v>1800.2400000000002</v>
      </c>
      <c r="D346" s="21">
        <v>37804</v>
      </c>
      <c r="E346" s="22" t="s">
        <v>9</v>
      </c>
      <c r="F346" s="22">
        <v>3</v>
      </c>
      <c r="G346" s="22">
        <v>7</v>
      </c>
      <c r="H346" s="22">
        <v>2003</v>
      </c>
      <c r="I346" s="22" t="s">
        <v>47</v>
      </c>
      <c r="J346" s="20">
        <v>79</v>
      </c>
      <c r="K346" s="20">
        <f>Sales!$B346-Sales!$J346</f>
        <v>-3.9899999999999949</v>
      </c>
      <c r="L346" s="23">
        <f>(Sales!$J346-Sales!$B346)/Sales!$J346</f>
        <v>5.0506329113923984E-2</v>
      </c>
      <c r="M346" s="23" t="s">
        <v>131</v>
      </c>
      <c r="N346" s="22" t="s">
        <v>64</v>
      </c>
      <c r="O346" s="22" t="s">
        <v>12</v>
      </c>
      <c r="P346" s="22" t="s">
        <v>13</v>
      </c>
      <c r="Q346" s="22" t="s">
        <v>14</v>
      </c>
    </row>
    <row r="347" spans="1:17" x14ac:dyDescent="0.3">
      <c r="A347" s="27">
        <v>21</v>
      </c>
      <c r="B347" s="24">
        <v>63.84</v>
      </c>
      <c r="C347" s="25">
        <f>Sales!$B347*Sales!$A347</f>
        <v>1340.64</v>
      </c>
      <c r="D347" s="26">
        <v>37869</v>
      </c>
      <c r="E347" s="27" t="s">
        <v>9</v>
      </c>
      <c r="F347" s="27">
        <v>3</v>
      </c>
      <c r="G347" s="27">
        <v>9</v>
      </c>
      <c r="H347" s="27">
        <v>2003</v>
      </c>
      <c r="I347" s="27" t="s">
        <v>47</v>
      </c>
      <c r="J347" s="25">
        <v>79</v>
      </c>
      <c r="K347" s="25">
        <f>Sales!$B347-Sales!$J347</f>
        <v>-15.159999999999997</v>
      </c>
      <c r="L347" s="28">
        <f>(Sales!$J347-Sales!$B347)/Sales!$J347</f>
        <v>0.19189873417721515</v>
      </c>
      <c r="M347" s="28" t="str">
        <f t="shared" si="5"/>
        <v>15%-20%</v>
      </c>
      <c r="N347" s="27" t="s">
        <v>66</v>
      </c>
      <c r="O347" s="27" t="s">
        <v>12</v>
      </c>
      <c r="P347" s="27" t="s">
        <v>13</v>
      </c>
      <c r="Q347" s="27" t="s">
        <v>14</v>
      </c>
    </row>
    <row r="348" spans="1:17" x14ac:dyDescent="0.3">
      <c r="A348" s="22">
        <v>24</v>
      </c>
      <c r="B348" s="19">
        <v>73.42</v>
      </c>
      <c r="C348" s="20">
        <f>Sales!$B348*Sales!$A348</f>
        <v>1762.08</v>
      </c>
      <c r="D348" s="21">
        <v>37904</v>
      </c>
      <c r="E348" s="22" t="s">
        <v>9</v>
      </c>
      <c r="F348" s="22">
        <v>4</v>
      </c>
      <c r="G348" s="22">
        <v>10</v>
      </c>
      <c r="H348" s="22">
        <v>2003</v>
      </c>
      <c r="I348" s="22" t="s">
        <v>47</v>
      </c>
      <c r="J348" s="20">
        <v>79</v>
      </c>
      <c r="K348" s="20">
        <f>Sales!$B348-Sales!$J348</f>
        <v>-5.5799999999999983</v>
      </c>
      <c r="L348" s="23">
        <f>(Sales!$J348-Sales!$B348)/Sales!$J348</f>
        <v>7.0632911392405046E-2</v>
      </c>
      <c r="M348" s="23" t="str">
        <f t="shared" si="5"/>
        <v>5%-10%</v>
      </c>
      <c r="N348" s="22" t="s">
        <v>21</v>
      </c>
      <c r="O348" s="22" t="s">
        <v>12</v>
      </c>
      <c r="P348" s="22" t="s">
        <v>13</v>
      </c>
      <c r="Q348" s="22" t="s">
        <v>14</v>
      </c>
    </row>
    <row r="349" spans="1:17" x14ac:dyDescent="0.3">
      <c r="A349" s="27">
        <v>36</v>
      </c>
      <c r="B349" s="24">
        <v>63.84</v>
      </c>
      <c r="C349" s="25">
        <f>Sales!$B349*Sales!$A349</f>
        <v>2298.2400000000002</v>
      </c>
      <c r="D349" s="26">
        <v>37929</v>
      </c>
      <c r="E349" s="27" t="s">
        <v>9</v>
      </c>
      <c r="F349" s="27">
        <v>4</v>
      </c>
      <c r="G349" s="27">
        <v>11</v>
      </c>
      <c r="H349" s="27">
        <v>2003</v>
      </c>
      <c r="I349" s="27" t="s">
        <v>47</v>
      </c>
      <c r="J349" s="25">
        <v>79</v>
      </c>
      <c r="K349" s="25">
        <f>Sales!$B349-Sales!$J349</f>
        <v>-15.159999999999997</v>
      </c>
      <c r="L349" s="28">
        <f>(Sales!$J349-Sales!$B349)/Sales!$J349</f>
        <v>0.19189873417721515</v>
      </c>
      <c r="M349" s="28" t="str">
        <f t="shared" si="5"/>
        <v>15%-20%</v>
      </c>
      <c r="N349" s="27" t="s">
        <v>67</v>
      </c>
      <c r="O349" s="27" t="s">
        <v>27</v>
      </c>
      <c r="P349" s="27" t="s">
        <v>28</v>
      </c>
      <c r="Q349" s="27" t="s">
        <v>14</v>
      </c>
    </row>
    <row r="350" spans="1:17" x14ac:dyDescent="0.3">
      <c r="A350" s="22">
        <v>20</v>
      </c>
      <c r="B350" s="19">
        <v>81.400000000000006</v>
      </c>
      <c r="C350" s="20">
        <f>Sales!$B350*Sales!$A350</f>
        <v>1628</v>
      </c>
      <c r="D350" s="21">
        <v>37937</v>
      </c>
      <c r="E350" s="22" t="s">
        <v>9</v>
      </c>
      <c r="F350" s="22">
        <v>4</v>
      </c>
      <c r="G350" s="22">
        <v>11</v>
      </c>
      <c r="H350" s="22">
        <v>2003</v>
      </c>
      <c r="I350" s="22" t="s">
        <v>47</v>
      </c>
      <c r="J350" s="20">
        <v>79</v>
      </c>
      <c r="K350" s="20">
        <f>Sales!$B350-Sales!$J350</f>
        <v>2.4000000000000057</v>
      </c>
      <c r="L350" s="23">
        <f>(Sales!$J350-Sales!$B350)/Sales!$J350</f>
        <v>-3.037974683544311E-2</v>
      </c>
      <c r="M350" s="23" t="str">
        <f t="shared" si="5"/>
        <v>Below 0%</v>
      </c>
      <c r="N350" s="22" t="s">
        <v>24</v>
      </c>
      <c r="O350" s="22" t="s">
        <v>25</v>
      </c>
      <c r="P350" s="22" t="s">
        <v>17</v>
      </c>
      <c r="Q350" s="22" t="s">
        <v>14</v>
      </c>
    </row>
    <row r="351" spans="1:17" x14ac:dyDescent="0.3">
      <c r="A351" s="27">
        <v>30</v>
      </c>
      <c r="B351" s="24">
        <v>64.64</v>
      </c>
      <c r="C351" s="25">
        <f>Sales!$B351*Sales!$A351</f>
        <v>1939.2</v>
      </c>
      <c r="D351" s="26">
        <v>37945</v>
      </c>
      <c r="E351" s="27" t="s">
        <v>9</v>
      </c>
      <c r="F351" s="27">
        <v>4</v>
      </c>
      <c r="G351" s="27">
        <v>11</v>
      </c>
      <c r="H351" s="27">
        <v>2003</v>
      </c>
      <c r="I351" s="27" t="s">
        <v>47</v>
      </c>
      <c r="J351" s="25">
        <v>79</v>
      </c>
      <c r="K351" s="25">
        <f>Sales!$B351-Sales!$J351</f>
        <v>-14.36</v>
      </c>
      <c r="L351" s="28">
        <f>(Sales!$J351-Sales!$B351)/Sales!$J351</f>
        <v>0.18177215189873416</v>
      </c>
      <c r="M351" s="28" t="str">
        <f t="shared" si="5"/>
        <v>15%-20%</v>
      </c>
      <c r="N351" s="27" t="s">
        <v>93</v>
      </c>
      <c r="O351" s="27" t="s">
        <v>94</v>
      </c>
      <c r="P351" s="27" t="s">
        <v>17</v>
      </c>
      <c r="Q351" s="27" t="s">
        <v>14</v>
      </c>
    </row>
    <row r="352" spans="1:17" x14ac:dyDescent="0.3">
      <c r="A352" s="22">
        <v>44</v>
      </c>
      <c r="B352" s="19">
        <v>82.99</v>
      </c>
      <c r="C352" s="20">
        <f>Sales!$B352*Sales!$A352</f>
        <v>3651.56</v>
      </c>
      <c r="D352" s="21">
        <v>37957</v>
      </c>
      <c r="E352" s="22" t="s">
        <v>9</v>
      </c>
      <c r="F352" s="22">
        <v>4</v>
      </c>
      <c r="G352" s="22">
        <v>12</v>
      </c>
      <c r="H352" s="22">
        <v>2003</v>
      </c>
      <c r="I352" s="22" t="s">
        <v>47</v>
      </c>
      <c r="J352" s="20">
        <v>79</v>
      </c>
      <c r="K352" s="20">
        <f>Sales!$B352-Sales!$J352</f>
        <v>3.9899999999999949</v>
      </c>
      <c r="L352" s="23">
        <f>(Sales!$J352-Sales!$B352)/Sales!$J352</f>
        <v>-5.0506329113923984E-2</v>
      </c>
      <c r="M352" s="23" t="str">
        <f t="shared" si="5"/>
        <v>Below 0%</v>
      </c>
      <c r="N352" s="22" t="s">
        <v>45</v>
      </c>
      <c r="O352" s="22" t="s">
        <v>46</v>
      </c>
      <c r="P352" s="22" t="s">
        <v>17</v>
      </c>
      <c r="Q352" s="22" t="s">
        <v>19</v>
      </c>
    </row>
    <row r="353" spans="1:17" x14ac:dyDescent="0.3">
      <c r="A353" s="27">
        <v>28</v>
      </c>
      <c r="B353" s="24">
        <v>92.57</v>
      </c>
      <c r="C353" s="25">
        <f>Sales!$B353*Sales!$A353</f>
        <v>2591.96</v>
      </c>
      <c r="D353" s="26">
        <v>38001</v>
      </c>
      <c r="E353" s="27" t="s">
        <v>9</v>
      </c>
      <c r="F353" s="27">
        <v>1</v>
      </c>
      <c r="G353" s="27">
        <v>1</v>
      </c>
      <c r="H353" s="27">
        <v>2004</v>
      </c>
      <c r="I353" s="27" t="s">
        <v>47</v>
      </c>
      <c r="J353" s="25">
        <v>79</v>
      </c>
      <c r="K353" s="25">
        <f>Sales!$B353-Sales!$J353</f>
        <v>13.569999999999993</v>
      </c>
      <c r="L353" s="28">
        <f>(Sales!$J353-Sales!$B353)/Sales!$J353</f>
        <v>-0.1717721518987341</v>
      </c>
      <c r="M353" s="28" t="str">
        <f t="shared" si="5"/>
        <v>Below 0%</v>
      </c>
      <c r="N353" s="27" t="s">
        <v>18</v>
      </c>
      <c r="O353" s="27" t="s">
        <v>16</v>
      </c>
      <c r="P353" s="27" t="s">
        <v>17</v>
      </c>
      <c r="Q353" s="27" t="s">
        <v>14</v>
      </c>
    </row>
    <row r="354" spans="1:17" x14ac:dyDescent="0.3">
      <c r="A354" s="22">
        <v>37</v>
      </c>
      <c r="B354" s="19">
        <v>77.41</v>
      </c>
      <c r="C354" s="20">
        <f>Sales!$B354*Sales!$A354</f>
        <v>2864.17</v>
      </c>
      <c r="D354" s="21">
        <v>38039</v>
      </c>
      <c r="E354" s="22" t="s">
        <v>9</v>
      </c>
      <c r="F354" s="22">
        <v>1</v>
      </c>
      <c r="G354" s="22">
        <v>2</v>
      </c>
      <c r="H354" s="22">
        <v>2004</v>
      </c>
      <c r="I354" s="22" t="s">
        <v>47</v>
      </c>
      <c r="J354" s="20">
        <v>79</v>
      </c>
      <c r="K354" s="20">
        <f>Sales!$B354-Sales!$J354</f>
        <v>-1.5900000000000034</v>
      </c>
      <c r="L354" s="23">
        <f>(Sales!$J354-Sales!$B354)/Sales!$J354</f>
        <v>2.0126582278481055E-2</v>
      </c>
      <c r="M354" s="23" t="str">
        <f t="shared" si="5"/>
        <v>0%-5%</v>
      </c>
      <c r="N354" s="22" t="s">
        <v>95</v>
      </c>
      <c r="O354" s="22" t="s">
        <v>96</v>
      </c>
      <c r="P354" s="22" t="s">
        <v>17</v>
      </c>
      <c r="Q354" s="22" t="s">
        <v>14</v>
      </c>
    </row>
    <row r="355" spans="1:17" x14ac:dyDescent="0.3">
      <c r="A355" s="27">
        <v>20</v>
      </c>
      <c r="B355" s="24">
        <v>74.209999999999994</v>
      </c>
      <c r="C355" s="25">
        <f>Sales!$B355*Sales!$A355</f>
        <v>1484.1999999999998</v>
      </c>
      <c r="D355" s="26">
        <v>38086</v>
      </c>
      <c r="E355" s="27" t="s">
        <v>9</v>
      </c>
      <c r="F355" s="27">
        <v>2</v>
      </c>
      <c r="G355" s="27">
        <v>4</v>
      </c>
      <c r="H355" s="27">
        <v>2004</v>
      </c>
      <c r="I355" s="27" t="s">
        <v>47</v>
      </c>
      <c r="J355" s="25">
        <v>79</v>
      </c>
      <c r="K355" s="25">
        <f>Sales!$B355-Sales!$J355</f>
        <v>-4.7900000000000063</v>
      </c>
      <c r="L355" s="28">
        <f>(Sales!$J355-Sales!$B355)/Sales!$J355</f>
        <v>6.0632911392405141E-2</v>
      </c>
      <c r="M355" s="28" t="str">
        <f t="shared" si="5"/>
        <v>5%-10%</v>
      </c>
      <c r="N355" s="27" t="s">
        <v>72</v>
      </c>
      <c r="O355" s="27" t="s">
        <v>73</v>
      </c>
      <c r="P355" s="27" t="s">
        <v>17</v>
      </c>
      <c r="Q355" s="27" t="s">
        <v>14</v>
      </c>
    </row>
    <row r="356" spans="1:17" x14ac:dyDescent="0.3">
      <c r="A356" s="22">
        <v>25</v>
      </c>
      <c r="B356" s="19">
        <v>90.17</v>
      </c>
      <c r="C356" s="20">
        <f>Sales!$B356*Sales!$A356</f>
        <v>2254.25</v>
      </c>
      <c r="D356" s="21">
        <v>38139</v>
      </c>
      <c r="E356" s="22" t="s">
        <v>75</v>
      </c>
      <c r="F356" s="22">
        <v>2</v>
      </c>
      <c r="G356" s="22">
        <v>6</v>
      </c>
      <c r="H356" s="22">
        <v>2004</v>
      </c>
      <c r="I356" s="22" t="s">
        <v>47</v>
      </c>
      <c r="J356" s="20">
        <v>79</v>
      </c>
      <c r="K356" s="20">
        <f>Sales!$B356-Sales!$J356</f>
        <v>11.170000000000002</v>
      </c>
      <c r="L356" s="23">
        <f>(Sales!$J356-Sales!$B356)/Sales!$J356</f>
        <v>-0.14139240506329115</v>
      </c>
      <c r="M356" s="23" t="str">
        <f t="shared" si="5"/>
        <v>Below 0%</v>
      </c>
      <c r="N356" s="22" t="s">
        <v>42</v>
      </c>
      <c r="O356" s="22" t="s">
        <v>43</v>
      </c>
      <c r="P356" s="22" t="s">
        <v>17</v>
      </c>
      <c r="Q356" s="22" t="s">
        <v>14</v>
      </c>
    </row>
    <row r="357" spans="1:17" x14ac:dyDescent="0.3">
      <c r="A357" s="27">
        <v>35</v>
      </c>
      <c r="B357" s="24">
        <v>76.61</v>
      </c>
      <c r="C357" s="25">
        <f>Sales!$B357*Sales!$A357</f>
        <v>2681.35</v>
      </c>
      <c r="D357" s="26">
        <v>38174</v>
      </c>
      <c r="E357" s="27" t="s">
        <v>9</v>
      </c>
      <c r="F357" s="27">
        <v>3</v>
      </c>
      <c r="G357" s="27">
        <v>7</v>
      </c>
      <c r="H357" s="27">
        <v>2004</v>
      </c>
      <c r="I357" s="27" t="s">
        <v>47</v>
      </c>
      <c r="J357" s="25">
        <v>79</v>
      </c>
      <c r="K357" s="25">
        <f>Sales!$B357-Sales!$J357</f>
        <v>-2.3900000000000006</v>
      </c>
      <c r="L357" s="28">
        <f>(Sales!$J357-Sales!$B357)/Sales!$J357</f>
        <v>3.0253164556962031E-2</v>
      </c>
      <c r="M357" s="28" t="str">
        <f t="shared" si="5"/>
        <v>0%-5%</v>
      </c>
      <c r="N357" s="27" t="s">
        <v>97</v>
      </c>
      <c r="O357" s="27" t="s">
        <v>61</v>
      </c>
      <c r="P357" s="27" t="s">
        <v>17</v>
      </c>
      <c r="Q357" s="27" t="s">
        <v>14</v>
      </c>
    </row>
    <row r="358" spans="1:17" x14ac:dyDescent="0.3">
      <c r="A358" s="22">
        <v>38</v>
      </c>
      <c r="B358" s="19">
        <v>83.79</v>
      </c>
      <c r="C358" s="20">
        <f>Sales!$B358*Sales!$A358</f>
        <v>3184.0200000000004</v>
      </c>
      <c r="D358" s="21">
        <v>38201</v>
      </c>
      <c r="E358" s="22" t="s">
        <v>9</v>
      </c>
      <c r="F358" s="22">
        <v>3</v>
      </c>
      <c r="G358" s="22">
        <v>8</v>
      </c>
      <c r="H358" s="22">
        <v>2004</v>
      </c>
      <c r="I358" s="22" t="s">
        <v>47</v>
      </c>
      <c r="J358" s="20">
        <v>79</v>
      </c>
      <c r="K358" s="20">
        <f>Sales!$B358-Sales!$J358</f>
        <v>4.7900000000000063</v>
      </c>
      <c r="L358" s="23">
        <f>(Sales!$J358-Sales!$B358)/Sales!$J358</f>
        <v>-6.0632911392405141E-2</v>
      </c>
      <c r="M358" s="23" t="str">
        <f t="shared" si="5"/>
        <v>Below 0%</v>
      </c>
      <c r="N358" s="22" t="s">
        <v>66</v>
      </c>
      <c r="O358" s="22" t="s">
        <v>12</v>
      </c>
      <c r="P358" s="22" t="s">
        <v>13</v>
      </c>
      <c r="Q358" s="22" t="s">
        <v>19</v>
      </c>
    </row>
    <row r="359" spans="1:17" x14ac:dyDescent="0.3">
      <c r="A359" s="27">
        <v>41</v>
      </c>
      <c r="B359" s="24">
        <v>69.430000000000007</v>
      </c>
      <c r="C359" s="25">
        <f>Sales!$B359*Sales!$A359</f>
        <v>2846.63</v>
      </c>
      <c r="D359" s="26">
        <v>38229</v>
      </c>
      <c r="E359" s="27" t="s">
        <v>9</v>
      </c>
      <c r="F359" s="27">
        <v>3</v>
      </c>
      <c r="G359" s="27">
        <v>8</v>
      </c>
      <c r="H359" s="27">
        <v>2004</v>
      </c>
      <c r="I359" s="27" t="s">
        <v>47</v>
      </c>
      <c r="J359" s="25">
        <v>79</v>
      </c>
      <c r="K359" s="25">
        <f>Sales!$B359-Sales!$J359</f>
        <v>-9.5699999999999932</v>
      </c>
      <c r="L359" s="28">
        <f>(Sales!$J359-Sales!$B359)/Sales!$J359</f>
        <v>0.12113924050632903</v>
      </c>
      <c r="M359" s="28" t="str">
        <f t="shared" si="5"/>
        <v>10%-15%</v>
      </c>
      <c r="N359" s="27" t="s">
        <v>95</v>
      </c>
      <c r="O359" s="27" t="s">
        <v>96</v>
      </c>
      <c r="P359" s="27" t="s">
        <v>17</v>
      </c>
      <c r="Q359" s="27" t="s">
        <v>14</v>
      </c>
    </row>
    <row r="360" spans="1:17" x14ac:dyDescent="0.3">
      <c r="A360" s="22">
        <v>22</v>
      </c>
      <c r="B360" s="19">
        <v>76.61</v>
      </c>
      <c r="C360" s="20">
        <f>Sales!$B360*Sales!$A360</f>
        <v>1685.42</v>
      </c>
      <c r="D360" s="21">
        <v>37898</v>
      </c>
      <c r="E360" s="22" t="s">
        <v>9</v>
      </c>
      <c r="F360" s="22">
        <v>4</v>
      </c>
      <c r="G360" s="22">
        <v>10</v>
      </c>
      <c r="H360" s="22">
        <v>2003</v>
      </c>
      <c r="I360" s="22" t="s">
        <v>47</v>
      </c>
      <c r="J360" s="20">
        <v>79</v>
      </c>
      <c r="K360" s="20">
        <f>Sales!$B360-Sales!$J360</f>
        <v>-2.3900000000000006</v>
      </c>
      <c r="L360" s="23">
        <f>(Sales!$J360-Sales!$B360)/Sales!$J360</f>
        <v>3.0253164556962031E-2</v>
      </c>
      <c r="M360" s="23" t="str">
        <f t="shared" si="5"/>
        <v>0%-5%</v>
      </c>
      <c r="N360" s="22" t="s">
        <v>98</v>
      </c>
      <c r="O360" s="22" t="s">
        <v>94</v>
      </c>
      <c r="P360" s="22" t="s">
        <v>17</v>
      </c>
      <c r="Q360" s="22" t="s">
        <v>14</v>
      </c>
    </row>
    <row r="361" spans="1:17" x14ac:dyDescent="0.3">
      <c r="A361" s="27">
        <v>49</v>
      </c>
      <c r="B361" s="24">
        <v>81.400000000000006</v>
      </c>
      <c r="C361" s="25">
        <f>Sales!$B361*Sales!$A361</f>
        <v>3988.6000000000004</v>
      </c>
      <c r="D361" s="26">
        <v>38276</v>
      </c>
      <c r="E361" s="27" t="s">
        <v>9</v>
      </c>
      <c r="F361" s="27">
        <v>4</v>
      </c>
      <c r="G361" s="27">
        <v>10</v>
      </c>
      <c r="H361" s="27">
        <v>2004</v>
      </c>
      <c r="I361" s="27" t="s">
        <v>47</v>
      </c>
      <c r="J361" s="25">
        <v>79</v>
      </c>
      <c r="K361" s="25">
        <f>Sales!$B361-Sales!$J361</f>
        <v>2.4000000000000057</v>
      </c>
      <c r="L361" s="28">
        <f>(Sales!$J361-Sales!$B361)/Sales!$J361</f>
        <v>-3.037974683544311E-2</v>
      </c>
      <c r="M361" s="28" t="str">
        <f t="shared" si="5"/>
        <v>Below 0%</v>
      </c>
      <c r="N361" s="27" t="s">
        <v>93</v>
      </c>
      <c r="O361" s="27" t="s">
        <v>94</v>
      </c>
      <c r="P361" s="27" t="s">
        <v>17</v>
      </c>
      <c r="Q361" s="27" t="s">
        <v>19</v>
      </c>
    </row>
    <row r="362" spans="1:17" x14ac:dyDescent="0.3">
      <c r="A362" s="22">
        <v>38</v>
      </c>
      <c r="B362" s="19">
        <v>73.42</v>
      </c>
      <c r="C362" s="20">
        <f>Sales!$B362*Sales!$A362</f>
        <v>2789.96</v>
      </c>
      <c r="D362" s="21">
        <v>38294</v>
      </c>
      <c r="E362" s="22" t="s">
        <v>9</v>
      </c>
      <c r="F362" s="22">
        <v>4</v>
      </c>
      <c r="G362" s="22">
        <v>11</v>
      </c>
      <c r="H362" s="22">
        <v>2004</v>
      </c>
      <c r="I362" s="22" t="s">
        <v>47</v>
      </c>
      <c r="J362" s="20">
        <v>79</v>
      </c>
      <c r="K362" s="20">
        <f>Sales!$B362-Sales!$J362</f>
        <v>-5.5799999999999983</v>
      </c>
      <c r="L362" s="23">
        <f>(Sales!$J362-Sales!$B362)/Sales!$J362</f>
        <v>7.0632911392405046E-2</v>
      </c>
      <c r="M362" s="23" t="str">
        <f t="shared" si="5"/>
        <v>5%-10%</v>
      </c>
      <c r="N362" s="22" t="s">
        <v>48</v>
      </c>
      <c r="O362" s="22" t="s">
        <v>49</v>
      </c>
      <c r="P362" s="22" t="s">
        <v>17</v>
      </c>
      <c r="Q362" s="22" t="s">
        <v>14</v>
      </c>
    </row>
    <row r="363" spans="1:17" x14ac:dyDescent="0.3">
      <c r="A363" s="27">
        <v>33</v>
      </c>
      <c r="B363" s="24">
        <v>100</v>
      </c>
      <c r="C363" s="25">
        <f>Sales!$B363*Sales!$A363</f>
        <v>3300</v>
      </c>
      <c r="D363" s="26">
        <v>38306</v>
      </c>
      <c r="E363" s="27" t="s">
        <v>9</v>
      </c>
      <c r="F363" s="27">
        <v>4</v>
      </c>
      <c r="G363" s="27">
        <v>11</v>
      </c>
      <c r="H363" s="27">
        <v>2004</v>
      </c>
      <c r="I363" s="27" t="s">
        <v>47</v>
      </c>
      <c r="J363" s="25">
        <v>79</v>
      </c>
      <c r="K363" s="25">
        <f>Sales!$B363-Sales!$J363</f>
        <v>21</v>
      </c>
      <c r="L363" s="28">
        <f>(Sales!$J363-Sales!$B363)/Sales!$J363</f>
        <v>-0.26582278481012656</v>
      </c>
      <c r="M363" s="28" t="str">
        <f t="shared" si="5"/>
        <v>Below 0%</v>
      </c>
      <c r="N363" s="27" t="s">
        <v>11</v>
      </c>
      <c r="O363" s="27" t="s">
        <v>12</v>
      </c>
      <c r="P363" s="27" t="s">
        <v>13</v>
      </c>
      <c r="Q363" s="27" t="s">
        <v>19</v>
      </c>
    </row>
    <row r="364" spans="1:17" x14ac:dyDescent="0.3">
      <c r="A364" s="22">
        <v>36</v>
      </c>
      <c r="B364" s="19">
        <v>93.56</v>
      </c>
      <c r="C364" s="20">
        <f>Sales!$B364*Sales!$A364</f>
        <v>3368.16</v>
      </c>
      <c r="D364" s="21">
        <v>38315</v>
      </c>
      <c r="E364" s="22" t="s">
        <v>9</v>
      </c>
      <c r="F364" s="22">
        <v>4</v>
      </c>
      <c r="G364" s="22">
        <v>11</v>
      </c>
      <c r="H364" s="22">
        <v>2004</v>
      </c>
      <c r="I364" s="22" t="s">
        <v>47</v>
      </c>
      <c r="J364" s="20">
        <v>79</v>
      </c>
      <c r="K364" s="20">
        <f>Sales!$B364-Sales!$J364</f>
        <v>14.560000000000002</v>
      </c>
      <c r="L364" s="23">
        <f>(Sales!$J364-Sales!$B364)/Sales!$J364</f>
        <v>-0.18430379746835446</v>
      </c>
      <c r="M364" s="23" t="str">
        <f t="shared" si="5"/>
        <v>Below 0%</v>
      </c>
      <c r="N364" s="22" t="s">
        <v>37</v>
      </c>
      <c r="O364" s="22" t="s">
        <v>38</v>
      </c>
      <c r="P364" s="22" t="s">
        <v>17</v>
      </c>
      <c r="Q364" s="22" t="s">
        <v>19</v>
      </c>
    </row>
    <row r="365" spans="1:17" x14ac:dyDescent="0.3">
      <c r="A365" s="27">
        <v>34</v>
      </c>
      <c r="B365" s="24">
        <v>81.62</v>
      </c>
      <c r="C365" s="25">
        <f>Sales!$B365*Sales!$A365</f>
        <v>2775.08</v>
      </c>
      <c r="D365" s="26">
        <v>38358</v>
      </c>
      <c r="E365" s="27" t="s">
        <v>9</v>
      </c>
      <c r="F365" s="27">
        <v>1</v>
      </c>
      <c r="G365" s="27">
        <v>1</v>
      </c>
      <c r="H365" s="27">
        <v>2005</v>
      </c>
      <c r="I365" s="27" t="s">
        <v>47</v>
      </c>
      <c r="J365" s="25">
        <v>79</v>
      </c>
      <c r="K365" s="25">
        <f>Sales!$B365-Sales!$J365</f>
        <v>2.6200000000000045</v>
      </c>
      <c r="L365" s="28">
        <f>(Sales!$J365-Sales!$B365)/Sales!$J365</f>
        <v>-3.3164556962025374E-2</v>
      </c>
      <c r="M365" s="28" t="str">
        <f t="shared" si="5"/>
        <v>Below 0%</v>
      </c>
      <c r="N365" s="27" t="s">
        <v>99</v>
      </c>
      <c r="O365" s="27" t="s">
        <v>34</v>
      </c>
      <c r="P365" s="27" t="s">
        <v>17</v>
      </c>
      <c r="Q365" s="27" t="s">
        <v>14</v>
      </c>
    </row>
    <row r="366" spans="1:17" x14ac:dyDescent="0.3">
      <c r="A366" s="22">
        <v>24</v>
      </c>
      <c r="B366" s="19">
        <v>67.83</v>
      </c>
      <c r="C366" s="20">
        <f>Sales!$B366*Sales!$A366</f>
        <v>1627.92</v>
      </c>
      <c r="D366" s="21">
        <v>38392</v>
      </c>
      <c r="E366" s="22" t="s">
        <v>9</v>
      </c>
      <c r="F366" s="22">
        <v>1</v>
      </c>
      <c r="G366" s="22">
        <v>2</v>
      </c>
      <c r="H366" s="22">
        <v>2005</v>
      </c>
      <c r="I366" s="22" t="s">
        <v>47</v>
      </c>
      <c r="J366" s="20">
        <v>79</v>
      </c>
      <c r="K366" s="20">
        <f>Sales!$B366-Sales!$J366</f>
        <v>-11.170000000000002</v>
      </c>
      <c r="L366" s="23">
        <f>(Sales!$J366-Sales!$B366)/Sales!$J366</f>
        <v>0.14139240506329115</v>
      </c>
      <c r="M366" s="23" t="str">
        <f t="shared" si="5"/>
        <v>10%-15%</v>
      </c>
      <c r="N366" s="22" t="s">
        <v>33</v>
      </c>
      <c r="O366" s="22" t="s">
        <v>34</v>
      </c>
      <c r="P366" s="22" t="s">
        <v>17</v>
      </c>
      <c r="Q366" s="22" t="s">
        <v>14</v>
      </c>
    </row>
    <row r="367" spans="1:17" x14ac:dyDescent="0.3">
      <c r="A367" s="27">
        <v>36</v>
      </c>
      <c r="B367" s="24">
        <v>70.260000000000005</v>
      </c>
      <c r="C367" s="25">
        <f>Sales!$B367*Sales!$A367</f>
        <v>2529.36</v>
      </c>
      <c r="D367" s="26">
        <v>38414</v>
      </c>
      <c r="E367" s="27" t="s">
        <v>9</v>
      </c>
      <c r="F367" s="27">
        <v>1</v>
      </c>
      <c r="G367" s="27">
        <v>3</v>
      </c>
      <c r="H367" s="27">
        <v>2005</v>
      </c>
      <c r="I367" s="27" t="s">
        <v>47</v>
      </c>
      <c r="J367" s="25">
        <v>79</v>
      </c>
      <c r="K367" s="25">
        <f>Sales!$B367-Sales!$J367</f>
        <v>-8.7399999999999949</v>
      </c>
      <c r="L367" s="28">
        <f>(Sales!$J367-Sales!$B367)/Sales!$J367</f>
        <v>0.110632911392405</v>
      </c>
      <c r="M367" s="28" t="str">
        <f t="shared" si="5"/>
        <v>10%-15%</v>
      </c>
      <c r="N367" s="27" t="s">
        <v>62</v>
      </c>
      <c r="O367" s="27" t="s">
        <v>49</v>
      </c>
      <c r="P367" s="27" t="s">
        <v>17</v>
      </c>
      <c r="Q367" s="27" t="s">
        <v>14</v>
      </c>
    </row>
    <row r="368" spans="1:17" x14ac:dyDescent="0.3">
      <c r="A368" s="22">
        <v>34</v>
      </c>
      <c r="B368" s="19">
        <v>90.17</v>
      </c>
      <c r="C368" s="20">
        <f>Sales!$B368*Sales!$A368</f>
        <v>3065.78</v>
      </c>
      <c r="D368" s="21">
        <v>38489</v>
      </c>
      <c r="E368" s="22" t="s">
        <v>9</v>
      </c>
      <c r="F368" s="22">
        <v>2</v>
      </c>
      <c r="G368" s="22">
        <v>5</v>
      </c>
      <c r="H368" s="22">
        <v>2005</v>
      </c>
      <c r="I368" s="22" t="s">
        <v>47</v>
      </c>
      <c r="J368" s="20">
        <v>79</v>
      </c>
      <c r="K368" s="20">
        <f>Sales!$B368-Sales!$J368</f>
        <v>11.170000000000002</v>
      </c>
      <c r="L368" s="23">
        <f>(Sales!$J368-Sales!$B368)/Sales!$J368</f>
        <v>-0.14139240506329115</v>
      </c>
      <c r="M368" s="23" t="str">
        <f t="shared" si="5"/>
        <v>Below 0%</v>
      </c>
      <c r="N368" s="22" t="s">
        <v>37</v>
      </c>
      <c r="O368" s="22" t="s">
        <v>38</v>
      </c>
      <c r="P368" s="22" t="s">
        <v>17</v>
      </c>
      <c r="Q368" s="22" t="s">
        <v>19</v>
      </c>
    </row>
    <row r="369" spans="1:17" x14ac:dyDescent="0.3">
      <c r="A369" s="27">
        <v>41</v>
      </c>
      <c r="B369" s="24">
        <v>100</v>
      </c>
      <c r="C369" s="25">
        <f>Sales!$B369*Sales!$A369</f>
        <v>4100</v>
      </c>
      <c r="D369" s="26">
        <v>37652</v>
      </c>
      <c r="E369" s="27" t="s">
        <v>9</v>
      </c>
      <c r="F369" s="27">
        <v>1</v>
      </c>
      <c r="G369" s="27">
        <v>1</v>
      </c>
      <c r="H369" s="27">
        <v>2003</v>
      </c>
      <c r="I369" s="27" t="s">
        <v>104</v>
      </c>
      <c r="J369" s="25">
        <v>118</v>
      </c>
      <c r="K369" s="25">
        <f>Sales!$B369-Sales!$J369</f>
        <v>-18</v>
      </c>
      <c r="L369" s="28">
        <f>(Sales!$J369-Sales!$B369)/Sales!$J369</f>
        <v>0.15254237288135594</v>
      </c>
      <c r="M369" s="28" t="s">
        <v>132</v>
      </c>
      <c r="N369" s="27" t="s">
        <v>45</v>
      </c>
      <c r="O369" s="27" t="s">
        <v>46</v>
      </c>
      <c r="P369" s="27" t="s">
        <v>17</v>
      </c>
      <c r="Q369" s="27" t="s">
        <v>19</v>
      </c>
    </row>
    <row r="370" spans="1:17" x14ac:dyDescent="0.3">
      <c r="A370" s="22">
        <v>46</v>
      </c>
      <c r="B370" s="19">
        <v>100</v>
      </c>
      <c r="C370" s="20">
        <f>Sales!$B370*Sales!$A370</f>
        <v>4600</v>
      </c>
      <c r="D370" s="21">
        <v>37715</v>
      </c>
      <c r="E370" s="22" t="s">
        <v>9</v>
      </c>
      <c r="F370" s="22">
        <v>2</v>
      </c>
      <c r="G370" s="22">
        <v>4</v>
      </c>
      <c r="H370" s="22">
        <v>2003</v>
      </c>
      <c r="I370" s="22" t="s">
        <v>104</v>
      </c>
      <c r="J370" s="20">
        <v>118</v>
      </c>
      <c r="K370" s="20">
        <f>Sales!$B370-Sales!$J370</f>
        <v>-18</v>
      </c>
      <c r="L370" s="23">
        <f>(Sales!$J370-Sales!$B370)/Sales!$J370</f>
        <v>0.15254237288135594</v>
      </c>
      <c r="M370" s="23" t="s">
        <v>132</v>
      </c>
      <c r="N370" s="22" t="s">
        <v>11</v>
      </c>
      <c r="O370" s="22" t="s">
        <v>12</v>
      </c>
      <c r="P370" s="22" t="s">
        <v>13</v>
      </c>
      <c r="Q370" s="22" t="s">
        <v>19</v>
      </c>
    </row>
    <row r="371" spans="1:17" x14ac:dyDescent="0.3">
      <c r="A371" s="27">
        <v>24</v>
      </c>
      <c r="B371" s="24">
        <v>100</v>
      </c>
      <c r="C371" s="25">
        <f>Sales!$B371*Sales!$A371</f>
        <v>2400</v>
      </c>
      <c r="D371" s="26">
        <v>37775</v>
      </c>
      <c r="E371" s="27" t="s">
        <v>9</v>
      </c>
      <c r="F371" s="27">
        <v>2</v>
      </c>
      <c r="G371" s="27">
        <v>6</v>
      </c>
      <c r="H371" s="27">
        <v>2003</v>
      </c>
      <c r="I371" s="27" t="s">
        <v>104</v>
      </c>
      <c r="J371" s="25">
        <v>118</v>
      </c>
      <c r="K371" s="25">
        <f>Sales!$B371-Sales!$J371</f>
        <v>-18</v>
      </c>
      <c r="L371" s="28">
        <f>(Sales!$J371-Sales!$B371)/Sales!$J371</f>
        <v>0.15254237288135594</v>
      </c>
      <c r="M371" s="28" t="s">
        <v>132</v>
      </c>
      <c r="N371" s="27" t="s">
        <v>11</v>
      </c>
      <c r="O371" s="27" t="s">
        <v>12</v>
      </c>
      <c r="P371" s="27" t="s">
        <v>13</v>
      </c>
      <c r="Q371" s="27" t="s">
        <v>14</v>
      </c>
    </row>
    <row r="372" spans="1:17" x14ac:dyDescent="0.3">
      <c r="A372" s="22">
        <v>21</v>
      </c>
      <c r="B372" s="19">
        <v>100</v>
      </c>
      <c r="C372" s="20">
        <f>Sales!$B372*Sales!$A372</f>
        <v>2100</v>
      </c>
      <c r="D372" s="21">
        <v>37834</v>
      </c>
      <c r="E372" s="22" t="s">
        <v>9</v>
      </c>
      <c r="F372" s="22">
        <v>3</v>
      </c>
      <c r="G372" s="22">
        <v>8</v>
      </c>
      <c r="H372" s="22">
        <v>2003</v>
      </c>
      <c r="I372" s="22" t="s">
        <v>104</v>
      </c>
      <c r="J372" s="20">
        <v>118</v>
      </c>
      <c r="K372" s="20">
        <f>Sales!$B372-Sales!$J372</f>
        <v>-18</v>
      </c>
      <c r="L372" s="23">
        <f>(Sales!$J372-Sales!$B372)/Sales!$J372</f>
        <v>0.15254237288135594</v>
      </c>
      <c r="M372" s="23" t="s">
        <v>132</v>
      </c>
      <c r="N372" s="22" t="s">
        <v>99</v>
      </c>
      <c r="O372" s="22" t="s">
        <v>34</v>
      </c>
      <c r="P372" s="22" t="s">
        <v>17</v>
      </c>
      <c r="Q372" s="22" t="s">
        <v>14</v>
      </c>
    </row>
    <row r="373" spans="1:17" x14ac:dyDescent="0.3">
      <c r="A373" s="27">
        <v>24</v>
      </c>
      <c r="B373" s="24">
        <v>100</v>
      </c>
      <c r="C373" s="25">
        <f>Sales!$B373*Sales!$A373</f>
        <v>2400</v>
      </c>
      <c r="D373" s="26">
        <v>37885</v>
      </c>
      <c r="E373" s="27" t="s">
        <v>9</v>
      </c>
      <c r="F373" s="27">
        <v>3</v>
      </c>
      <c r="G373" s="27">
        <v>9</v>
      </c>
      <c r="H373" s="27">
        <v>2003</v>
      </c>
      <c r="I373" s="27" t="s">
        <v>104</v>
      </c>
      <c r="J373" s="25">
        <v>118</v>
      </c>
      <c r="K373" s="25">
        <f>Sales!$B373-Sales!$J373</f>
        <v>-18</v>
      </c>
      <c r="L373" s="28">
        <f>(Sales!$J373-Sales!$B373)/Sales!$J373</f>
        <v>0.15254237288135594</v>
      </c>
      <c r="M373" s="28" t="s">
        <v>132</v>
      </c>
      <c r="N373" s="27" t="s">
        <v>85</v>
      </c>
      <c r="O373" s="27" t="s">
        <v>34</v>
      </c>
      <c r="P373" s="27" t="s">
        <v>17</v>
      </c>
      <c r="Q373" s="27" t="s">
        <v>19</v>
      </c>
    </row>
    <row r="374" spans="1:17" x14ac:dyDescent="0.3">
      <c r="A374" s="22">
        <v>48</v>
      </c>
      <c r="B374" s="19">
        <v>100</v>
      </c>
      <c r="C374" s="20">
        <f>Sales!$B374*Sales!$A374</f>
        <v>4800</v>
      </c>
      <c r="D374" s="21">
        <v>37916</v>
      </c>
      <c r="E374" s="22" t="s">
        <v>9</v>
      </c>
      <c r="F374" s="22">
        <v>4</v>
      </c>
      <c r="G374" s="22">
        <v>10</v>
      </c>
      <c r="H374" s="22">
        <v>2003</v>
      </c>
      <c r="I374" s="22" t="s">
        <v>104</v>
      </c>
      <c r="J374" s="20">
        <v>118</v>
      </c>
      <c r="K374" s="20">
        <f>Sales!$B374-Sales!$J374</f>
        <v>-18</v>
      </c>
      <c r="L374" s="23">
        <f>(Sales!$J374-Sales!$B374)/Sales!$J374</f>
        <v>0.15254237288135594</v>
      </c>
      <c r="M374" s="23" t="s">
        <v>132</v>
      </c>
      <c r="N374" s="22" t="s">
        <v>50</v>
      </c>
      <c r="O374" s="22" t="s">
        <v>50</v>
      </c>
      <c r="P374" s="22" t="s">
        <v>28</v>
      </c>
      <c r="Q374" s="22" t="s">
        <v>19</v>
      </c>
    </row>
    <row r="375" spans="1:17" x14ac:dyDescent="0.3">
      <c r="A375" s="27">
        <v>26</v>
      </c>
      <c r="B375" s="24">
        <v>100</v>
      </c>
      <c r="C375" s="25">
        <f>Sales!$B375*Sales!$A375</f>
        <v>2600</v>
      </c>
      <c r="D375" s="26">
        <v>37931</v>
      </c>
      <c r="E375" s="27" t="s">
        <v>9</v>
      </c>
      <c r="F375" s="27">
        <v>4</v>
      </c>
      <c r="G375" s="27">
        <v>11</v>
      </c>
      <c r="H375" s="27">
        <v>2003</v>
      </c>
      <c r="I375" s="27" t="s">
        <v>104</v>
      </c>
      <c r="J375" s="25">
        <v>118</v>
      </c>
      <c r="K375" s="25">
        <f>Sales!$B375-Sales!$J375</f>
        <v>-18</v>
      </c>
      <c r="L375" s="28">
        <f>(Sales!$J375-Sales!$B375)/Sales!$J375</f>
        <v>0.15254237288135594</v>
      </c>
      <c r="M375" s="28" t="s">
        <v>132</v>
      </c>
      <c r="N375" s="27" t="s">
        <v>74</v>
      </c>
      <c r="O375" s="27" t="s">
        <v>43</v>
      </c>
      <c r="P375" s="27" t="s">
        <v>17</v>
      </c>
      <c r="Q375" s="27" t="s">
        <v>19</v>
      </c>
    </row>
    <row r="376" spans="1:17" x14ac:dyDescent="0.3">
      <c r="A376" s="22">
        <v>37</v>
      </c>
      <c r="B376" s="19">
        <v>100</v>
      </c>
      <c r="C376" s="20">
        <f>Sales!$B376*Sales!$A376</f>
        <v>3700</v>
      </c>
      <c r="D376" s="21">
        <v>37939</v>
      </c>
      <c r="E376" s="22" t="s">
        <v>9</v>
      </c>
      <c r="F376" s="22">
        <v>4</v>
      </c>
      <c r="G376" s="22">
        <v>11</v>
      </c>
      <c r="H376" s="22">
        <v>2003</v>
      </c>
      <c r="I376" s="22" t="s">
        <v>104</v>
      </c>
      <c r="J376" s="20">
        <v>118</v>
      </c>
      <c r="K376" s="20">
        <f>Sales!$B376-Sales!$J376</f>
        <v>-18</v>
      </c>
      <c r="L376" s="23">
        <f>(Sales!$J376-Sales!$B376)/Sales!$J376</f>
        <v>0.15254237288135594</v>
      </c>
      <c r="M376" s="23" t="s">
        <v>132</v>
      </c>
      <c r="N376" s="22" t="s">
        <v>106</v>
      </c>
      <c r="O376" s="22" t="s">
        <v>46</v>
      </c>
      <c r="P376" s="22" t="s">
        <v>17</v>
      </c>
      <c r="Q376" s="22" t="s">
        <v>19</v>
      </c>
    </row>
    <row r="377" spans="1:17" x14ac:dyDescent="0.3">
      <c r="A377" s="27">
        <v>49</v>
      </c>
      <c r="B377" s="24">
        <v>100</v>
      </c>
      <c r="C377" s="25">
        <f>Sales!$B377*Sales!$A377</f>
        <v>4900</v>
      </c>
      <c r="D377" s="26">
        <v>37950</v>
      </c>
      <c r="E377" s="27" t="s">
        <v>9</v>
      </c>
      <c r="F377" s="27">
        <v>4</v>
      </c>
      <c r="G377" s="27">
        <v>11</v>
      </c>
      <c r="H377" s="27">
        <v>2003</v>
      </c>
      <c r="I377" s="27" t="s">
        <v>104</v>
      </c>
      <c r="J377" s="25">
        <v>118</v>
      </c>
      <c r="K377" s="25">
        <f>Sales!$B377-Sales!$J377</f>
        <v>-18</v>
      </c>
      <c r="L377" s="28">
        <f>(Sales!$J377-Sales!$B377)/Sales!$J377</f>
        <v>0.15254237288135594</v>
      </c>
      <c r="M377" s="28" t="s">
        <v>132</v>
      </c>
      <c r="N377" s="27" t="s">
        <v>71</v>
      </c>
      <c r="O377" s="27" t="s">
        <v>12</v>
      </c>
      <c r="P377" s="27" t="s">
        <v>13</v>
      </c>
      <c r="Q377" s="27" t="s">
        <v>19</v>
      </c>
    </row>
    <row r="378" spans="1:17" x14ac:dyDescent="0.3">
      <c r="A378" s="22">
        <v>34</v>
      </c>
      <c r="B378" s="19">
        <v>99.54</v>
      </c>
      <c r="C378" s="20">
        <f>Sales!$B378*Sales!$A378</f>
        <v>3384.36</v>
      </c>
      <c r="D378" s="21">
        <v>37964</v>
      </c>
      <c r="E378" s="22" t="s">
        <v>9</v>
      </c>
      <c r="F378" s="22">
        <v>4</v>
      </c>
      <c r="G378" s="22">
        <v>12</v>
      </c>
      <c r="H378" s="22">
        <v>2003</v>
      </c>
      <c r="I378" s="22" t="s">
        <v>104</v>
      </c>
      <c r="J378" s="20">
        <v>118</v>
      </c>
      <c r="K378" s="20">
        <f>Sales!$B378-Sales!$J378</f>
        <v>-18.459999999999994</v>
      </c>
      <c r="L378" s="23">
        <f>(Sales!$J378-Sales!$B378)/Sales!$J378</f>
        <v>0.15644067796610164</v>
      </c>
      <c r="M378" s="23" t="str">
        <f t="shared" si="5"/>
        <v>15%-20%</v>
      </c>
      <c r="N378" s="22" t="s">
        <v>83</v>
      </c>
      <c r="O378" s="22" t="s">
        <v>12</v>
      </c>
      <c r="P378" s="22" t="s">
        <v>13</v>
      </c>
      <c r="Q378" s="22" t="s">
        <v>19</v>
      </c>
    </row>
    <row r="379" spans="1:17" x14ac:dyDescent="0.3">
      <c r="A379" s="27">
        <v>48</v>
      </c>
      <c r="B379" s="24">
        <v>100</v>
      </c>
      <c r="C379" s="25">
        <f>Sales!$B379*Sales!$A379</f>
        <v>4800</v>
      </c>
      <c r="D379" s="26">
        <v>38027</v>
      </c>
      <c r="E379" s="27" t="s">
        <v>9</v>
      </c>
      <c r="F379" s="27">
        <v>1</v>
      </c>
      <c r="G379" s="27">
        <v>2</v>
      </c>
      <c r="H379" s="27">
        <v>2004</v>
      </c>
      <c r="I379" s="27" t="s">
        <v>104</v>
      </c>
      <c r="J379" s="25">
        <v>118</v>
      </c>
      <c r="K379" s="25">
        <f>Sales!$B379-Sales!$J379</f>
        <v>-18</v>
      </c>
      <c r="L379" s="28">
        <f>(Sales!$J379-Sales!$B379)/Sales!$J379</f>
        <v>0.15254237288135594</v>
      </c>
      <c r="M379" s="28" t="s">
        <v>132</v>
      </c>
      <c r="N379" s="27" t="s">
        <v>107</v>
      </c>
      <c r="O379" s="27" t="s">
        <v>12</v>
      </c>
      <c r="P379" s="27" t="s">
        <v>13</v>
      </c>
      <c r="Q379" s="27" t="s">
        <v>19</v>
      </c>
    </row>
    <row r="380" spans="1:17" x14ac:dyDescent="0.3">
      <c r="A380" s="22">
        <v>36</v>
      </c>
      <c r="B380" s="19">
        <v>100</v>
      </c>
      <c r="C380" s="20">
        <f>Sales!$B380*Sales!$A380</f>
        <v>3600</v>
      </c>
      <c r="D380" s="21">
        <v>38057</v>
      </c>
      <c r="E380" s="22" t="s">
        <v>9</v>
      </c>
      <c r="F380" s="22">
        <v>1</v>
      </c>
      <c r="G380" s="22">
        <v>3</v>
      </c>
      <c r="H380" s="22">
        <v>2004</v>
      </c>
      <c r="I380" s="22" t="s">
        <v>104</v>
      </c>
      <c r="J380" s="20">
        <v>118</v>
      </c>
      <c r="K380" s="20">
        <f>Sales!$B380-Sales!$J380</f>
        <v>-18</v>
      </c>
      <c r="L380" s="23">
        <f>(Sales!$J380-Sales!$B380)/Sales!$J380</f>
        <v>0.15254237288135594</v>
      </c>
      <c r="M380" s="23" t="s">
        <v>132</v>
      </c>
      <c r="N380" s="22" t="s">
        <v>64</v>
      </c>
      <c r="O380" s="22" t="s">
        <v>12</v>
      </c>
      <c r="P380" s="22" t="s">
        <v>13</v>
      </c>
      <c r="Q380" s="22" t="s">
        <v>19</v>
      </c>
    </row>
    <row r="381" spans="1:17" x14ac:dyDescent="0.3">
      <c r="A381" s="27">
        <v>46</v>
      </c>
      <c r="B381" s="24">
        <v>100</v>
      </c>
      <c r="C381" s="25">
        <f>Sales!$B381*Sales!$A381</f>
        <v>4600</v>
      </c>
      <c r="D381" s="26">
        <v>38112</v>
      </c>
      <c r="E381" s="27" t="s">
        <v>9</v>
      </c>
      <c r="F381" s="27">
        <v>2</v>
      </c>
      <c r="G381" s="27">
        <v>5</v>
      </c>
      <c r="H381" s="27">
        <v>2004</v>
      </c>
      <c r="I381" s="27" t="s">
        <v>104</v>
      </c>
      <c r="J381" s="25">
        <v>118</v>
      </c>
      <c r="K381" s="25">
        <f>Sales!$B381-Sales!$J381</f>
        <v>-18</v>
      </c>
      <c r="L381" s="28">
        <f>(Sales!$J381-Sales!$B381)/Sales!$J381</f>
        <v>0.15254237288135594</v>
      </c>
      <c r="M381" s="28" t="s">
        <v>132</v>
      </c>
      <c r="N381" s="27" t="s">
        <v>45</v>
      </c>
      <c r="O381" s="27" t="s">
        <v>46</v>
      </c>
      <c r="P381" s="27" t="s">
        <v>17</v>
      </c>
      <c r="Q381" s="27" t="s">
        <v>19</v>
      </c>
    </row>
    <row r="382" spans="1:17" x14ac:dyDescent="0.3">
      <c r="A382" s="22">
        <v>46</v>
      </c>
      <c r="B382" s="19">
        <v>100</v>
      </c>
      <c r="C382" s="20">
        <f>Sales!$B382*Sales!$A382</f>
        <v>4600</v>
      </c>
      <c r="D382" s="21">
        <v>38153</v>
      </c>
      <c r="E382" s="22" t="s">
        <v>9</v>
      </c>
      <c r="F382" s="22">
        <v>2</v>
      </c>
      <c r="G382" s="22">
        <v>6</v>
      </c>
      <c r="H382" s="22">
        <v>2004</v>
      </c>
      <c r="I382" s="22" t="s">
        <v>104</v>
      </c>
      <c r="J382" s="20">
        <v>118</v>
      </c>
      <c r="K382" s="20">
        <f>Sales!$B382-Sales!$J382</f>
        <v>-18</v>
      </c>
      <c r="L382" s="23">
        <f>(Sales!$J382-Sales!$B382)/Sales!$J382</f>
        <v>0.15254237288135594</v>
      </c>
      <c r="M382" s="23" t="s">
        <v>132</v>
      </c>
      <c r="N382" s="22" t="s">
        <v>50</v>
      </c>
      <c r="O382" s="22" t="s">
        <v>50</v>
      </c>
      <c r="P382" s="22" t="s">
        <v>28</v>
      </c>
      <c r="Q382" s="22" t="s">
        <v>19</v>
      </c>
    </row>
    <row r="383" spans="1:17" x14ac:dyDescent="0.3">
      <c r="A383" s="27">
        <v>31</v>
      </c>
      <c r="B383" s="24">
        <v>97.17</v>
      </c>
      <c r="C383" s="25">
        <f>Sales!$B383*Sales!$A383</f>
        <v>3012.27</v>
      </c>
      <c r="D383" s="26">
        <v>38188</v>
      </c>
      <c r="E383" s="27" t="s">
        <v>9</v>
      </c>
      <c r="F383" s="27">
        <v>3</v>
      </c>
      <c r="G383" s="27">
        <v>7</v>
      </c>
      <c r="H383" s="27">
        <v>2004</v>
      </c>
      <c r="I383" s="27" t="s">
        <v>104</v>
      </c>
      <c r="J383" s="25">
        <v>118</v>
      </c>
      <c r="K383" s="25">
        <f>Sales!$B383-Sales!$J383</f>
        <v>-20.83</v>
      </c>
      <c r="L383" s="28">
        <f>(Sales!$J383-Sales!$B383)/Sales!$J383</f>
        <v>0.17652542372881355</v>
      </c>
      <c r="M383" s="28" t="str">
        <f t="shared" si="5"/>
        <v>15%-20%</v>
      </c>
      <c r="N383" s="27" t="s">
        <v>64</v>
      </c>
      <c r="O383" s="27" t="s">
        <v>12</v>
      </c>
      <c r="P383" s="27" t="s">
        <v>13</v>
      </c>
      <c r="Q383" s="27" t="s">
        <v>19</v>
      </c>
    </row>
    <row r="384" spans="1:17" x14ac:dyDescent="0.3">
      <c r="A384" s="22">
        <v>41</v>
      </c>
      <c r="B384" s="19">
        <v>100</v>
      </c>
      <c r="C384" s="20">
        <f>Sales!$B384*Sales!$A384</f>
        <v>4100</v>
      </c>
      <c r="D384" s="21">
        <v>38218</v>
      </c>
      <c r="E384" s="22" t="s">
        <v>9</v>
      </c>
      <c r="F384" s="22">
        <v>3</v>
      </c>
      <c r="G384" s="22">
        <v>8</v>
      </c>
      <c r="H384" s="22">
        <v>2004</v>
      </c>
      <c r="I384" s="22" t="s">
        <v>104</v>
      </c>
      <c r="J384" s="20">
        <v>118</v>
      </c>
      <c r="K384" s="20">
        <f>Sales!$B384-Sales!$J384</f>
        <v>-18</v>
      </c>
      <c r="L384" s="23">
        <f>(Sales!$J384-Sales!$B384)/Sales!$J384</f>
        <v>0.15254237288135594</v>
      </c>
      <c r="M384" s="23" t="s">
        <v>132</v>
      </c>
      <c r="N384" s="22" t="s">
        <v>36</v>
      </c>
      <c r="O384" s="22" t="s">
        <v>12</v>
      </c>
      <c r="P384" s="22" t="s">
        <v>13</v>
      </c>
      <c r="Q384" s="22" t="s">
        <v>19</v>
      </c>
    </row>
    <row r="385" spans="1:17" x14ac:dyDescent="0.3">
      <c r="A385" s="27">
        <v>21</v>
      </c>
      <c r="B385" s="24">
        <v>100</v>
      </c>
      <c r="C385" s="25">
        <f>Sales!$B385*Sales!$A385</f>
        <v>2100</v>
      </c>
      <c r="D385" s="26">
        <v>38238</v>
      </c>
      <c r="E385" s="27" t="s">
        <v>9</v>
      </c>
      <c r="F385" s="27">
        <v>3</v>
      </c>
      <c r="G385" s="27">
        <v>9</v>
      </c>
      <c r="H385" s="27">
        <v>2004</v>
      </c>
      <c r="I385" s="27" t="s">
        <v>104</v>
      </c>
      <c r="J385" s="25">
        <v>118</v>
      </c>
      <c r="K385" s="25">
        <f>Sales!$B385-Sales!$J385</f>
        <v>-18</v>
      </c>
      <c r="L385" s="28">
        <f>(Sales!$J385-Sales!$B385)/Sales!$J385</f>
        <v>0.15254237288135594</v>
      </c>
      <c r="M385" s="28" t="s">
        <v>132</v>
      </c>
      <c r="N385" s="27" t="s">
        <v>11</v>
      </c>
      <c r="O385" s="27" t="s">
        <v>12</v>
      </c>
      <c r="P385" s="27" t="s">
        <v>13</v>
      </c>
      <c r="Q385" s="27" t="s">
        <v>14</v>
      </c>
    </row>
    <row r="386" spans="1:17" x14ac:dyDescent="0.3">
      <c r="A386" s="22">
        <v>38</v>
      </c>
      <c r="B386" s="19">
        <v>100</v>
      </c>
      <c r="C386" s="20">
        <f>Sales!$B386*Sales!$A386</f>
        <v>3800</v>
      </c>
      <c r="D386" s="21">
        <v>38273</v>
      </c>
      <c r="E386" s="22" t="s">
        <v>9</v>
      </c>
      <c r="F386" s="22">
        <v>4</v>
      </c>
      <c r="G386" s="22">
        <v>10</v>
      </c>
      <c r="H386" s="22">
        <v>2004</v>
      </c>
      <c r="I386" s="22" t="s">
        <v>104</v>
      </c>
      <c r="J386" s="20">
        <v>118</v>
      </c>
      <c r="K386" s="20">
        <f>Sales!$B386-Sales!$J386</f>
        <v>-18</v>
      </c>
      <c r="L386" s="23">
        <f>(Sales!$J386-Sales!$B386)/Sales!$J386</f>
        <v>0.15254237288135594</v>
      </c>
      <c r="M386" s="23" t="s">
        <v>132</v>
      </c>
      <c r="N386" s="22" t="s">
        <v>32</v>
      </c>
      <c r="O386" s="22" t="s">
        <v>12</v>
      </c>
      <c r="P386" s="22" t="s">
        <v>13</v>
      </c>
      <c r="Q386" s="22" t="s">
        <v>19</v>
      </c>
    </row>
    <row r="387" spans="1:17" x14ac:dyDescent="0.3">
      <c r="A387" s="27">
        <v>45</v>
      </c>
      <c r="B387" s="24">
        <v>100</v>
      </c>
      <c r="C387" s="25">
        <f>Sales!$B387*Sales!$A387</f>
        <v>4500</v>
      </c>
      <c r="D387" s="26">
        <v>38282</v>
      </c>
      <c r="E387" s="27" t="s">
        <v>9</v>
      </c>
      <c r="F387" s="27">
        <v>4</v>
      </c>
      <c r="G387" s="27">
        <v>10</v>
      </c>
      <c r="H387" s="27">
        <v>2004</v>
      </c>
      <c r="I387" s="27" t="s">
        <v>104</v>
      </c>
      <c r="J387" s="25">
        <v>118</v>
      </c>
      <c r="K387" s="25">
        <f>Sales!$B387-Sales!$J387</f>
        <v>-18</v>
      </c>
      <c r="L387" s="28">
        <f>(Sales!$J387-Sales!$B387)/Sales!$J387</f>
        <v>0.15254237288135594</v>
      </c>
      <c r="M387" s="28" t="s">
        <v>132</v>
      </c>
      <c r="N387" s="27" t="s">
        <v>103</v>
      </c>
      <c r="O387" s="27" t="s">
        <v>73</v>
      </c>
      <c r="P387" s="27" t="s">
        <v>17</v>
      </c>
      <c r="Q387" s="27" t="s">
        <v>19</v>
      </c>
    </row>
    <row r="388" spans="1:17" x14ac:dyDescent="0.3">
      <c r="A388" s="22">
        <v>26</v>
      </c>
      <c r="B388" s="19">
        <v>58.38</v>
      </c>
      <c r="C388" s="20">
        <f>Sales!$B388*Sales!$A388</f>
        <v>1517.88</v>
      </c>
      <c r="D388" s="21">
        <v>38296</v>
      </c>
      <c r="E388" s="22" t="s">
        <v>9</v>
      </c>
      <c r="F388" s="22">
        <v>4</v>
      </c>
      <c r="G388" s="22">
        <v>11</v>
      </c>
      <c r="H388" s="22">
        <v>2004</v>
      </c>
      <c r="I388" s="22" t="s">
        <v>104</v>
      </c>
      <c r="J388" s="20">
        <v>118</v>
      </c>
      <c r="K388" s="20">
        <f>Sales!$B388-Sales!$J388</f>
        <v>-59.62</v>
      </c>
      <c r="L388" s="23">
        <f>(Sales!$J388-Sales!$B388)/Sales!$J388</f>
        <v>0.50525423728813557</v>
      </c>
      <c r="M388" s="23" t="str">
        <f t="shared" ref="M388:M450" si="6">IF(L388&lt;0%,"Below 0%",IF(L388=0%,"0%",IF(AND(L388&lt;=5%,L388&gt;0%),"0%-5%",IF(AND(L388&lt;=10%,L388&gt;5%),"5%-10%",IF(AND(L388&lt;=15%,L388&gt;10%),"10%-15%",IF(AND(L388&lt;=20%,L388&gt;15%),"15%-20%","+20%"))))))</f>
        <v>+20%</v>
      </c>
      <c r="N388" s="22" t="s">
        <v>11</v>
      </c>
      <c r="O388" s="22" t="s">
        <v>12</v>
      </c>
      <c r="P388" s="22" t="s">
        <v>13</v>
      </c>
      <c r="Q388" s="22" t="s">
        <v>14</v>
      </c>
    </row>
    <row r="389" spans="1:17" x14ac:dyDescent="0.3">
      <c r="A389" s="27">
        <v>38</v>
      </c>
      <c r="B389" s="24">
        <v>100</v>
      </c>
      <c r="C389" s="25">
        <f>Sales!$B389*Sales!$A389</f>
        <v>3800</v>
      </c>
      <c r="D389" s="26">
        <v>38311</v>
      </c>
      <c r="E389" s="27" t="s">
        <v>9</v>
      </c>
      <c r="F389" s="27">
        <v>4</v>
      </c>
      <c r="G389" s="27">
        <v>11</v>
      </c>
      <c r="H389" s="27">
        <v>2004</v>
      </c>
      <c r="I389" s="27" t="s">
        <v>104</v>
      </c>
      <c r="J389" s="25">
        <v>118</v>
      </c>
      <c r="K389" s="25">
        <f>Sales!$B389-Sales!$J389</f>
        <v>-18</v>
      </c>
      <c r="L389" s="28">
        <f>(Sales!$J389-Sales!$B389)/Sales!$J389</f>
        <v>0.15254237288135594</v>
      </c>
      <c r="M389" s="28" t="s">
        <v>132</v>
      </c>
      <c r="N389" s="27" t="s">
        <v>18</v>
      </c>
      <c r="O389" s="27" t="s">
        <v>16</v>
      </c>
      <c r="P389" s="27" t="s">
        <v>17</v>
      </c>
      <c r="Q389" s="27" t="s">
        <v>19</v>
      </c>
    </row>
    <row r="390" spans="1:17" x14ac:dyDescent="0.3">
      <c r="A390" s="22">
        <v>48</v>
      </c>
      <c r="B390" s="19">
        <v>100</v>
      </c>
      <c r="C390" s="20">
        <f>Sales!$B390*Sales!$A390</f>
        <v>4800</v>
      </c>
      <c r="D390" s="21">
        <v>38322</v>
      </c>
      <c r="E390" s="22" t="s">
        <v>9</v>
      </c>
      <c r="F390" s="22">
        <v>4</v>
      </c>
      <c r="G390" s="22">
        <v>12</v>
      </c>
      <c r="H390" s="22">
        <v>2004</v>
      </c>
      <c r="I390" s="22" t="s">
        <v>104</v>
      </c>
      <c r="J390" s="20">
        <v>118</v>
      </c>
      <c r="K390" s="20">
        <f>Sales!$B390-Sales!$J390</f>
        <v>-18</v>
      </c>
      <c r="L390" s="23">
        <f>(Sales!$J390-Sales!$B390)/Sales!$J390</f>
        <v>0.15254237288135594</v>
      </c>
      <c r="M390" s="23" t="s">
        <v>132</v>
      </c>
      <c r="N390" s="22" t="s">
        <v>11</v>
      </c>
      <c r="O390" s="22" t="s">
        <v>12</v>
      </c>
      <c r="P390" s="22" t="s">
        <v>13</v>
      </c>
      <c r="Q390" s="22" t="s">
        <v>19</v>
      </c>
    </row>
    <row r="391" spans="1:17" x14ac:dyDescent="0.3">
      <c r="A391" s="27">
        <v>42</v>
      </c>
      <c r="B391" s="24">
        <v>64.16</v>
      </c>
      <c r="C391" s="25">
        <f>Sales!$B391*Sales!$A391</f>
        <v>2694.72</v>
      </c>
      <c r="D391" s="26">
        <v>38331</v>
      </c>
      <c r="E391" s="27" t="s">
        <v>9</v>
      </c>
      <c r="F391" s="27">
        <v>4</v>
      </c>
      <c r="G391" s="27">
        <v>12</v>
      </c>
      <c r="H391" s="27">
        <v>2004</v>
      </c>
      <c r="I391" s="27" t="s">
        <v>104</v>
      </c>
      <c r="J391" s="25">
        <v>118</v>
      </c>
      <c r="K391" s="25">
        <f>Sales!$B391-Sales!$J391</f>
        <v>-53.84</v>
      </c>
      <c r="L391" s="28">
        <f>(Sales!$J391-Sales!$B391)/Sales!$J391</f>
        <v>0.45627118644067799</v>
      </c>
      <c r="M391" s="28" t="str">
        <f t="shared" si="6"/>
        <v>+20%</v>
      </c>
      <c r="N391" s="27" t="s">
        <v>45</v>
      </c>
      <c r="O391" s="27" t="s">
        <v>46</v>
      </c>
      <c r="P391" s="27" t="s">
        <v>17</v>
      </c>
      <c r="Q391" s="27" t="s">
        <v>14</v>
      </c>
    </row>
    <row r="392" spans="1:17" x14ac:dyDescent="0.3">
      <c r="A392" s="22">
        <v>49</v>
      </c>
      <c r="B392" s="19">
        <v>35.71</v>
      </c>
      <c r="C392" s="20">
        <f>Sales!$B392*Sales!$A392</f>
        <v>1749.79</v>
      </c>
      <c r="D392" s="21">
        <v>38375</v>
      </c>
      <c r="E392" s="22" t="s">
        <v>9</v>
      </c>
      <c r="F392" s="22">
        <v>1</v>
      </c>
      <c r="G392" s="22">
        <v>1</v>
      </c>
      <c r="H392" s="22">
        <v>2005</v>
      </c>
      <c r="I392" s="22" t="s">
        <v>104</v>
      </c>
      <c r="J392" s="20">
        <v>118</v>
      </c>
      <c r="K392" s="20">
        <f>Sales!$B392-Sales!$J392</f>
        <v>-82.289999999999992</v>
      </c>
      <c r="L392" s="23">
        <f>(Sales!$J392-Sales!$B392)/Sales!$J392</f>
        <v>0.69737288135593212</v>
      </c>
      <c r="M392" s="23" t="str">
        <f t="shared" si="6"/>
        <v>+20%</v>
      </c>
      <c r="N392" s="22" t="s">
        <v>64</v>
      </c>
      <c r="O392" s="22" t="s">
        <v>12</v>
      </c>
      <c r="P392" s="22" t="s">
        <v>13</v>
      </c>
      <c r="Q392" s="22" t="s">
        <v>14</v>
      </c>
    </row>
    <row r="393" spans="1:17" x14ac:dyDescent="0.3">
      <c r="A393" s="27">
        <v>32</v>
      </c>
      <c r="B393" s="24">
        <v>66.58</v>
      </c>
      <c r="C393" s="25">
        <f>Sales!$B393*Sales!$A393</f>
        <v>2130.56</v>
      </c>
      <c r="D393" s="26">
        <v>38400</v>
      </c>
      <c r="E393" s="27" t="s">
        <v>9</v>
      </c>
      <c r="F393" s="27">
        <v>1</v>
      </c>
      <c r="G393" s="27">
        <v>2</v>
      </c>
      <c r="H393" s="27">
        <v>2005</v>
      </c>
      <c r="I393" s="27" t="s">
        <v>104</v>
      </c>
      <c r="J393" s="25">
        <v>118</v>
      </c>
      <c r="K393" s="25">
        <f>Sales!$B393-Sales!$J393</f>
        <v>-51.42</v>
      </c>
      <c r="L393" s="28">
        <f>(Sales!$J393-Sales!$B393)/Sales!$J393</f>
        <v>0.43576271186440679</v>
      </c>
      <c r="M393" s="28" t="str">
        <f t="shared" si="6"/>
        <v>+20%</v>
      </c>
      <c r="N393" s="27" t="s">
        <v>64</v>
      </c>
      <c r="O393" s="27" t="s">
        <v>12</v>
      </c>
      <c r="P393" s="27" t="s">
        <v>13</v>
      </c>
      <c r="Q393" s="27" t="s">
        <v>14</v>
      </c>
    </row>
    <row r="394" spans="1:17" x14ac:dyDescent="0.3">
      <c r="A394" s="22">
        <v>54</v>
      </c>
      <c r="B394" s="19">
        <v>100</v>
      </c>
      <c r="C394" s="20">
        <f>Sales!$B394*Sales!$A394</f>
        <v>5400</v>
      </c>
      <c r="D394" s="21">
        <v>38475</v>
      </c>
      <c r="E394" s="22" t="s">
        <v>9</v>
      </c>
      <c r="F394" s="22">
        <v>2</v>
      </c>
      <c r="G394" s="22">
        <v>5</v>
      </c>
      <c r="H394" s="22">
        <v>2005</v>
      </c>
      <c r="I394" s="22" t="s">
        <v>104</v>
      </c>
      <c r="J394" s="20">
        <v>118</v>
      </c>
      <c r="K394" s="20">
        <f>Sales!$B394-Sales!$J394</f>
        <v>-18</v>
      </c>
      <c r="L394" s="23">
        <f>(Sales!$J394-Sales!$B394)/Sales!$J394</f>
        <v>0.15254237288135594</v>
      </c>
      <c r="M394" s="23" t="s">
        <v>132</v>
      </c>
      <c r="N394" s="22" t="s">
        <v>45</v>
      </c>
      <c r="O394" s="22" t="s">
        <v>46</v>
      </c>
      <c r="P394" s="22" t="s">
        <v>17</v>
      </c>
      <c r="Q394" s="22" t="s">
        <v>19</v>
      </c>
    </row>
    <row r="395" spans="1:17" x14ac:dyDescent="0.3">
      <c r="A395" s="27">
        <v>33</v>
      </c>
      <c r="B395" s="24">
        <v>100</v>
      </c>
      <c r="C395" s="25">
        <f>Sales!$B395*Sales!$A395</f>
        <v>3300</v>
      </c>
      <c r="D395" s="26">
        <v>38503</v>
      </c>
      <c r="E395" s="27" t="s">
        <v>69</v>
      </c>
      <c r="F395" s="27">
        <v>2</v>
      </c>
      <c r="G395" s="27">
        <v>5</v>
      </c>
      <c r="H395" s="27">
        <v>2005</v>
      </c>
      <c r="I395" s="27" t="s">
        <v>104</v>
      </c>
      <c r="J395" s="25">
        <v>118</v>
      </c>
      <c r="K395" s="25">
        <f>Sales!$B395-Sales!$J395</f>
        <v>-18</v>
      </c>
      <c r="L395" s="28">
        <f>(Sales!$J395-Sales!$B395)/Sales!$J395</f>
        <v>0.15254237288135594</v>
      </c>
      <c r="M395" s="28" t="s">
        <v>132</v>
      </c>
      <c r="N395" s="27" t="s">
        <v>31</v>
      </c>
      <c r="O395" s="27" t="s">
        <v>16</v>
      </c>
      <c r="P395" s="27" t="s">
        <v>17</v>
      </c>
      <c r="Q395" s="27" t="s">
        <v>19</v>
      </c>
    </row>
    <row r="396" spans="1:17" x14ac:dyDescent="0.3">
      <c r="A396" s="22">
        <v>36</v>
      </c>
      <c r="B396" s="19">
        <v>100</v>
      </c>
      <c r="C396" s="20">
        <f>Sales!$B396*Sales!$A396</f>
        <v>3600</v>
      </c>
      <c r="D396" s="21">
        <v>37683</v>
      </c>
      <c r="E396" s="22" t="s">
        <v>9</v>
      </c>
      <c r="F396" s="22">
        <v>1</v>
      </c>
      <c r="G396" s="22">
        <v>3</v>
      </c>
      <c r="H396" s="22">
        <v>2003</v>
      </c>
      <c r="I396" s="22" t="s">
        <v>47</v>
      </c>
      <c r="J396" s="20">
        <v>115</v>
      </c>
      <c r="K396" s="20">
        <f>Sales!$B396-Sales!$J396</f>
        <v>-15</v>
      </c>
      <c r="L396" s="23">
        <f>(Sales!$J396-Sales!$B396)/Sales!$J396</f>
        <v>0.13043478260869565</v>
      </c>
      <c r="M396" s="23" t="str">
        <f t="shared" si="6"/>
        <v>10%-15%</v>
      </c>
      <c r="N396" s="22" t="s">
        <v>90</v>
      </c>
      <c r="O396" s="22" t="s">
        <v>91</v>
      </c>
      <c r="P396" s="22" t="s">
        <v>28</v>
      </c>
      <c r="Q396" s="22" t="s">
        <v>19</v>
      </c>
    </row>
    <row r="397" spans="1:17" x14ac:dyDescent="0.3">
      <c r="A397" s="27">
        <v>20</v>
      </c>
      <c r="B397" s="24">
        <v>100</v>
      </c>
      <c r="C397" s="25">
        <f>Sales!$B397*Sales!$A397</f>
        <v>2000</v>
      </c>
      <c r="D397" s="26">
        <v>37749</v>
      </c>
      <c r="E397" s="27" t="s">
        <v>9</v>
      </c>
      <c r="F397" s="27">
        <v>2</v>
      </c>
      <c r="G397" s="27">
        <v>5</v>
      </c>
      <c r="H397" s="27">
        <v>2003</v>
      </c>
      <c r="I397" s="27" t="s">
        <v>47</v>
      </c>
      <c r="J397" s="25">
        <v>115</v>
      </c>
      <c r="K397" s="25">
        <f>Sales!$B397-Sales!$J397</f>
        <v>-15</v>
      </c>
      <c r="L397" s="28">
        <f>(Sales!$J397-Sales!$B397)/Sales!$J397</f>
        <v>0.13043478260869565</v>
      </c>
      <c r="M397" s="28" t="str">
        <f t="shared" si="6"/>
        <v>10%-15%</v>
      </c>
      <c r="N397" s="27" t="s">
        <v>92</v>
      </c>
      <c r="O397" s="27" t="s">
        <v>16</v>
      </c>
      <c r="P397" s="27" t="s">
        <v>17</v>
      </c>
      <c r="Q397" s="27" t="s">
        <v>14</v>
      </c>
    </row>
    <row r="398" spans="1:17" x14ac:dyDescent="0.3">
      <c r="A398" s="22">
        <v>29</v>
      </c>
      <c r="B398" s="19">
        <v>97.89</v>
      </c>
      <c r="C398" s="20">
        <f>Sales!$B398*Sales!$A398</f>
        <v>2838.81</v>
      </c>
      <c r="D398" s="21">
        <v>37804</v>
      </c>
      <c r="E398" s="22" t="s">
        <v>9</v>
      </c>
      <c r="F398" s="22">
        <v>3</v>
      </c>
      <c r="G398" s="22">
        <v>7</v>
      </c>
      <c r="H398" s="22">
        <v>2003</v>
      </c>
      <c r="I398" s="22" t="s">
        <v>47</v>
      </c>
      <c r="J398" s="20">
        <v>115</v>
      </c>
      <c r="K398" s="20">
        <f>Sales!$B398-Sales!$J398</f>
        <v>-17.11</v>
      </c>
      <c r="L398" s="23">
        <f>(Sales!$J398-Sales!$B398)/Sales!$J398</f>
        <v>0.14878260869565216</v>
      </c>
      <c r="M398" s="23" t="str">
        <f t="shared" si="6"/>
        <v>10%-15%</v>
      </c>
      <c r="N398" s="22" t="s">
        <v>64</v>
      </c>
      <c r="O398" s="22" t="s">
        <v>12</v>
      </c>
      <c r="P398" s="22" t="s">
        <v>13</v>
      </c>
      <c r="Q398" s="22" t="s">
        <v>14</v>
      </c>
    </row>
    <row r="399" spans="1:17" x14ac:dyDescent="0.3">
      <c r="A399" s="27">
        <v>33</v>
      </c>
      <c r="B399" s="24">
        <v>97.89</v>
      </c>
      <c r="C399" s="25">
        <f>Sales!$B399*Sales!$A399</f>
        <v>3230.37</v>
      </c>
      <c r="D399" s="26">
        <v>37869</v>
      </c>
      <c r="E399" s="27" t="s">
        <v>9</v>
      </c>
      <c r="F399" s="27">
        <v>3</v>
      </c>
      <c r="G399" s="27">
        <v>9</v>
      </c>
      <c r="H399" s="27">
        <v>2003</v>
      </c>
      <c r="I399" s="27" t="s">
        <v>47</v>
      </c>
      <c r="J399" s="25">
        <v>115</v>
      </c>
      <c r="K399" s="25">
        <f>Sales!$B399-Sales!$J399</f>
        <v>-17.11</v>
      </c>
      <c r="L399" s="28">
        <f>(Sales!$J399-Sales!$B399)/Sales!$J399</f>
        <v>0.14878260869565216</v>
      </c>
      <c r="M399" s="28" t="str">
        <f t="shared" si="6"/>
        <v>10%-15%</v>
      </c>
      <c r="N399" s="27" t="s">
        <v>66</v>
      </c>
      <c r="O399" s="27" t="s">
        <v>12</v>
      </c>
      <c r="P399" s="27" t="s">
        <v>13</v>
      </c>
      <c r="Q399" s="27" t="s">
        <v>19</v>
      </c>
    </row>
    <row r="400" spans="1:17" x14ac:dyDescent="0.3">
      <c r="A400" s="22">
        <v>50</v>
      </c>
      <c r="B400" s="19">
        <v>100</v>
      </c>
      <c r="C400" s="20">
        <f>Sales!$B400*Sales!$A400</f>
        <v>5000</v>
      </c>
      <c r="D400" s="21">
        <v>37905</v>
      </c>
      <c r="E400" s="22" t="s">
        <v>9</v>
      </c>
      <c r="F400" s="22">
        <v>4</v>
      </c>
      <c r="G400" s="22">
        <v>10</v>
      </c>
      <c r="H400" s="22">
        <v>2003</v>
      </c>
      <c r="I400" s="22" t="s">
        <v>47</v>
      </c>
      <c r="J400" s="20">
        <v>115</v>
      </c>
      <c r="K400" s="20">
        <f>Sales!$B400-Sales!$J400</f>
        <v>-15</v>
      </c>
      <c r="L400" s="23">
        <f>(Sales!$J400-Sales!$B400)/Sales!$J400</f>
        <v>0.13043478260869565</v>
      </c>
      <c r="M400" s="23" t="str">
        <f t="shared" si="6"/>
        <v>10%-15%</v>
      </c>
      <c r="N400" s="22" t="s">
        <v>78</v>
      </c>
      <c r="O400" s="22" t="s">
        <v>12</v>
      </c>
      <c r="P400" s="22" t="s">
        <v>13</v>
      </c>
      <c r="Q400" s="22" t="s">
        <v>19</v>
      </c>
    </row>
    <row r="401" spans="1:17" x14ac:dyDescent="0.3">
      <c r="A401" s="27">
        <v>41</v>
      </c>
      <c r="B401" s="24">
        <v>100</v>
      </c>
      <c r="C401" s="25">
        <f>Sales!$B401*Sales!$A401</f>
        <v>4100</v>
      </c>
      <c r="D401" s="26">
        <v>37929</v>
      </c>
      <c r="E401" s="27" t="s">
        <v>9</v>
      </c>
      <c r="F401" s="27">
        <v>4</v>
      </c>
      <c r="G401" s="27">
        <v>11</v>
      </c>
      <c r="H401" s="27">
        <v>2003</v>
      </c>
      <c r="I401" s="27" t="s">
        <v>47</v>
      </c>
      <c r="J401" s="25">
        <v>115</v>
      </c>
      <c r="K401" s="25">
        <f>Sales!$B401-Sales!$J401</f>
        <v>-15</v>
      </c>
      <c r="L401" s="28">
        <f>(Sales!$J401-Sales!$B401)/Sales!$J401</f>
        <v>0.13043478260869565</v>
      </c>
      <c r="M401" s="28" t="str">
        <f t="shared" si="6"/>
        <v>10%-15%</v>
      </c>
      <c r="N401" s="27" t="s">
        <v>89</v>
      </c>
      <c r="O401" s="27" t="s">
        <v>38</v>
      </c>
      <c r="P401" s="27" t="s">
        <v>17</v>
      </c>
      <c r="Q401" s="27" t="s">
        <v>19</v>
      </c>
    </row>
    <row r="402" spans="1:17" x14ac:dyDescent="0.3">
      <c r="A402" s="22">
        <v>36</v>
      </c>
      <c r="B402" s="19">
        <v>100</v>
      </c>
      <c r="C402" s="20">
        <f>Sales!$B402*Sales!$A402</f>
        <v>3600</v>
      </c>
      <c r="D402" s="21">
        <v>37937</v>
      </c>
      <c r="E402" s="22" t="s">
        <v>9</v>
      </c>
      <c r="F402" s="22">
        <v>4</v>
      </c>
      <c r="G402" s="22">
        <v>11</v>
      </c>
      <c r="H402" s="22">
        <v>2003</v>
      </c>
      <c r="I402" s="22" t="s">
        <v>47</v>
      </c>
      <c r="J402" s="20">
        <v>115</v>
      </c>
      <c r="K402" s="20">
        <f>Sales!$B402-Sales!$J402</f>
        <v>-15</v>
      </c>
      <c r="L402" s="23">
        <f>(Sales!$J402-Sales!$B402)/Sales!$J402</f>
        <v>0.13043478260869565</v>
      </c>
      <c r="M402" s="23" t="str">
        <f t="shared" si="6"/>
        <v>10%-15%</v>
      </c>
      <c r="N402" s="22" t="s">
        <v>24</v>
      </c>
      <c r="O402" s="22" t="s">
        <v>25</v>
      </c>
      <c r="P402" s="22" t="s">
        <v>17</v>
      </c>
      <c r="Q402" s="22" t="s">
        <v>19</v>
      </c>
    </row>
    <row r="403" spans="1:17" x14ac:dyDescent="0.3">
      <c r="A403" s="27">
        <v>27</v>
      </c>
      <c r="B403" s="24">
        <v>100</v>
      </c>
      <c r="C403" s="25">
        <f>Sales!$B403*Sales!$A403</f>
        <v>2700</v>
      </c>
      <c r="D403" s="26">
        <v>37945</v>
      </c>
      <c r="E403" s="27" t="s">
        <v>9</v>
      </c>
      <c r="F403" s="27">
        <v>4</v>
      </c>
      <c r="G403" s="27">
        <v>11</v>
      </c>
      <c r="H403" s="27">
        <v>2003</v>
      </c>
      <c r="I403" s="27" t="s">
        <v>47</v>
      </c>
      <c r="J403" s="25">
        <v>115</v>
      </c>
      <c r="K403" s="25">
        <f>Sales!$B403-Sales!$J403</f>
        <v>-15</v>
      </c>
      <c r="L403" s="28">
        <f>(Sales!$J403-Sales!$B403)/Sales!$J403</f>
        <v>0.13043478260869565</v>
      </c>
      <c r="M403" s="28" t="str">
        <f t="shared" si="6"/>
        <v>10%-15%</v>
      </c>
      <c r="N403" s="27" t="s">
        <v>65</v>
      </c>
      <c r="O403" s="27" t="s">
        <v>12</v>
      </c>
      <c r="P403" s="27" t="s">
        <v>13</v>
      </c>
      <c r="Q403" s="27" t="s">
        <v>19</v>
      </c>
    </row>
    <row r="404" spans="1:17" x14ac:dyDescent="0.3">
      <c r="A404" s="22">
        <v>47</v>
      </c>
      <c r="B404" s="19">
        <v>100</v>
      </c>
      <c r="C404" s="20">
        <f>Sales!$B404*Sales!$A404</f>
        <v>4700</v>
      </c>
      <c r="D404" s="21">
        <v>37957</v>
      </c>
      <c r="E404" s="22" t="s">
        <v>9</v>
      </c>
      <c r="F404" s="22">
        <v>4</v>
      </c>
      <c r="G404" s="22">
        <v>12</v>
      </c>
      <c r="H404" s="22">
        <v>2003</v>
      </c>
      <c r="I404" s="22" t="s">
        <v>47</v>
      </c>
      <c r="J404" s="20">
        <v>115</v>
      </c>
      <c r="K404" s="20">
        <f>Sales!$B404-Sales!$J404</f>
        <v>-15</v>
      </c>
      <c r="L404" s="23">
        <f>(Sales!$J404-Sales!$B404)/Sales!$J404</f>
        <v>0.13043478260869565</v>
      </c>
      <c r="M404" s="23" t="str">
        <f t="shared" si="6"/>
        <v>10%-15%</v>
      </c>
      <c r="N404" s="22" t="s">
        <v>45</v>
      </c>
      <c r="O404" s="22" t="s">
        <v>46</v>
      </c>
      <c r="P404" s="22" t="s">
        <v>17</v>
      </c>
      <c r="Q404" s="22" t="s">
        <v>19</v>
      </c>
    </row>
    <row r="405" spans="1:17" x14ac:dyDescent="0.3">
      <c r="A405" s="27">
        <v>33</v>
      </c>
      <c r="B405" s="24">
        <v>100</v>
      </c>
      <c r="C405" s="25">
        <f>Sales!$B405*Sales!$A405</f>
        <v>3300</v>
      </c>
      <c r="D405" s="26">
        <v>38002</v>
      </c>
      <c r="E405" s="27" t="s">
        <v>9</v>
      </c>
      <c r="F405" s="27">
        <v>1</v>
      </c>
      <c r="G405" s="27">
        <v>1</v>
      </c>
      <c r="H405" s="27">
        <v>2004</v>
      </c>
      <c r="I405" s="27" t="s">
        <v>47</v>
      </c>
      <c r="J405" s="25">
        <v>115</v>
      </c>
      <c r="K405" s="25">
        <f>Sales!$B405-Sales!$J405</f>
        <v>-15</v>
      </c>
      <c r="L405" s="28">
        <f>(Sales!$J405-Sales!$B405)/Sales!$J405</f>
        <v>0.13043478260869565</v>
      </c>
      <c r="M405" s="28" t="str">
        <f t="shared" si="6"/>
        <v>10%-15%</v>
      </c>
      <c r="N405" s="27" t="s">
        <v>45</v>
      </c>
      <c r="O405" s="27" t="s">
        <v>46</v>
      </c>
      <c r="P405" s="27" t="s">
        <v>17</v>
      </c>
      <c r="Q405" s="27" t="s">
        <v>19</v>
      </c>
    </row>
    <row r="406" spans="1:17" x14ac:dyDescent="0.3">
      <c r="A406" s="22">
        <v>21</v>
      </c>
      <c r="B406" s="19">
        <v>100</v>
      </c>
      <c r="C406" s="20">
        <f>Sales!$B406*Sales!$A406</f>
        <v>2100</v>
      </c>
      <c r="D406" s="21">
        <v>38039</v>
      </c>
      <c r="E406" s="22" t="s">
        <v>9</v>
      </c>
      <c r="F406" s="22">
        <v>1</v>
      </c>
      <c r="G406" s="22">
        <v>2</v>
      </c>
      <c r="H406" s="22">
        <v>2004</v>
      </c>
      <c r="I406" s="22" t="s">
        <v>47</v>
      </c>
      <c r="J406" s="20">
        <v>115</v>
      </c>
      <c r="K406" s="20">
        <f>Sales!$B406-Sales!$J406</f>
        <v>-15</v>
      </c>
      <c r="L406" s="23">
        <f>(Sales!$J406-Sales!$B406)/Sales!$J406</f>
        <v>0.13043478260869565</v>
      </c>
      <c r="M406" s="23" t="str">
        <f t="shared" si="6"/>
        <v>10%-15%</v>
      </c>
      <c r="N406" s="22" t="s">
        <v>95</v>
      </c>
      <c r="O406" s="22" t="s">
        <v>96</v>
      </c>
      <c r="P406" s="22" t="s">
        <v>17</v>
      </c>
      <c r="Q406" s="22" t="s">
        <v>14</v>
      </c>
    </row>
    <row r="407" spans="1:17" x14ac:dyDescent="0.3">
      <c r="A407" s="27">
        <v>21</v>
      </c>
      <c r="B407" s="24">
        <v>93.28</v>
      </c>
      <c r="C407" s="25">
        <f>Sales!$B407*Sales!$A407</f>
        <v>1958.88</v>
      </c>
      <c r="D407" s="26">
        <v>38089</v>
      </c>
      <c r="E407" s="27" t="s">
        <v>9</v>
      </c>
      <c r="F407" s="27">
        <v>2</v>
      </c>
      <c r="G407" s="27">
        <v>4</v>
      </c>
      <c r="H407" s="27">
        <v>2004</v>
      </c>
      <c r="I407" s="27" t="s">
        <v>47</v>
      </c>
      <c r="J407" s="25">
        <v>115</v>
      </c>
      <c r="K407" s="25">
        <f>Sales!$B407-Sales!$J407</f>
        <v>-21.72</v>
      </c>
      <c r="L407" s="28">
        <f>(Sales!$J407-Sales!$B407)/Sales!$J407</f>
        <v>0.18886956521739129</v>
      </c>
      <c r="M407" s="28" t="str">
        <f t="shared" si="6"/>
        <v>15%-20%</v>
      </c>
      <c r="N407" s="27" t="s">
        <v>85</v>
      </c>
      <c r="O407" s="27" t="s">
        <v>34</v>
      </c>
      <c r="P407" s="27" t="s">
        <v>17</v>
      </c>
      <c r="Q407" s="27" t="s">
        <v>14</v>
      </c>
    </row>
    <row r="408" spans="1:17" x14ac:dyDescent="0.3">
      <c r="A408" s="22">
        <v>41</v>
      </c>
      <c r="B408" s="19">
        <v>100</v>
      </c>
      <c r="C408" s="20">
        <f>Sales!$B408*Sales!$A408</f>
        <v>4100</v>
      </c>
      <c r="D408" s="21">
        <v>38139</v>
      </c>
      <c r="E408" s="22" t="s">
        <v>75</v>
      </c>
      <c r="F408" s="22">
        <v>2</v>
      </c>
      <c r="G408" s="22">
        <v>6</v>
      </c>
      <c r="H408" s="22">
        <v>2004</v>
      </c>
      <c r="I408" s="22" t="s">
        <v>47</v>
      </c>
      <c r="J408" s="20">
        <v>115</v>
      </c>
      <c r="K408" s="20">
        <f>Sales!$B408-Sales!$J408</f>
        <v>-15</v>
      </c>
      <c r="L408" s="23">
        <f>(Sales!$J408-Sales!$B408)/Sales!$J408</f>
        <v>0.13043478260869565</v>
      </c>
      <c r="M408" s="23" t="str">
        <f t="shared" si="6"/>
        <v>10%-15%</v>
      </c>
      <c r="N408" s="22" t="s">
        <v>42</v>
      </c>
      <c r="O408" s="22" t="s">
        <v>43</v>
      </c>
      <c r="P408" s="22" t="s">
        <v>17</v>
      </c>
      <c r="Q408" s="22" t="s">
        <v>19</v>
      </c>
    </row>
    <row r="409" spans="1:17" x14ac:dyDescent="0.3">
      <c r="A409" s="27">
        <v>40</v>
      </c>
      <c r="B409" s="24">
        <v>100</v>
      </c>
      <c r="C409" s="25">
        <f>Sales!$B409*Sales!$A409</f>
        <v>4000</v>
      </c>
      <c r="D409" s="26">
        <v>38174</v>
      </c>
      <c r="E409" s="27" t="s">
        <v>9</v>
      </c>
      <c r="F409" s="27">
        <v>3</v>
      </c>
      <c r="G409" s="27">
        <v>7</v>
      </c>
      <c r="H409" s="27">
        <v>2004</v>
      </c>
      <c r="I409" s="27" t="s">
        <v>47</v>
      </c>
      <c r="J409" s="25">
        <v>115</v>
      </c>
      <c r="K409" s="25">
        <f>Sales!$B409-Sales!$J409</f>
        <v>-15</v>
      </c>
      <c r="L409" s="28">
        <f>(Sales!$J409-Sales!$B409)/Sales!$J409</f>
        <v>0.13043478260869565</v>
      </c>
      <c r="M409" s="28" t="str">
        <f t="shared" si="6"/>
        <v>10%-15%</v>
      </c>
      <c r="N409" s="27" t="s">
        <v>97</v>
      </c>
      <c r="O409" s="27" t="s">
        <v>61</v>
      </c>
      <c r="P409" s="27" t="s">
        <v>17</v>
      </c>
      <c r="Q409" s="27" t="s">
        <v>19</v>
      </c>
    </row>
    <row r="410" spans="1:17" x14ac:dyDescent="0.3">
      <c r="A410" s="22">
        <v>28</v>
      </c>
      <c r="B410" s="19">
        <v>100</v>
      </c>
      <c r="C410" s="20">
        <f>Sales!$B410*Sales!$A410</f>
        <v>2800</v>
      </c>
      <c r="D410" s="21">
        <v>38203</v>
      </c>
      <c r="E410" s="22" t="s">
        <v>9</v>
      </c>
      <c r="F410" s="22">
        <v>3</v>
      </c>
      <c r="G410" s="22">
        <v>8</v>
      </c>
      <c r="H410" s="22">
        <v>2004</v>
      </c>
      <c r="I410" s="22" t="s">
        <v>47</v>
      </c>
      <c r="J410" s="20">
        <v>115</v>
      </c>
      <c r="K410" s="20">
        <f>Sales!$B410-Sales!$J410</f>
        <v>-15</v>
      </c>
      <c r="L410" s="23">
        <f>(Sales!$J410-Sales!$B410)/Sales!$J410</f>
        <v>0.13043478260869565</v>
      </c>
      <c r="M410" s="23" t="str">
        <f t="shared" si="6"/>
        <v>10%-15%</v>
      </c>
      <c r="N410" s="22" t="s">
        <v>50</v>
      </c>
      <c r="O410" s="22" t="s">
        <v>50</v>
      </c>
      <c r="P410" s="22" t="s">
        <v>28</v>
      </c>
      <c r="Q410" s="22" t="s">
        <v>19</v>
      </c>
    </row>
    <row r="411" spans="1:17" x14ac:dyDescent="0.3">
      <c r="A411" s="27">
        <v>23</v>
      </c>
      <c r="B411" s="24">
        <v>100</v>
      </c>
      <c r="C411" s="25">
        <f>Sales!$B411*Sales!$A411</f>
        <v>2300</v>
      </c>
      <c r="D411" s="26">
        <v>38229</v>
      </c>
      <c r="E411" s="27" t="s">
        <v>9</v>
      </c>
      <c r="F411" s="27">
        <v>3</v>
      </c>
      <c r="G411" s="27">
        <v>8</v>
      </c>
      <c r="H411" s="27">
        <v>2004</v>
      </c>
      <c r="I411" s="27" t="s">
        <v>47</v>
      </c>
      <c r="J411" s="25">
        <v>115</v>
      </c>
      <c r="K411" s="25">
        <f>Sales!$B411-Sales!$J411</f>
        <v>-15</v>
      </c>
      <c r="L411" s="28">
        <f>(Sales!$J411-Sales!$B411)/Sales!$J411</f>
        <v>0.13043478260869565</v>
      </c>
      <c r="M411" s="28" t="str">
        <f t="shared" si="6"/>
        <v>10%-15%</v>
      </c>
      <c r="N411" s="27" t="s">
        <v>95</v>
      </c>
      <c r="O411" s="27" t="s">
        <v>96</v>
      </c>
      <c r="P411" s="27" t="s">
        <v>17</v>
      </c>
      <c r="Q411" s="27" t="s">
        <v>14</v>
      </c>
    </row>
    <row r="412" spans="1:17" x14ac:dyDescent="0.3">
      <c r="A412" s="22">
        <v>23</v>
      </c>
      <c r="B412" s="19">
        <v>100</v>
      </c>
      <c r="C412" s="20">
        <f>Sales!$B412*Sales!$A412</f>
        <v>2300</v>
      </c>
      <c r="D412" s="21">
        <v>37898</v>
      </c>
      <c r="E412" s="22" t="s">
        <v>9</v>
      </c>
      <c r="F412" s="22">
        <v>4</v>
      </c>
      <c r="G412" s="22">
        <v>10</v>
      </c>
      <c r="H412" s="22">
        <v>2003</v>
      </c>
      <c r="I412" s="22" t="s">
        <v>47</v>
      </c>
      <c r="J412" s="20">
        <v>115</v>
      </c>
      <c r="K412" s="20">
        <f>Sales!$B412-Sales!$J412</f>
        <v>-15</v>
      </c>
      <c r="L412" s="23">
        <f>(Sales!$J412-Sales!$B412)/Sales!$J412</f>
        <v>0.13043478260869565</v>
      </c>
      <c r="M412" s="23" t="str">
        <f t="shared" si="6"/>
        <v>10%-15%</v>
      </c>
      <c r="N412" s="22" t="s">
        <v>98</v>
      </c>
      <c r="O412" s="22" t="s">
        <v>94</v>
      </c>
      <c r="P412" s="22" t="s">
        <v>17</v>
      </c>
      <c r="Q412" s="22" t="s">
        <v>14</v>
      </c>
    </row>
    <row r="413" spans="1:17" x14ac:dyDescent="0.3">
      <c r="A413" s="27">
        <v>25</v>
      </c>
      <c r="B413" s="24">
        <v>100</v>
      </c>
      <c r="C413" s="25">
        <f>Sales!$B413*Sales!$A413</f>
        <v>2500</v>
      </c>
      <c r="D413" s="26">
        <v>38276</v>
      </c>
      <c r="E413" s="27" t="s">
        <v>9</v>
      </c>
      <c r="F413" s="27">
        <v>4</v>
      </c>
      <c r="G413" s="27">
        <v>10</v>
      </c>
      <c r="H413" s="27">
        <v>2004</v>
      </c>
      <c r="I413" s="27" t="s">
        <v>47</v>
      </c>
      <c r="J413" s="25">
        <v>115</v>
      </c>
      <c r="K413" s="25">
        <f>Sales!$B413-Sales!$J413</f>
        <v>-15</v>
      </c>
      <c r="L413" s="28">
        <f>(Sales!$J413-Sales!$B413)/Sales!$J413</f>
        <v>0.13043478260869565</v>
      </c>
      <c r="M413" s="28" t="str">
        <f t="shared" si="6"/>
        <v>10%-15%</v>
      </c>
      <c r="N413" s="27" t="s">
        <v>93</v>
      </c>
      <c r="O413" s="27" t="s">
        <v>94</v>
      </c>
      <c r="P413" s="27" t="s">
        <v>17</v>
      </c>
      <c r="Q413" s="27" t="s">
        <v>14</v>
      </c>
    </row>
    <row r="414" spans="1:17" x14ac:dyDescent="0.3">
      <c r="A414" s="22">
        <v>24</v>
      </c>
      <c r="B414" s="19">
        <v>100</v>
      </c>
      <c r="C414" s="20">
        <f>Sales!$B414*Sales!$A414</f>
        <v>2400</v>
      </c>
      <c r="D414" s="21">
        <v>38295</v>
      </c>
      <c r="E414" s="22" t="s">
        <v>9</v>
      </c>
      <c r="F414" s="22">
        <v>4</v>
      </c>
      <c r="G414" s="22">
        <v>11</v>
      </c>
      <c r="H414" s="22">
        <v>2004</v>
      </c>
      <c r="I414" s="22" t="s">
        <v>47</v>
      </c>
      <c r="J414" s="20">
        <v>115</v>
      </c>
      <c r="K414" s="20">
        <f>Sales!$B414-Sales!$J414</f>
        <v>-15</v>
      </c>
      <c r="L414" s="23">
        <f>(Sales!$J414-Sales!$B414)/Sales!$J414</f>
        <v>0.13043478260869565</v>
      </c>
      <c r="M414" s="23" t="str">
        <f t="shared" si="6"/>
        <v>10%-15%</v>
      </c>
      <c r="N414" s="22" t="s">
        <v>41</v>
      </c>
      <c r="O414" s="22" t="s">
        <v>12</v>
      </c>
      <c r="P414" s="22" t="s">
        <v>13</v>
      </c>
      <c r="Q414" s="22" t="s">
        <v>14</v>
      </c>
    </row>
    <row r="415" spans="1:17" x14ac:dyDescent="0.3">
      <c r="A415" s="27">
        <v>39</v>
      </c>
      <c r="B415" s="24">
        <v>64.739999999999995</v>
      </c>
      <c r="C415" s="25">
        <f>Sales!$B415*Sales!$A415</f>
        <v>2524.8599999999997</v>
      </c>
      <c r="D415" s="26">
        <v>38306</v>
      </c>
      <c r="E415" s="27" t="s">
        <v>9</v>
      </c>
      <c r="F415" s="27">
        <v>4</v>
      </c>
      <c r="G415" s="27">
        <v>11</v>
      </c>
      <c r="H415" s="27">
        <v>2004</v>
      </c>
      <c r="I415" s="27" t="s">
        <v>47</v>
      </c>
      <c r="J415" s="25">
        <v>115</v>
      </c>
      <c r="K415" s="25">
        <f>Sales!$B415-Sales!$J415</f>
        <v>-50.260000000000005</v>
      </c>
      <c r="L415" s="28">
        <f>(Sales!$J415-Sales!$B415)/Sales!$J415</f>
        <v>0.43704347826086959</v>
      </c>
      <c r="M415" s="28" t="str">
        <f t="shared" si="6"/>
        <v>+20%</v>
      </c>
      <c r="N415" s="27" t="s">
        <v>11</v>
      </c>
      <c r="O415" s="27" t="s">
        <v>12</v>
      </c>
      <c r="P415" s="27" t="s">
        <v>13</v>
      </c>
      <c r="Q415" s="27" t="s">
        <v>14</v>
      </c>
    </row>
    <row r="416" spans="1:17" x14ac:dyDescent="0.3">
      <c r="A416" s="22">
        <v>55</v>
      </c>
      <c r="B416" s="19">
        <v>75.2</v>
      </c>
      <c r="C416" s="20">
        <f>Sales!$B416*Sales!$A416</f>
        <v>4136</v>
      </c>
      <c r="D416" s="21">
        <v>38315</v>
      </c>
      <c r="E416" s="22" t="s">
        <v>9</v>
      </c>
      <c r="F416" s="22">
        <v>4</v>
      </c>
      <c r="G416" s="22">
        <v>11</v>
      </c>
      <c r="H416" s="22">
        <v>2004</v>
      </c>
      <c r="I416" s="22" t="s">
        <v>47</v>
      </c>
      <c r="J416" s="20">
        <v>115</v>
      </c>
      <c r="K416" s="20">
        <f>Sales!$B416-Sales!$J416</f>
        <v>-39.799999999999997</v>
      </c>
      <c r="L416" s="23">
        <f>(Sales!$J416-Sales!$B416)/Sales!$J416</f>
        <v>0.3460869565217391</v>
      </c>
      <c r="M416" s="23" t="str">
        <f t="shared" si="6"/>
        <v>+20%</v>
      </c>
      <c r="N416" s="22" t="s">
        <v>37</v>
      </c>
      <c r="O416" s="22" t="s">
        <v>38</v>
      </c>
      <c r="P416" s="22" t="s">
        <v>17</v>
      </c>
      <c r="Q416" s="22" t="s">
        <v>19</v>
      </c>
    </row>
    <row r="417" spans="1:17" x14ac:dyDescent="0.3">
      <c r="A417" s="27">
        <v>46</v>
      </c>
      <c r="B417" s="24">
        <v>88.45</v>
      </c>
      <c r="C417" s="25">
        <f>Sales!$B417*Sales!$A417</f>
        <v>4068.7000000000003</v>
      </c>
      <c r="D417" s="26">
        <v>38358</v>
      </c>
      <c r="E417" s="27" t="s">
        <v>9</v>
      </c>
      <c r="F417" s="27">
        <v>1</v>
      </c>
      <c r="G417" s="27">
        <v>1</v>
      </c>
      <c r="H417" s="27">
        <v>2005</v>
      </c>
      <c r="I417" s="27" t="s">
        <v>47</v>
      </c>
      <c r="J417" s="25">
        <v>115</v>
      </c>
      <c r="K417" s="25">
        <f>Sales!$B417-Sales!$J417</f>
        <v>-26.549999999999997</v>
      </c>
      <c r="L417" s="28">
        <f>(Sales!$J417-Sales!$B417)/Sales!$J417</f>
        <v>0.23086956521739127</v>
      </c>
      <c r="M417" s="28" t="str">
        <f t="shared" si="6"/>
        <v>+20%</v>
      </c>
      <c r="N417" s="27" t="s">
        <v>99</v>
      </c>
      <c r="O417" s="27" t="s">
        <v>34</v>
      </c>
      <c r="P417" s="27" t="s">
        <v>17</v>
      </c>
      <c r="Q417" s="27" t="s">
        <v>19</v>
      </c>
    </row>
    <row r="418" spans="1:17" x14ac:dyDescent="0.3">
      <c r="A418" s="22">
        <v>50</v>
      </c>
      <c r="B418" s="19">
        <v>100</v>
      </c>
      <c r="C418" s="20">
        <f>Sales!$B418*Sales!$A418</f>
        <v>5000</v>
      </c>
      <c r="D418" s="21">
        <v>38392</v>
      </c>
      <c r="E418" s="22" t="s">
        <v>9</v>
      </c>
      <c r="F418" s="22">
        <v>1</v>
      </c>
      <c r="G418" s="22">
        <v>2</v>
      </c>
      <c r="H418" s="22">
        <v>2005</v>
      </c>
      <c r="I418" s="22" t="s">
        <v>47</v>
      </c>
      <c r="J418" s="20">
        <v>115</v>
      </c>
      <c r="K418" s="20">
        <f>Sales!$B418-Sales!$J418</f>
        <v>-15</v>
      </c>
      <c r="L418" s="23">
        <f>(Sales!$J418-Sales!$B418)/Sales!$J418</f>
        <v>0.13043478260869565</v>
      </c>
      <c r="M418" s="23" t="str">
        <f t="shared" si="6"/>
        <v>10%-15%</v>
      </c>
      <c r="N418" s="22" t="s">
        <v>33</v>
      </c>
      <c r="O418" s="22" t="s">
        <v>34</v>
      </c>
      <c r="P418" s="22" t="s">
        <v>17</v>
      </c>
      <c r="Q418" s="22" t="s">
        <v>19</v>
      </c>
    </row>
    <row r="419" spans="1:17" x14ac:dyDescent="0.3">
      <c r="A419" s="27">
        <v>47</v>
      </c>
      <c r="B419" s="24">
        <v>100</v>
      </c>
      <c r="C419" s="25">
        <f>Sales!$B419*Sales!$A419</f>
        <v>4700</v>
      </c>
      <c r="D419" s="26">
        <v>38414</v>
      </c>
      <c r="E419" s="27" t="s">
        <v>9</v>
      </c>
      <c r="F419" s="27">
        <v>1</v>
      </c>
      <c r="G419" s="27">
        <v>3</v>
      </c>
      <c r="H419" s="27">
        <v>2005</v>
      </c>
      <c r="I419" s="27" t="s">
        <v>47</v>
      </c>
      <c r="J419" s="25">
        <v>115</v>
      </c>
      <c r="K419" s="25">
        <f>Sales!$B419-Sales!$J419</f>
        <v>-15</v>
      </c>
      <c r="L419" s="28">
        <f>(Sales!$J419-Sales!$B419)/Sales!$J419</f>
        <v>0.13043478260869565</v>
      </c>
      <c r="M419" s="28" t="str">
        <f t="shared" si="6"/>
        <v>10%-15%</v>
      </c>
      <c r="N419" s="27" t="s">
        <v>62</v>
      </c>
      <c r="O419" s="27" t="s">
        <v>49</v>
      </c>
      <c r="P419" s="27" t="s">
        <v>17</v>
      </c>
      <c r="Q419" s="27" t="s">
        <v>19</v>
      </c>
    </row>
    <row r="420" spans="1:17" x14ac:dyDescent="0.3">
      <c r="A420" s="22">
        <v>97</v>
      </c>
      <c r="B420" s="19">
        <v>93.28</v>
      </c>
      <c r="C420" s="20">
        <f>Sales!$B420*Sales!$A420</f>
        <v>9048.16</v>
      </c>
      <c r="D420" s="21">
        <v>38456</v>
      </c>
      <c r="E420" s="22" t="s">
        <v>9</v>
      </c>
      <c r="F420" s="22">
        <v>2</v>
      </c>
      <c r="G420" s="22">
        <v>4</v>
      </c>
      <c r="H420" s="22">
        <v>2005</v>
      </c>
      <c r="I420" s="22" t="s">
        <v>47</v>
      </c>
      <c r="J420" s="20">
        <v>115</v>
      </c>
      <c r="K420" s="20">
        <f>Sales!$B420-Sales!$J420</f>
        <v>-21.72</v>
      </c>
      <c r="L420" s="23">
        <f>(Sales!$J420-Sales!$B420)/Sales!$J420</f>
        <v>0.18886956521739129</v>
      </c>
      <c r="M420" s="23" t="str">
        <f t="shared" si="6"/>
        <v>15%-20%</v>
      </c>
      <c r="N420" s="22" t="s">
        <v>108</v>
      </c>
      <c r="O420" s="22" t="s">
        <v>16</v>
      </c>
      <c r="P420" s="22" t="s">
        <v>17</v>
      </c>
      <c r="Q420" s="22" t="s">
        <v>39</v>
      </c>
    </row>
    <row r="421" spans="1:17" x14ac:dyDescent="0.3">
      <c r="A421" s="27">
        <v>32</v>
      </c>
      <c r="B421" s="24">
        <v>100</v>
      </c>
      <c r="C421" s="25">
        <f>Sales!$B421*Sales!$A421</f>
        <v>3200</v>
      </c>
      <c r="D421" s="26">
        <v>38489</v>
      </c>
      <c r="E421" s="27" t="s">
        <v>9</v>
      </c>
      <c r="F421" s="27">
        <v>2</v>
      </c>
      <c r="G421" s="27">
        <v>5</v>
      </c>
      <c r="H421" s="27">
        <v>2005</v>
      </c>
      <c r="I421" s="27" t="s">
        <v>47</v>
      </c>
      <c r="J421" s="25">
        <v>115</v>
      </c>
      <c r="K421" s="25">
        <f>Sales!$B421-Sales!$J421</f>
        <v>-15</v>
      </c>
      <c r="L421" s="28">
        <f>(Sales!$J421-Sales!$B421)/Sales!$J421</f>
        <v>0.13043478260869565</v>
      </c>
      <c r="M421" s="28" t="str">
        <f t="shared" si="6"/>
        <v>10%-15%</v>
      </c>
      <c r="N421" s="27" t="s">
        <v>37</v>
      </c>
      <c r="O421" s="27" t="s">
        <v>38</v>
      </c>
      <c r="P421" s="27" t="s">
        <v>17</v>
      </c>
      <c r="Q421" s="27" t="s">
        <v>19</v>
      </c>
    </row>
    <row r="422" spans="1:17" x14ac:dyDescent="0.3">
      <c r="A422" s="22">
        <v>35</v>
      </c>
      <c r="B422" s="19">
        <v>100</v>
      </c>
      <c r="C422" s="20">
        <f>Sales!$B422*Sales!$A422</f>
        <v>3500</v>
      </c>
      <c r="D422" s="21">
        <v>37650</v>
      </c>
      <c r="E422" s="22" t="s">
        <v>9</v>
      </c>
      <c r="F422" s="22">
        <v>1</v>
      </c>
      <c r="G422" s="22">
        <v>1</v>
      </c>
      <c r="H422" s="22">
        <v>2003</v>
      </c>
      <c r="I422" s="22" t="s">
        <v>104</v>
      </c>
      <c r="J422" s="20">
        <v>116</v>
      </c>
      <c r="K422" s="20">
        <f>Sales!$B422-Sales!$J422</f>
        <v>-16</v>
      </c>
      <c r="L422" s="23">
        <f>(Sales!$J422-Sales!$B422)/Sales!$J422</f>
        <v>0.13793103448275862</v>
      </c>
      <c r="M422" s="23" t="str">
        <f t="shared" si="6"/>
        <v>10%-15%</v>
      </c>
      <c r="N422" s="22" t="s">
        <v>35</v>
      </c>
      <c r="O422" s="22" t="s">
        <v>25</v>
      </c>
      <c r="P422" s="22" t="s">
        <v>17</v>
      </c>
      <c r="Q422" s="22" t="s">
        <v>19</v>
      </c>
    </row>
    <row r="423" spans="1:17" x14ac:dyDescent="0.3">
      <c r="A423" s="27">
        <v>49</v>
      </c>
      <c r="B423" s="24">
        <v>100</v>
      </c>
      <c r="C423" s="25">
        <f>Sales!$B423*Sales!$A423</f>
        <v>4900</v>
      </c>
      <c r="D423" s="26">
        <v>37706</v>
      </c>
      <c r="E423" s="27" t="s">
        <v>9</v>
      </c>
      <c r="F423" s="27">
        <v>1</v>
      </c>
      <c r="G423" s="27">
        <v>3</v>
      </c>
      <c r="H423" s="27">
        <v>2003</v>
      </c>
      <c r="I423" s="27" t="s">
        <v>104</v>
      </c>
      <c r="J423" s="25">
        <v>116</v>
      </c>
      <c r="K423" s="25">
        <f>Sales!$B423-Sales!$J423</f>
        <v>-16</v>
      </c>
      <c r="L423" s="28">
        <f>(Sales!$J423-Sales!$B423)/Sales!$J423</f>
        <v>0.13793103448275862</v>
      </c>
      <c r="M423" s="28" t="str">
        <f t="shared" si="6"/>
        <v>10%-15%</v>
      </c>
      <c r="N423" s="27" t="s">
        <v>64</v>
      </c>
      <c r="O423" s="27" t="s">
        <v>12</v>
      </c>
      <c r="P423" s="27" t="s">
        <v>13</v>
      </c>
      <c r="Q423" s="27" t="s">
        <v>19</v>
      </c>
    </row>
    <row r="424" spans="1:17" x14ac:dyDescent="0.3">
      <c r="A424" s="22">
        <v>38</v>
      </c>
      <c r="B424" s="19">
        <v>100</v>
      </c>
      <c r="C424" s="20">
        <f>Sales!$B424*Sales!$A424</f>
        <v>3800</v>
      </c>
      <c r="D424" s="21">
        <v>37769</v>
      </c>
      <c r="E424" s="22" t="s">
        <v>9</v>
      </c>
      <c r="F424" s="22">
        <v>2</v>
      </c>
      <c r="G424" s="22">
        <v>5</v>
      </c>
      <c r="H424" s="22">
        <v>2003</v>
      </c>
      <c r="I424" s="22" t="s">
        <v>104</v>
      </c>
      <c r="J424" s="20">
        <v>116</v>
      </c>
      <c r="K424" s="20">
        <f>Sales!$B424-Sales!$J424</f>
        <v>-16</v>
      </c>
      <c r="L424" s="23">
        <f>(Sales!$J424-Sales!$B424)/Sales!$J424</f>
        <v>0.13793103448275862</v>
      </c>
      <c r="M424" s="23" t="str">
        <f t="shared" si="6"/>
        <v>10%-15%</v>
      </c>
      <c r="N424" s="22" t="s">
        <v>45</v>
      </c>
      <c r="O424" s="22" t="s">
        <v>46</v>
      </c>
      <c r="P424" s="22" t="s">
        <v>17</v>
      </c>
      <c r="Q424" s="22" t="s">
        <v>19</v>
      </c>
    </row>
    <row r="425" spans="1:17" x14ac:dyDescent="0.3">
      <c r="A425" s="27">
        <v>32</v>
      </c>
      <c r="B425" s="24">
        <v>100</v>
      </c>
      <c r="C425" s="25">
        <f>Sales!$B425*Sales!$A425</f>
        <v>3200</v>
      </c>
      <c r="D425" s="26">
        <v>37826</v>
      </c>
      <c r="E425" s="27" t="s">
        <v>9</v>
      </c>
      <c r="F425" s="27">
        <v>3</v>
      </c>
      <c r="G425" s="27">
        <v>7</v>
      </c>
      <c r="H425" s="27">
        <v>2003</v>
      </c>
      <c r="I425" s="27" t="s">
        <v>104</v>
      </c>
      <c r="J425" s="25">
        <v>116</v>
      </c>
      <c r="K425" s="25">
        <f>Sales!$B425-Sales!$J425</f>
        <v>-16</v>
      </c>
      <c r="L425" s="28">
        <f>(Sales!$J425-Sales!$B425)/Sales!$J425</f>
        <v>0.13793103448275862</v>
      </c>
      <c r="M425" s="28" t="str">
        <f t="shared" si="6"/>
        <v>10%-15%</v>
      </c>
      <c r="N425" s="27" t="s">
        <v>22</v>
      </c>
      <c r="O425" s="27" t="s">
        <v>12</v>
      </c>
      <c r="P425" s="27" t="s">
        <v>13</v>
      </c>
      <c r="Q425" s="27" t="s">
        <v>19</v>
      </c>
    </row>
    <row r="426" spans="1:17" x14ac:dyDescent="0.3">
      <c r="A426" s="22">
        <v>34</v>
      </c>
      <c r="B426" s="19">
        <v>100</v>
      </c>
      <c r="C426" s="20">
        <f>Sales!$B426*Sales!$A426</f>
        <v>3400</v>
      </c>
      <c r="D426" s="21">
        <v>37883</v>
      </c>
      <c r="E426" s="22" t="s">
        <v>9</v>
      </c>
      <c r="F426" s="22">
        <v>3</v>
      </c>
      <c r="G426" s="22">
        <v>9</v>
      </c>
      <c r="H426" s="22">
        <v>2003</v>
      </c>
      <c r="I426" s="22" t="s">
        <v>104</v>
      </c>
      <c r="J426" s="20">
        <v>116</v>
      </c>
      <c r="K426" s="20">
        <f>Sales!$B426-Sales!$J426</f>
        <v>-16</v>
      </c>
      <c r="L426" s="23">
        <f>(Sales!$J426-Sales!$B426)/Sales!$J426</f>
        <v>0.13793103448275862</v>
      </c>
      <c r="M426" s="23" t="str">
        <f t="shared" si="6"/>
        <v>10%-15%</v>
      </c>
      <c r="N426" s="22" t="s">
        <v>50</v>
      </c>
      <c r="O426" s="22" t="s">
        <v>50</v>
      </c>
      <c r="P426" s="22" t="s">
        <v>28</v>
      </c>
      <c r="Q426" s="22" t="s">
        <v>19</v>
      </c>
    </row>
    <row r="427" spans="1:17" x14ac:dyDescent="0.3">
      <c r="A427" s="27">
        <v>36</v>
      </c>
      <c r="B427" s="24">
        <v>99.17</v>
      </c>
      <c r="C427" s="25">
        <f>Sales!$B427*Sales!$A427</f>
        <v>3570.12</v>
      </c>
      <c r="D427" s="26">
        <v>37915</v>
      </c>
      <c r="E427" s="27" t="s">
        <v>88</v>
      </c>
      <c r="F427" s="27">
        <v>4</v>
      </c>
      <c r="G427" s="27">
        <v>10</v>
      </c>
      <c r="H427" s="27">
        <v>2003</v>
      </c>
      <c r="I427" s="27" t="s">
        <v>104</v>
      </c>
      <c r="J427" s="25">
        <v>116</v>
      </c>
      <c r="K427" s="25">
        <f>Sales!$B427-Sales!$J427</f>
        <v>-16.829999999999998</v>
      </c>
      <c r="L427" s="28">
        <f>(Sales!$J427-Sales!$B427)/Sales!$J427</f>
        <v>0.14508620689655172</v>
      </c>
      <c r="M427" s="28" t="str">
        <f t="shared" si="6"/>
        <v>10%-15%</v>
      </c>
      <c r="N427" s="27" t="s">
        <v>89</v>
      </c>
      <c r="O427" s="27" t="s">
        <v>38</v>
      </c>
      <c r="P427" s="27" t="s">
        <v>17</v>
      </c>
      <c r="Q427" s="27" t="s">
        <v>19</v>
      </c>
    </row>
    <row r="428" spans="1:17" x14ac:dyDescent="0.3">
      <c r="A428" s="22">
        <v>48</v>
      </c>
      <c r="B428" s="19">
        <v>93.34</v>
      </c>
      <c r="C428" s="20">
        <f>Sales!$B428*Sales!$A428</f>
        <v>4480.32</v>
      </c>
      <c r="D428" s="21">
        <v>37931</v>
      </c>
      <c r="E428" s="22" t="s">
        <v>9</v>
      </c>
      <c r="F428" s="22">
        <v>4</v>
      </c>
      <c r="G428" s="22">
        <v>11</v>
      </c>
      <c r="H428" s="22">
        <v>2003</v>
      </c>
      <c r="I428" s="22" t="s">
        <v>104</v>
      </c>
      <c r="J428" s="20">
        <v>116</v>
      </c>
      <c r="K428" s="20">
        <f>Sales!$B428-Sales!$J428</f>
        <v>-22.659999999999997</v>
      </c>
      <c r="L428" s="23">
        <f>(Sales!$J428-Sales!$B428)/Sales!$J428</f>
        <v>0.19534482758620686</v>
      </c>
      <c r="M428" s="23" t="str">
        <f t="shared" si="6"/>
        <v>15%-20%</v>
      </c>
      <c r="N428" s="22" t="s">
        <v>52</v>
      </c>
      <c r="O428" s="22" t="s">
        <v>27</v>
      </c>
      <c r="P428" s="22" t="s">
        <v>28</v>
      </c>
      <c r="Q428" s="22" t="s">
        <v>19</v>
      </c>
    </row>
    <row r="429" spans="1:17" x14ac:dyDescent="0.3">
      <c r="A429" s="27">
        <v>21</v>
      </c>
      <c r="B429" s="24">
        <v>96.84</v>
      </c>
      <c r="C429" s="25">
        <f>Sales!$B429*Sales!$A429</f>
        <v>2033.64</v>
      </c>
      <c r="D429" s="26">
        <v>37938</v>
      </c>
      <c r="E429" s="27" t="s">
        <v>9</v>
      </c>
      <c r="F429" s="27">
        <v>4</v>
      </c>
      <c r="G429" s="27">
        <v>11</v>
      </c>
      <c r="H429" s="27">
        <v>2003</v>
      </c>
      <c r="I429" s="27" t="s">
        <v>104</v>
      </c>
      <c r="J429" s="25">
        <v>116</v>
      </c>
      <c r="K429" s="25">
        <f>Sales!$B429-Sales!$J429</f>
        <v>-19.159999999999997</v>
      </c>
      <c r="L429" s="28">
        <f>(Sales!$J429-Sales!$B429)/Sales!$J429</f>
        <v>0.16517241379310341</v>
      </c>
      <c r="M429" s="28" t="str">
        <f t="shared" si="6"/>
        <v>15%-20%</v>
      </c>
      <c r="N429" s="27" t="s">
        <v>53</v>
      </c>
      <c r="O429" s="27" t="s">
        <v>12</v>
      </c>
      <c r="P429" s="27" t="s">
        <v>13</v>
      </c>
      <c r="Q429" s="27" t="s">
        <v>14</v>
      </c>
    </row>
    <row r="430" spans="1:17" x14ac:dyDescent="0.3">
      <c r="A430" s="22">
        <v>21</v>
      </c>
      <c r="B430" s="19">
        <v>93.34</v>
      </c>
      <c r="C430" s="20">
        <f>Sales!$B430*Sales!$A430</f>
        <v>1960.14</v>
      </c>
      <c r="D430" s="21">
        <v>37950</v>
      </c>
      <c r="E430" s="22" t="s">
        <v>9</v>
      </c>
      <c r="F430" s="22">
        <v>4</v>
      </c>
      <c r="G430" s="22">
        <v>11</v>
      </c>
      <c r="H430" s="22">
        <v>2003</v>
      </c>
      <c r="I430" s="22" t="s">
        <v>104</v>
      </c>
      <c r="J430" s="20">
        <v>116</v>
      </c>
      <c r="K430" s="20">
        <f>Sales!$B430-Sales!$J430</f>
        <v>-22.659999999999997</v>
      </c>
      <c r="L430" s="23">
        <f>(Sales!$J430-Sales!$B430)/Sales!$J430</f>
        <v>0.19534482758620686</v>
      </c>
      <c r="M430" s="23" t="str">
        <f t="shared" si="6"/>
        <v>15%-20%</v>
      </c>
      <c r="N430" s="22" t="s">
        <v>54</v>
      </c>
      <c r="O430" s="22" t="s">
        <v>16</v>
      </c>
      <c r="P430" s="22" t="s">
        <v>17</v>
      </c>
      <c r="Q430" s="22" t="s">
        <v>14</v>
      </c>
    </row>
    <row r="431" spans="1:17" x14ac:dyDescent="0.3">
      <c r="A431" s="27">
        <v>34</v>
      </c>
      <c r="B431" s="24">
        <v>100</v>
      </c>
      <c r="C431" s="25">
        <f>Sales!$B431*Sales!$A431</f>
        <v>3400</v>
      </c>
      <c r="D431" s="26">
        <v>37960</v>
      </c>
      <c r="E431" s="27" t="s">
        <v>9</v>
      </c>
      <c r="F431" s="27">
        <v>4</v>
      </c>
      <c r="G431" s="27">
        <v>12</v>
      </c>
      <c r="H431" s="27">
        <v>2003</v>
      </c>
      <c r="I431" s="27" t="s">
        <v>104</v>
      </c>
      <c r="J431" s="25">
        <v>116</v>
      </c>
      <c r="K431" s="25">
        <f>Sales!$B431-Sales!$J431</f>
        <v>-16</v>
      </c>
      <c r="L431" s="28">
        <f>(Sales!$J431-Sales!$B431)/Sales!$J431</f>
        <v>0.13793103448275862</v>
      </c>
      <c r="M431" s="28" t="str">
        <f t="shared" si="6"/>
        <v>10%-15%</v>
      </c>
      <c r="N431" s="27" t="s">
        <v>55</v>
      </c>
      <c r="O431" s="27" t="s">
        <v>56</v>
      </c>
      <c r="P431" s="27" t="s">
        <v>13</v>
      </c>
      <c r="Q431" s="27" t="s">
        <v>19</v>
      </c>
    </row>
    <row r="432" spans="1:17" x14ac:dyDescent="0.3">
      <c r="A432" s="22">
        <v>46</v>
      </c>
      <c r="B432" s="19">
        <v>100</v>
      </c>
      <c r="C432" s="20">
        <f>Sales!$B432*Sales!$A432</f>
        <v>4600</v>
      </c>
      <c r="D432" s="21">
        <v>38015</v>
      </c>
      <c r="E432" s="22" t="s">
        <v>9</v>
      </c>
      <c r="F432" s="22">
        <v>1</v>
      </c>
      <c r="G432" s="22">
        <v>1</v>
      </c>
      <c r="H432" s="22">
        <v>2004</v>
      </c>
      <c r="I432" s="22" t="s">
        <v>104</v>
      </c>
      <c r="J432" s="20">
        <v>116</v>
      </c>
      <c r="K432" s="20">
        <f>Sales!$B432-Sales!$J432</f>
        <v>-16</v>
      </c>
      <c r="L432" s="23">
        <f>(Sales!$J432-Sales!$B432)/Sales!$J432</f>
        <v>0.13793103448275862</v>
      </c>
      <c r="M432" s="23" t="str">
        <f t="shared" si="6"/>
        <v>10%-15%</v>
      </c>
      <c r="N432" s="22" t="s">
        <v>57</v>
      </c>
      <c r="O432" s="22" t="s">
        <v>12</v>
      </c>
      <c r="P432" s="22" t="s">
        <v>13</v>
      </c>
      <c r="Q432" s="22" t="s">
        <v>19</v>
      </c>
    </row>
    <row r="433" spans="1:17" x14ac:dyDescent="0.3">
      <c r="A433" s="27">
        <v>32</v>
      </c>
      <c r="B433" s="24">
        <v>100</v>
      </c>
      <c r="C433" s="25">
        <f>Sales!$B433*Sales!$A433</f>
        <v>3200</v>
      </c>
      <c r="D433" s="26">
        <v>38056</v>
      </c>
      <c r="E433" s="27" t="s">
        <v>9</v>
      </c>
      <c r="F433" s="27">
        <v>1</v>
      </c>
      <c r="G433" s="27">
        <v>3</v>
      </c>
      <c r="H433" s="27">
        <v>2004</v>
      </c>
      <c r="I433" s="27" t="s">
        <v>104</v>
      </c>
      <c r="J433" s="25">
        <v>116</v>
      </c>
      <c r="K433" s="25">
        <f>Sales!$B433-Sales!$J433</f>
        <v>-16</v>
      </c>
      <c r="L433" s="28">
        <f>(Sales!$J433-Sales!$B433)/Sales!$J433</f>
        <v>0.13793103448275862</v>
      </c>
      <c r="M433" s="28" t="str">
        <f t="shared" si="6"/>
        <v>10%-15%</v>
      </c>
      <c r="N433" s="27" t="s">
        <v>32</v>
      </c>
      <c r="O433" s="27" t="s">
        <v>12</v>
      </c>
      <c r="P433" s="27" t="s">
        <v>13</v>
      </c>
      <c r="Q433" s="27" t="s">
        <v>19</v>
      </c>
    </row>
    <row r="434" spans="1:17" x14ac:dyDescent="0.3">
      <c r="A434" s="22">
        <v>29</v>
      </c>
      <c r="B434" s="19">
        <v>100</v>
      </c>
      <c r="C434" s="20">
        <f>Sales!$B434*Sales!$A434</f>
        <v>2900</v>
      </c>
      <c r="D434" s="21">
        <v>38111</v>
      </c>
      <c r="E434" s="22" t="s">
        <v>9</v>
      </c>
      <c r="F434" s="22">
        <v>2</v>
      </c>
      <c r="G434" s="22">
        <v>5</v>
      </c>
      <c r="H434" s="22">
        <v>2004</v>
      </c>
      <c r="I434" s="22" t="s">
        <v>104</v>
      </c>
      <c r="J434" s="20">
        <v>116</v>
      </c>
      <c r="K434" s="20">
        <f>Sales!$B434-Sales!$J434</f>
        <v>-16</v>
      </c>
      <c r="L434" s="23">
        <f>(Sales!$J434-Sales!$B434)/Sales!$J434</f>
        <v>0.13793103448275862</v>
      </c>
      <c r="M434" s="23" t="str">
        <f t="shared" si="6"/>
        <v>10%-15%</v>
      </c>
      <c r="N434" s="22" t="s">
        <v>58</v>
      </c>
      <c r="O434" s="22" t="s">
        <v>12</v>
      </c>
      <c r="P434" s="22" t="s">
        <v>13</v>
      </c>
      <c r="Q434" s="22" t="s">
        <v>19</v>
      </c>
    </row>
    <row r="435" spans="1:17" x14ac:dyDescent="0.3">
      <c r="A435" s="27">
        <v>41</v>
      </c>
      <c r="B435" s="24">
        <v>100</v>
      </c>
      <c r="C435" s="25">
        <f>Sales!$B435*Sales!$A435</f>
        <v>4100</v>
      </c>
      <c r="D435" s="26">
        <v>38153</v>
      </c>
      <c r="E435" s="27" t="s">
        <v>9</v>
      </c>
      <c r="F435" s="27">
        <v>2</v>
      </c>
      <c r="G435" s="27">
        <v>6</v>
      </c>
      <c r="H435" s="27">
        <v>2004</v>
      </c>
      <c r="I435" s="27" t="s">
        <v>104</v>
      </c>
      <c r="J435" s="25">
        <v>116</v>
      </c>
      <c r="K435" s="25">
        <f>Sales!$B435-Sales!$J435</f>
        <v>-16</v>
      </c>
      <c r="L435" s="28">
        <f>(Sales!$J435-Sales!$B435)/Sales!$J435</f>
        <v>0.13793103448275862</v>
      </c>
      <c r="M435" s="28" t="str">
        <f t="shared" si="6"/>
        <v>10%-15%</v>
      </c>
      <c r="N435" s="27" t="s">
        <v>59</v>
      </c>
      <c r="O435" s="27" t="s">
        <v>51</v>
      </c>
      <c r="P435" s="27" t="s">
        <v>51</v>
      </c>
      <c r="Q435" s="27" t="s">
        <v>19</v>
      </c>
    </row>
    <row r="436" spans="1:17" x14ac:dyDescent="0.3">
      <c r="A436" s="22">
        <v>43</v>
      </c>
      <c r="B436" s="19">
        <v>96.84</v>
      </c>
      <c r="C436" s="20">
        <f>Sales!$B436*Sales!$A436</f>
        <v>4164.12</v>
      </c>
      <c r="D436" s="21">
        <v>38187</v>
      </c>
      <c r="E436" s="22" t="s">
        <v>9</v>
      </c>
      <c r="F436" s="22">
        <v>3</v>
      </c>
      <c r="G436" s="22">
        <v>7</v>
      </c>
      <c r="H436" s="22">
        <v>2004</v>
      </c>
      <c r="I436" s="22" t="s">
        <v>104</v>
      </c>
      <c r="J436" s="20">
        <v>116</v>
      </c>
      <c r="K436" s="20">
        <f>Sales!$B436-Sales!$J436</f>
        <v>-19.159999999999997</v>
      </c>
      <c r="L436" s="23">
        <f>(Sales!$J436-Sales!$B436)/Sales!$J436</f>
        <v>0.16517241379310341</v>
      </c>
      <c r="M436" s="23" t="str">
        <f t="shared" si="6"/>
        <v>15%-20%</v>
      </c>
      <c r="N436" s="22" t="s">
        <v>40</v>
      </c>
      <c r="O436" s="22" t="s">
        <v>27</v>
      </c>
      <c r="P436" s="22" t="s">
        <v>28</v>
      </c>
      <c r="Q436" s="22" t="s">
        <v>19</v>
      </c>
    </row>
    <row r="437" spans="1:17" x14ac:dyDescent="0.3">
      <c r="A437" s="27">
        <v>24</v>
      </c>
      <c r="B437" s="24">
        <v>100</v>
      </c>
      <c r="C437" s="25">
        <f>Sales!$B437*Sales!$A437</f>
        <v>2400</v>
      </c>
      <c r="D437" s="26">
        <v>38216</v>
      </c>
      <c r="E437" s="27" t="s">
        <v>9</v>
      </c>
      <c r="F437" s="27">
        <v>3</v>
      </c>
      <c r="G437" s="27">
        <v>8</v>
      </c>
      <c r="H437" s="27">
        <v>2004</v>
      </c>
      <c r="I437" s="27" t="s">
        <v>104</v>
      </c>
      <c r="J437" s="25">
        <v>116</v>
      </c>
      <c r="K437" s="25">
        <f>Sales!$B437-Sales!$J437</f>
        <v>-16</v>
      </c>
      <c r="L437" s="28">
        <f>(Sales!$J437-Sales!$B437)/Sales!$J437</f>
        <v>0.13793103448275862</v>
      </c>
      <c r="M437" s="28" t="str">
        <f t="shared" si="6"/>
        <v>10%-15%</v>
      </c>
      <c r="N437" s="27" t="s">
        <v>60</v>
      </c>
      <c r="O437" s="27" t="s">
        <v>61</v>
      </c>
      <c r="P437" s="27" t="s">
        <v>17</v>
      </c>
      <c r="Q437" s="27" t="s">
        <v>14</v>
      </c>
    </row>
    <row r="438" spans="1:17" x14ac:dyDescent="0.3">
      <c r="A438" s="22">
        <v>41</v>
      </c>
      <c r="B438" s="19">
        <v>100</v>
      </c>
      <c r="C438" s="20">
        <f>Sales!$B438*Sales!$A438</f>
        <v>4100</v>
      </c>
      <c r="D438" s="21">
        <v>38238</v>
      </c>
      <c r="E438" s="22" t="s">
        <v>9</v>
      </c>
      <c r="F438" s="22">
        <v>3</v>
      </c>
      <c r="G438" s="22">
        <v>9</v>
      </c>
      <c r="H438" s="22">
        <v>2004</v>
      </c>
      <c r="I438" s="22" t="s">
        <v>104</v>
      </c>
      <c r="J438" s="20">
        <v>116</v>
      </c>
      <c r="K438" s="20">
        <f>Sales!$B438-Sales!$J438</f>
        <v>-16</v>
      </c>
      <c r="L438" s="23">
        <f>(Sales!$J438-Sales!$B438)/Sales!$J438</f>
        <v>0.13793103448275862</v>
      </c>
      <c r="M438" s="23" t="str">
        <f t="shared" si="6"/>
        <v>10%-15%</v>
      </c>
      <c r="N438" s="22" t="s">
        <v>62</v>
      </c>
      <c r="O438" s="22" t="s">
        <v>49</v>
      </c>
      <c r="P438" s="22" t="s">
        <v>17</v>
      </c>
      <c r="Q438" s="22" t="s">
        <v>19</v>
      </c>
    </row>
    <row r="439" spans="1:17" x14ac:dyDescent="0.3">
      <c r="A439" s="27">
        <v>46</v>
      </c>
      <c r="B439" s="24">
        <v>98</v>
      </c>
      <c r="C439" s="25">
        <f>Sales!$B439*Sales!$A439</f>
        <v>4508</v>
      </c>
      <c r="D439" s="26">
        <v>38271</v>
      </c>
      <c r="E439" s="27" t="s">
        <v>9</v>
      </c>
      <c r="F439" s="27">
        <v>4</v>
      </c>
      <c r="G439" s="27">
        <v>10</v>
      </c>
      <c r="H439" s="27">
        <v>2004</v>
      </c>
      <c r="I439" s="27" t="s">
        <v>104</v>
      </c>
      <c r="J439" s="25">
        <v>116</v>
      </c>
      <c r="K439" s="25">
        <f>Sales!$B439-Sales!$J439</f>
        <v>-18</v>
      </c>
      <c r="L439" s="28">
        <f>(Sales!$J439-Sales!$B439)/Sales!$J439</f>
        <v>0.15517241379310345</v>
      </c>
      <c r="M439" s="28" t="str">
        <f t="shared" si="6"/>
        <v>15%-20%</v>
      </c>
      <c r="N439" s="27" t="s">
        <v>63</v>
      </c>
      <c r="O439" s="27" t="s">
        <v>16</v>
      </c>
      <c r="P439" s="27" t="s">
        <v>17</v>
      </c>
      <c r="Q439" s="27" t="s">
        <v>19</v>
      </c>
    </row>
    <row r="440" spans="1:17" x14ac:dyDescent="0.3">
      <c r="A440" s="22">
        <v>32</v>
      </c>
      <c r="B440" s="19">
        <v>100</v>
      </c>
      <c r="C440" s="20">
        <f>Sales!$B440*Sales!$A440</f>
        <v>3200</v>
      </c>
      <c r="D440" s="21">
        <v>38281</v>
      </c>
      <c r="E440" s="22" t="s">
        <v>9</v>
      </c>
      <c r="F440" s="22">
        <v>4</v>
      </c>
      <c r="G440" s="22">
        <v>10</v>
      </c>
      <c r="H440" s="22">
        <v>2004</v>
      </c>
      <c r="I440" s="22" t="s">
        <v>104</v>
      </c>
      <c r="J440" s="20">
        <v>116</v>
      </c>
      <c r="K440" s="20">
        <f>Sales!$B440-Sales!$J440</f>
        <v>-16</v>
      </c>
      <c r="L440" s="23">
        <f>(Sales!$J440-Sales!$B440)/Sales!$J440</f>
        <v>0.13793103448275862</v>
      </c>
      <c r="M440" s="23" t="str">
        <f t="shared" si="6"/>
        <v>10%-15%</v>
      </c>
      <c r="N440" s="22" t="s">
        <v>64</v>
      </c>
      <c r="O440" s="22" t="s">
        <v>12</v>
      </c>
      <c r="P440" s="22" t="s">
        <v>13</v>
      </c>
      <c r="Q440" s="22" t="s">
        <v>19</v>
      </c>
    </row>
    <row r="441" spans="1:17" x14ac:dyDescent="0.3">
      <c r="A441" s="27">
        <v>22</v>
      </c>
      <c r="B441" s="24">
        <v>100</v>
      </c>
      <c r="C441" s="25">
        <f>Sales!$B441*Sales!$A441</f>
        <v>2200</v>
      </c>
      <c r="D441" s="26">
        <v>38295</v>
      </c>
      <c r="E441" s="27" t="s">
        <v>9</v>
      </c>
      <c r="F441" s="27">
        <v>4</v>
      </c>
      <c r="G441" s="27">
        <v>11</v>
      </c>
      <c r="H441" s="27">
        <v>2004</v>
      </c>
      <c r="I441" s="27" t="s">
        <v>104</v>
      </c>
      <c r="J441" s="25">
        <v>116</v>
      </c>
      <c r="K441" s="25">
        <f>Sales!$B441-Sales!$J441</f>
        <v>-16</v>
      </c>
      <c r="L441" s="28">
        <f>(Sales!$J441-Sales!$B441)/Sales!$J441</f>
        <v>0.13793103448275862</v>
      </c>
      <c r="M441" s="28" t="str">
        <f t="shared" si="6"/>
        <v>10%-15%</v>
      </c>
      <c r="N441" s="27" t="s">
        <v>65</v>
      </c>
      <c r="O441" s="27" t="s">
        <v>12</v>
      </c>
      <c r="P441" s="27" t="s">
        <v>13</v>
      </c>
      <c r="Q441" s="27" t="s">
        <v>14</v>
      </c>
    </row>
    <row r="442" spans="1:17" x14ac:dyDescent="0.3">
      <c r="A442" s="22">
        <v>29</v>
      </c>
      <c r="B442" s="19">
        <v>40.25</v>
      </c>
      <c r="C442" s="20">
        <f>Sales!$B442*Sales!$A442</f>
        <v>1167.25</v>
      </c>
      <c r="D442" s="21">
        <v>38309</v>
      </c>
      <c r="E442" s="22" t="s">
        <v>9</v>
      </c>
      <c r="F442" s="22">
        <v>4</v>
      </c>
      <c r="G442" s="22">
        <v>11</v>
      </c>
      <c r="H442" s="22">
        <v>2004</v>
      </c>
      <c r="I442" s="22" t="s">
        <v>104</v>
      </c>
      <c r="J442" s="20">
        <v>116</v>
      </c>
      <c r="K442" s="20">
        <f>Sales!$B442-Sales!$J442</f>
        <v>-75.75</v>
      </c>
      <c r="L442" s="23">
        <f>(Sales!$J442-Sales!$B442)/Sales!$J442</f>
        <v>0.65301724137931039</v>
      </c>
      <c r="M442" s="23" t="str">
        <f t="shared" si="6"/>
        <v>+20%</v>
      </c>
      <c r="N442" s="22" t="s">
        <v>21</v>
      </c>
      <c r="O442" s="22" t="s">
        <v>12</v>
      </c>
      <c r="P442" s="22" t="s">
        <v>13</v>
      </c>
      <c r="Q442" s="22" t="s">
        <v>14</v>
      </c>
    </row>
    <row r="443" spans="1:17" x14ac:dyDescent="0.3">
      <c r="A443" s="27">
        <v>42</v>
      </c>
      <c r="B443" s="24">
        <v>49.6</v>
      </c>
      <c r="C443" s="25">
        <f>Sales!$B443*Sales!$A443</f>
        <v>2083.2000000000003</v>
      </c>
      <c r="D443" s="26">
        <v>38320</v>
      </c>
      <c r="E443" s="27" t="s">
        <v>9</v>
      </c>
      <c r="F443" s="27">
        <v>4</v>
      </c>
      <c r="G443" s="27">
        <v>11</v>
      </c>
      <c r="H443" s="27">
        <v>2004</v>
      </c>
      <c r="I443" s="27" t="s">
        <v>104</v>
      </c>
      <c r="J443" s="25">
        <v>116</v>
      </c>
      <c r="K443" s="25">
        <f>Sales!$B443-Sales!$J443</f>
        <v>-66.400000000000006</v>
      </c>
      <c r="L443" s="28">
        <f>(Sales!$J443-Sales!$B443)/Sales!$J443</f>
        <v>0.57241379310344831</v>
      </c>
      <c r="M443" s="28" t="str">
        <f t="shared" si="6"/>
        <v>+20%</v>
      </c>
      <c r="N443" s="27" t="s">
        <v>26</v>
      </c>
      <c r="O443" s="27" t="s">
        <v>27</v>
      </c>
      <c r="P443" s="27" t="s">
        <v>28</v>
      </c>
      <c r="Q443" s="27" t="s">
        <v>14</v>
      </c>
    </row>
    <row r="444" spans="1:17" x14ac:dyDescent="0.3">
      <c r="A444" s="22">
        <v>39</v>
      </c>
      <c r="B444" s="19">
        <v>98</v>
      </c>
      <c r="C444" s="20">
        <f>Sales!$B444*Sales!$A444</f>
        <v>3822</v>
      </c>
      <c r="D444" s="21">
        <v>38331</v>
      </c>
      <c r="E444" s="22" t="s">
        <v>9</v>
      </c>
      <c r="F444" s="22">
        <v>4</v>
      </c>
      <c r="G444" s="22">
        <v>12</v>
      </c>
      <c r="H444" s="22">
        <v>2004</v>
      </c>
      <c r="I444" s="22" t="s">
        <v>104</v>
      </c>
      <c r="J444" s="20">
        <v>116</v>
      </c>
      <c r="K444" s="20">
        <f>Sales!$B444-Sales!$J444</f>
        <v>-18</v>
      </c>
      <c r="L444" s="23">
        <f>(Sales!$J444-Sales!$B444)/Sales!$J444</f>
        <v>0.15517241379310345</v>
      </c>
      <c r="M444" s="23" t="str">
        <f t="shared" si="6"/>
        <v>15%-20%</v>
      </c>
      <c r="N444" s="22" t="s">
        <v>64</v>
      </c>
      <c r="O444" s="22" t="s">
        <v>12</v>
      </c>
      <c r="P444" s="22" t="s">
        <v>13</v>
      </c>
      <c r="Q444" s="22" t="s">
        <v>19</v>
      </c>
    </row>
    <row r="445" spans="1:17" x14ac:dyDescent="0.3">
      <c r="A445" s="27">
        <v>27</v>
      </c>
      <c r="B445" s="24">
        <v>100</v>
      </c>
      <c r="C445" s="25">
        <f>Sales!$B445*Sales!$A445</f>
        <v>2700</v>
      </c>
      <c r="D445" s="26">
        <v>38372</v>
      </c>
      <c r="E445" s="27" t="s">
        <v>9</v>
      </c>
      <c r="F445" s="27">
        <v>1</v>
      </c>
      <c r="G445" s="27">
        <v>1</v>
      </c>
      <c r="H445" s="27">
        <v>2005</v>
      </c>
      <c r="I445" s="27" t="s">
        <v>104</v>
      </c>
      <c r="J445" s="25">
        <v>116</v>
      </c>
      <c r="K445" s="25">
        <f>Sales!$B445-Sales!$J445</f>
        <v>-16</v>
      </c>
      <c r="L445" s="28">
        <f>(Sales!$J445-Sales!$B445)/Sales!$J445</f>
        <v>0.13793103448275862</v>
      </c>
      <c r="M445" s="28" t="str">
        <f t="shared" si="6"/>
        <v>10%-15%</v>
      </c>
      <c r="N445" s="27" t="s">
        <v>67</v>
      </c>
      <c r="O445" s="27" t="s">
        <v>27</v>
      </c>
      <c r="P445" s="27" t="s">
        <v>28</v>
      </c>
      <c r="Q445" s="27" t="s">
        <v>19</v>
      </c>
    </row>
    <row r="446" spans="1:17" x14ac:dyDescent="0.3">
      <c r="A446" s="22">
        <v>48</v>
      </c>
      <c r="B446" s="19">
        <v>98</v>
      </c>
      <c r="C446" s="20">
        <f>Sales!$B446*Sales!$A446</f>
        <v>4704</v>
      </c>
      <c r="D446" s="21">
        <v>38400</v>
      </c>
      <c r="E446" s="22" t="s">
        <v>9</v>
      </c>
      <c r="F446" s="22">
        <v>1</v>
      </c>
      <c r="G446" s="22">
        <v>2</v>
      </c>
      <c r="H446" s="22">
        <v>2005</v>
      </c>
      <c r="I446" s="22" t="s">
        <v>104</v>
      </c>
      <c r="J446" s="20">
        <v>116</v>
      </c>
      <c r="K446" s="20">
        <f>Sales!$B446-Sales!$J446</f>
        <v>-18</v>
      </c>
      <c r="L446" s="23">
        <f>(Sales!$J446-Sales!$B446)/Sales!$J446</f>
        <v>0.15517241379310345</v>
      </c>
      <c r="M446" s="23" t="str">
        <f t="shared" si="6"/>
        <v>15%-20%</v>
      </c>
      <c r="N446" s="22" t="s">
        <v>21</v>
      </c>
      <c r="O446" s="22" t="s">
        <v>12</v>
      </c>
      <c r="P446" s="22" t="s">
        <v>13</v>
      </c>
      <c r="Q446" s="22" t="s">
        <v>19</v>
      </c>
    </row>
    <row r="447" spans="1:17" x14ac:dyDescent="0.3">
      <c r="A447" s="27">
        <v>29</v>
      </c>
      <c r="B447" s="24">
        <v>85.1</v>
      </c>
      <c r="C447" s="25">
        <f>Sales!$B447*Sales!$A447</f>
        <v>2467.8999999999996</v>
      </c>
      <c r="D447" s="26">
        <v>38420</v>
      </c>
      <c r="E447" s="27" t="s">
        <v>9</v>
      </c>
      <c r="F447" s="27">
        <v>1</v>
      </c>
      <c r="G447" s="27">
        <v>3</v>
      </c>
      <c r="H447" s="27">
        <v>2005</v>
      </c>
      <c r="I447" s="27" t="s">
        <v>104</v>
      </c>
      <c r="J447" s="25">
        <v>116</v>
      </c>
      <c r="K447" s="25">
        <f>Sales!$B447-Sales!$J447</f>
        <v>-30.900000000000006</v>
      </c>
      <c r="L447" s="28">
        <f>(Sales!$J447-Sales!$B447)/Sales!$J447</f>
        <v>0.26637931034482765</v>
      </c>
      <c r="M447" s="28" t="str">
        <f t="shared" si="6"/>
        <v>+20%</v>
      </c>
      <c r="N447" s="27" t="s">
        <v>67</v>
      </c>
      <c r="O447" s="27" t="s">
        <v>27</v>
      </c>
      <c r="P447" s="27" t="s">
        <v>28</v>
      </c>
      <c r="Q447" s="27" t="s">
        <v>14</v>
      </c>
    </row>
    <row r="448" spans="1:17" x14ac:dyDescent="0.3">
      <c r="A448" s="22">
        <v>27</v>
      </c>
      <c r="B448" s="19">
        <v>100</v>
      </c>
      <c r="C448" s="20">
        <f>Sales!$B448*Sales!$A448</f>
        <v>2700</v>
      </c>
      <c r="D448" s="21">
        <v>38473</v>
      </c>
      <c r="E448" s="22" t="s">
        <v>9</v>
      </c>
      <c r="F448" s="22">
        <v>2</v>
      </c>
      <c r="G448" s="22">
        <v>5</v>
      </c>
      <c r="H448" s="22">
        <v>2005</v>
      </c>
      <c r="I448" s="22" t="s">
        <v>104</v>
      </c>
      <c r="J448" s="20">
        <v>116</v>
      </c>
      <c r="K448" s="20">
        <f>Sales!$B448-Sales!$J448</f>
        <v>-16</v>
      </c>
      <c r="L448" s="23">
        <f>(Sales!$J448-Sales!$B448)/Sales!$J448</f>
        <v>0.13793103448275862</v>
      </c>
      <c r="M448" s="23" t="str">
        <f t="shared" si="6"/>
        <v>10%-15%</v>
      </c>
      <c r="N448" s="22" t="s">
        <v>68</v>
      </c>
      <c r="O448" s="22" t="s">
        <v>56</v>
      </c>
      <c r="P448" s="22" t="s">
        <v>13</v>
      </c>
      <c r="Q448" s="22" t="s">
        <v>19</v>
      </c>
    </row>
    <row r="449" spans="1:17" x14ac:dyDescent="0.3">
      <c r="A449" s="27">
        <v>54</v>
      </c>
      <c r="B449" s="24">
        <v>100</v>
      </c>
      <c r="C449" s="25">
        <f>Sales!$B449*Sales!$A449</f>
        <v>5400</v>
      </c>
      <c r="D449" s="26">
        <v>38503</v>
      </c>
      <c r="E449" s="27" t="s">
        <v>69</v>
      </c>
      <c r="F449" s="27">
        <v>2</v>
      </c>
      <c r="G449" s="27">
        <v>5</v>
      </c>
      <c r="H449" s="27">
        <v>2005</v>
      </c>
      <c r="I449" s="27" t="s">
        <v>104</v>
      </c>
      <c r="J449" s="25">
        <v>116</v>
      </c>
      <c r="K449" s="25">
        <f>Sales!$B449-Sales!$J449</f>
        <v>-16</v>
      </c>
      <c r="L449" s="28">
        <f>(Sales!$J449-Sales!$B449)/Sales!$J449</f>
        <v>0.13793103448275862</v>
      </c>
      <c r="M449" s="28" t="str">
        <f t="shared" si="6"/>
        <v>10%-15%</v>
      </c>
      <c r="N449" s="27" t="s">
        <v>45</v>
      </c>
      <c r="O449" s="27" t="s">
        <v>46</v>
      </c>
      <c r="P449" s="27" t="s">
        <v>17</v>
      </c>
      <c r="Q449" s="27" t="s">
        <v>39</v>
      </c>
    </row>
    <row r="450" spans="1:17" x14ac:dyDescent="0.3">
      <c r="A450" s="22">
        <v>26</v>
      </c>
      <c r="B450" s="19">
        <v>100</v>
      </c>
      <c r="C450" s="20">
        <f>Sales!$B450*Sales!$A450</f>
        <v>2600</v>
      </c>
      <c r="D450" s="21">
        <v>37690</v>
      </c>
      <c r="E450" s="22" t="s">
        <v>9</v>
      </c>
      <c r="F450" s="22">
        <v>1</v>
      </c>
      <c r="G450" s="22">
        <v>3</v>
      </c>
      <c r="H450" s="22">
        <v>2003</v>
      </c>
      <c r="I450" s="22" t="s">
        <v>47</v>
      </c>
      <c r="J450" s="20">
        <v>141</v>
      </c>
      <c r="K450" s="20">
        <f>Sales!$B450-Sales!$J450</f>
        <v>-41</v>
      </c>
      <c r="L450" s="23">
        <f>(Sales!$J450-Sales!$B450)/Sales!$J450</f>
        <v>0.29078014184397161</v>
      </c>
      <c r="M450" s="23" t="str">
        <f t="shared" si="6"/>
        <v>+20%</v>
      </c>
      <c r="N450" s="22" t="s">
        <v>53</v>
      </c>
      <c r="O450" s="22" t="s">
        <v>12</v>
      </c>
      <c r="P450" s="22" t="s">
        <v>13</v>
      </c>
      <c r="Q450" s="22" t="s">
        <v>19</v>
      </c>
    </row>
    <row r="451" spans="1:17" x14ac:dyDescent="0.3">
      <c r="A451" s="27">
        <v>34</v>
      </c>
      <c r="B451" s="24">
        <v>100</v>
      </c>
      <c r="C451" s="25">
        <f>Sales!$B451*Sales!$A451</f>
        <v>3400</v>
      </c>
      <c r="D451" s="26">
        <v>37749</v>
      </c>
      <c r="E451" s="27" t="s">
        <v>9</v>
      </c>
      <c r="F451" s="27">
        <v>2</v>
      </c>
      <c r="G451" s="27">
        <v>5</v>
      </c>
      <c r="H451" s="27">
        <v>2003</v>
      </c>
      <c r="I451" s="27" t="s">
        <v>47</v>
      </c>
      <c r="J451" s="25">
        <v>141</v>
      </c>
      <c r="K451" s="25">
        <f>Sales!$B451-Sales!$J451</f>
        <v>-41</v>
      </c>
      <c r="L451" s="28">
        <f>(Sales!$J451-Sales!$B451)/Sales!$J451</f>
        <v>0.29078014184397161</v>
      </c>
      <c r="M451" s="28" t="str">
        <f t="shared" ref="M451:M514" si="7">IF(L451&lt;0%,"Below 0%",IF(L451=0%,"0%",IF(AND(L451&lt;=5%,L451&gt;0%),"0%-5%",IF(AND(L451&lt;=10%,L451&gt;5%),"5%-10%",IF(AND(L451&lt;=15%,L451&gt;10%),"10%-15%",IF(AND(L451&lt;=20%,L451&gt;15%),"15%-20%","+20%"))))))</f>
        <v>+20%</v>
      </c>
      <c r="N451" s="27" t="s">
        <v>92</v>
      </c>
      <c r="O451" s="27" t="s">
        <v>16</v>
      </c>
      <c r="P451" s="27" t="s">
        <v>17</v>
      </c>
      <c r="Q451" s="27" t="s">
        <v>19</v>
      </c>
    </row>
    <row r="452" spans="1:17" x14ac:dyDescent="0.3">
      <c r="A452" s="22">
        <v>25</v>
      </c>
      <c r="B452" s="19">
        <v>100</v>
      </c>
      <c r="C452" s="20">
        <f>Sales!$B452*Sales!$A452</f>
        <v>2500</v>
      </c>
      <c r="D452" s="21">
        <v>37806</v>
      </c>
      <c r="E452" s="22" t="s">
        <v>9</v>
      </c>
      <c r="F452" s="22">
        <v>3</v>
      </c>
      <c r="G452" s="22">
        <v>7</v>
      </c>
      <c r="H452" s="22">
        <v>2003</v>
      </c>
      <c r="I452" s="22" t="s">
        <v>47</v>
      </c>
      <c r="J452" s="20">
        <v>141</v>
      </c>
      <c r="K452" s="20">
        <f>Sales!$B452-Sales!$J452</f>
        <v>-41</v>
      </c>
      <c r="L452" s="23">
        <f>(Sales!$J452-Sales!$B452)/Sales!$J452</f>
        <v>0.29078014184397161</v>
      </c>
      <c r="M452" s="23" t="str">
        <f t="shared" si="7"/>
        <v>+20%</v>
      </c>
      <c r="N452" s="22" t="s">
        <v>76</v>
      </c>
      <c r="O452" s="22" t="s">
        <v>16</v>
      </c>
      <c r="P452" s="22" t="s">
        <v>17</v>
      </c>
      <c r="Q452" s="22" t="s">
        <v>19</v>
      </c>
    </row>
    <row r="453" spans="1:17" x14ac:dyDescent="0.3">
      <c r="A453" s="27">
        <v>23</v>
      </c>
      <c r="B453" s="24">
        <v>100</v>
      </c>
      <c r="C453" s="25">
        <f>Sales!$B453*Sales!$A453</f>
        <v>2300</v>
      </c>
      <c r="D453" s="26">
        <v>37875</v>
      </c>
      <c r="E453" s="27" t="s">
        <v>9</v>
      </c>
      <c r="F453" s="27">
        <v>3</v>
      </c>
      <c r="G453" s="27">
        <v>9</v>
      </c>
      <c r="H453" s="27">
        <v>2003</v>
      </c>
      <c r="I453" s="27" t="s">
        <v>47</v>
      </c>
      <c r="J453" s="25">
        <v>141</v>
      </c>
      <c r="K453" s="25">
        <f>Sales!$B453-Sales!$J453</f>
        <v>-41</v>
      </c>
      <c r="L453" s="28">
        <f>(Sales!$J453-Sales!$B453)/Sales!$J453</f>
        <v>0.29078014184397161</v>
      </c>
      <c r="M453" s="28" t="str">
        <f t="shared" si="7"/>
        <v>+20%</v>
      </c>
      <c r="N453" s="27" t="s">
        <v>67</v>
      </c>
      <c r="O453" s="27" t="s">
        <v>27</v>
      </c>
      <c r="P453" s="27" t="s">
        <v>28</v>
      </c>
      <c r="Q453" s="27" t="s">
        <v>14</v>
      </c>
    </row>
    <row r="454" spans="1:17" x14ac:dyDescent="0.3">
      <c r="A454" s="22">
        <v>28</v>
      </c>
      <c r="B454" s="19">
        <v>100</v>
      </c>
      <c r="C454" s="20">
        <f>Sales!$B454*Sales!$A454</f>
        <v>2800</v>
      </c>
      <c r="D454" s="21">
        <v>37911</v>
      </c>
      <c r="E454" s="22" t="s">
        <v>9</v>
      </c>
      <c r="F454" s="22">
        <v>4</v>
      </c>
      <c r="G454" s="22">
        <v>10</v>
      </c>
      <c r="H454" s="22">
        <v>2003</v>
      </c>
      <c r="I454" s="22" t="s">
        <v>47</v>
      </c>
      <c r="J454" s="20">
        <v>141</v>
      </c>
      <c r="K454" s="20">
        <f>Sales!$B454-Sales!$J454</f>
        <v>-41</v>
      </c>
      <c r="L454" s="23">
        <f>(Sales!$J454-Sales!$B454)/Sales!$J454</f>
        <v>0.29078014184397161</v>
      </c>
      <c r="M454" s="23" t="str">
        <f t="shared" si="7"/>
        <v>+20%</v>
      </c>
      <c r="N454" s="22" t="s">
        <v>103</v>
      </c>
      <c r="O454" s="22" t="s">
        <v>73</v>
      </c>
      <c r="P454" s="22" t="s">
        <v>17</v>
      </c>
      <c r="Q454" s="22" t="s">
        <v>19</v>
      </c>
    </row>
    <row r="455" spans="1:17" x14ac:dyDescent="0.3">
      <c r="A455" s="27">
        <v>35</v>
      </c>
      <c r="B455" s="24">
        <v>100</v>
      </c>
      <c r="C455" s="25">
        <f>Sales!$B455*Sales!$A455</f>
        <v>3500</v>
      </c>
      <c r="D455" s="26">
        <v>37930</v>
      </c>
      <c r="E455" s="27" t="s">
        <v>9</v>
      </c>
      <c r="F455" s="27">
        <v>4</v>
      </c>
      <c r="G455" s="27">
        <v>11</v>
      </c>
      <c r="H455" s="27">
        <v>2003</v>
      </c>
      <c r="I455" s="27" t="s">
        <v>47</v>
      </c>
      <c r="J455" s="25">
        <v>141</v>
      </c>
      <c r="K455" s="25">
        <f>Sales!$B455-Sales!$J455</f>
        <v>-41</v>
      </c>
      <c r="L455" s="28">
        <f>(Sales!$J455-Sales!$B455)/Sales!$J455</f>
        <v>0.29078014184397161</v>
      </c>
      <c r="M455" s="28" t="str">
        <f t="shared" si="7"/>
        <v>+20%</v>
      </c>
      <c r="N455" s="27" t="s">
        <v>68</v>
      </c>
      <c r="O455" s="27" t="s">
        <v>56</v>
      </c>
      <c r="P455" s="27" t="s">
        <v>13</v>
      </c>
      <c r="Q455" s="27" t="s">
        <v>19</v>
      </c>
    </row>
    <row r="456" spans="1:17" x14ac:dyDescent="0.3">
      <c r="A456" s="22">
        <v>44</v>
      </c>
      <c r="B456" s="19">
        <v>100</v>
      </c>
      <c r="C456" s="20">
        <f>Sales!$B456*Sales!$A456</f>
        <v>4400</v>
      </c>
      <c r="D456" s="21">
        <v>37937</v>
      </c>
      <c r="E456" s="22" t="s">
        <v>9</v>
      </c>
      <c r="F456" s="22">
        <v>4</v>
      </c>
      <c r="G456" s="22">
        <v>11</v>
      </c>
      <c r="H456" s="22">
        <v>2003</v>
      </c>
      <c r="I456" s="22" t="s">
        <v>47</v>
      </c>
      <c r="J456" s="20">
        <v>141</v>
      </c>
      <c r="K456" s="20">
        <f>Sales!$B456-Sales!$J456</f>
        <v>-41</v>
      </c>
      <c r="L456" s="23">
        <f>(Sales!$J456-Sales!$B456)/Sales!$J456</f>
        <v>0.29078014184397161</v>
      </c>
      <c r="M456" s="23" t="str">
        <f t="shared" si="7"/>
        <v>+20%</v>
      </c>
      <c r="N456" s="22" t="s">
        <v>24</v>
      </c>
      <c r="O456" s="22" t="s">
        <v>25</v>
      </c>
      <c r="P456" s="22" t="s">
        <v>17</v>
      </c>
      <c r="Q456" s="22" t="s">
        <v>19</v>
      </c>
    </row>
    <row r="457" spans="1:17" x14ac:dyDescent="0.3">
      <c r="A457" s="27">
        <v>22</v>
      </c>
      <c r="B457" s="24">
        <v>100</v>
      </c>
      <c r="C457" s="25">
        <f>Sales!$B457*Sales!$A457</f>
        <v>2200</v>
      </c>
      <c r="D457" s="26">
        <v>37945</v>
      </c>
      <c r="E457" s="27" t="s">
        <v>9</v>
      </c>
      <c r="F457" s="27">
        <v>4</v>
      </c>
      <c r="G457" s="27">
        <v>11</v>
      </c>
      <c r="H457" s="27">
        <v>2003</v>
      </c>
      <c r="I457" s="27" t="s">
        <v>47</v>
      </c>
      <c r="J457" s="25">
        <v>141</v>
      </c>
      <c r="K457" s="25">
        <f>Sales!$B457-Sales!$J457</f>
        <v>-41</v>
      </c>
      <c r="L457" s="28">
        <f>(Sales!$J457-Sales!$B457)/Sales!$J457</f>
        <v>0.29078014184397161</v>
      </c>
      <c r="M457" s="28" t="str">
        <f t="shared" si="7"/>
        <v>+20%</v>
      </c>
      <c r="N457" s="27" t="s">
        <v>65</v>
      </c>
      <c r="O457" s="27" t="s">
        <v>12</v>
      </c>
      <c r="P457" s="27" t="s">
        <v>13</v>
      </c>
      <c r="Q457" s="27" t="s">
        <v>19</v>
      </c>
    </row>
    <row r="458" spans="1:17" x14ac:dyDescent="0.3">
      <c r="A458" s="22">
        <v>42</v>
      </c>
      <c r="B458" s="19">
        <v>100</v>
      </c>
      <c r="C458" s="20">
        <f>Sales!$B458*Sales!$A458</f>
        <v>4200</v>
      </c>
      <c r="D458" s="21">
        <v>37957</v>
      </c>
      <c r="E458" s="22" t="s">
        <v>9</v>
      </c>
      <c r="F458" s="22">
        <v>4</v>
      </c>
      <c r="G458" s="22">
        <v>12</v>
      </c>
      <c r="H458" s="22">
        <v>2003</v>
      </c>
      <c r="I458" s="22" t="s">
        <v>47</v>
      </c>
      <c r="J458" s="20">
        <v>141</v>
      </c>
      <c r="K458" s="20">
        <f>Sales!$B458-Sales!$J458</f>
        <v>-41</v>
      </c>
      <c r="L458" s="23">
        <f>(Sales!$J458-Sales!$B458)/Sales!$J458</f>
        <v>0.29078014184397161</v>
      </c>
      <c r="M458" s="23" t="str">
        <f t="shared" si="7"/>
        <v>+20%</v>
      </c>
      <c r="N458" s="22" t="s">
        <v>11</v>
      </c>
      <c r="O458" s="22" t="s">
        <v>12</v>
      </c>
      <c r="P458" s="22" t="s">
        <v>13</v>
      </c>
      <c r="Q458" s="22" t="s">
        <v>19</v>
      </c>
    </row>
    <row r="459" spans="1:17" x14ac:dyDescent="0.3">
      <c r="A459" s="27">
        <v>29</v>
      </c>
      <c r="B459" s="24">
        <v>100</v>
      </c>
      <c r="C459" s="25">
        <f>Sales!$B459*Sales!$A459</f>
        <v>2900</v>
      </c>
      <c r="D459" s="26">
        <v>38002</v>
      </c>
      <c r="E459" s="27" t="s">
        <v>9</v>
      </c>
      <c r="F459" s="27">
        <v>1</v>
      </c>
      <c r="G459" s="27">
        <v>1</v>
      </c>
      <c r="H459" s="27">
        <v>2004</v>
      </c>
      <c r="I459" s="27" t="s">
        <v>47</v>
      </c>
      <c r="J459" s="25">
        <v>141</v>
      </c>
      <c r="K459" s="25">
        <f>Sales!$B459-Sales!$J459</f>
        <v>-41</v>
      </c>
      <c r="L459" s="28">
        <f>(Sales!$J459-Sales!$B459)/Sales!$J459</f>
        <v>0.29078014184397161</v>
      </c>
      <c r="M459" s="28" t="str">
        <f t="shared" si="7"/>
        <v>+20%</v>
      </c>
      <c r="N459" s="27" t="s">
        <v>45</v>
      </c>
      <c r="O459" s="27" t="s">
        <v>46</v>
      </c>
      <c r="P459" s="27" t="s">
        <v>17</v>
      </c>
      <c r="Q459" s="27" t="s">
        <v>19</v>
      </c>
    </row>
    <row r="460" spans="1:17" x14ac:dyDescent="0.3">
      <c r="A460" s="22">
        <v>32</v>
      </c>
      <c r="B460" s="19">
        <v>100</v>
      </c>
      <c r="C460" s="20">
        <f>Sales!$B460*Sales!$A460</f>
        <v>3200</v>
      </c>
      <c r="D460" s="21">
        <v>38039</v>
      </c>
      <c r="E460" s="22" t="s">
        <v>9</v>
      </c>
      <c r="F460" s="22">
        <v>1</v>
      </c>
      <c r="G460" s="22">
        <v>2</v>
      </c>
      <c r="H460" s="22">
        <v>2004</v>
      </c>
      <c r="I460" s="22" t="s">
        <v>47</v>
      </c>
      <c r="J460" s="20">
        <v>141</v>
      </c>
      <c r="K460" s="20">
        <f>Sales!$B460-Sales!$J460</f>
        <v>-41</v>
      </c>
      <c r="L460" s="23">
        <f>(Sales!$J460-Sales!$B460)/Sales!$J460</f>
        <v>0.29078014184397161</v>
      </c>
      <c r="M460" s="23" t="str">
        <f t="shared" si="7"/>
        <v>+20%</v>
      </c>
      <c r="N460" s="22" t="s">
        <v>95</v>
      </c>
      <c r="O460" s="22" t="s">
        <v>96</v>
      </c>
      <c r="P460" s="22" t="s">
        <v>17</v>
      </c>
      <c r="Q460" s="22" t="s">
        <v>19</v>
      </c>
    </row>
    <row r="461" spans="1:17" x14ac:dyDescent="0.3">
      <c r="A461" s="27">
        <v>41</v>
      </c>
      <c r="B461" s="24">
        <v>100</v>
      </c>
      <c r="C461" s="25">
        <f>Sales!$B461*Sales!$A461</f>
        <v>4100</v>
      </c>
      <c r="D461" s="26">
        <v>38090</v>
      </c>
      <c r="E461" s="27" t="s">
        <v>9</v>
      </c>
      <c r="F461" s="27">
        <v>2</v>
      </c>
      <c r="G461" s="27">
        <v>4</v>
      </c>
      <c r="H461" s="27">
        <v>2004</v>
      </c>
      <c r="I461" s="27" t="s">
        <v>47</v>
      </c>
      <c r="J461" s="25">
        <v>141</v>
      </c>
      <c r="K461" s="25">
        <f>Sales!$B461-Sales!$J461</f>
        <v>-41</v>
      </c>
      <c r="L461" s="28">
        <f>(Sales!$J461-Sales!$B461)/Sales!$J461</f>
        <v>0.29078014184397161</v>
      </c>
      <c r="M461" s="28" t="str">
        <f t="shared" si="7"/>
        <v>+20%</v>
      </c>
      <c r="N461" s="27" t="s">
        <v>70</v>
      </c>
      <c r="O461" s="27" t="s">
        <v>51</v>
      </c>
      <c r="P461" s="27" t="s">
        <v>51</v>
      </c>
      <c r="Q461" s="27" t="s">
        <v>19</v>
      </c>
    </row>
    <row r="462" spans="1:17" x14ac:dyDescent="0.3">
      <c r="A462" s="22">
        <v>26</v>
      </c>
      <c r="B462" s="19">
        <v>100</v>
      </c>
      <c r="C462" s="20">
        <f>Sales!$B462*Sales!$A462</f>
        <v>2600</v>
      </c>
      <c r="D462" s="21">
        <v>38139</v>
      </c>
      <c r="E462" s="22" t="s">
        <v>75</v>
      </c>
      <c r="F462" s="22">
        <v>2</v>
      </c>
      <c r="G462" s="22">
        <v>6</v>
      </c>
      <c r="H462" s="22">
        <v>2004</v>
      </c>
      <c r="I462" s="22" t="s">
        <v>47</v>
      </c>
      <c r="J462" s="20">
        <v>141</v>
      </c>
      <c r="K462" s="20">
        <f>Sales!$B462-Sales!$J462</f>
        <v>-41</v>
      </c>
      <c r="L462" s="23">
        <f>(Sales!$J462-Sales!$B462)/Sales!$J462</f>
        <v>0.29078014184397161</v>
      </c>
      <c r="M462" s="23" t="str">
        <f t="shared" si="7"/>
        <v>+20%</v>
      </c>
      <c r="N462" s="22" t="s">
        <v>42</v>
      </c>
      <c r="O462" s="22" t="s">
        <v>43</v>
      </c>
      <c r="P462" s="22" t="s">
        <v>17</v>
      </c>
      <c r="Q462" s="22" t="s">
        <v>19</v>
      </c>
    </row>
    <row r="463" spans="1:17" x14ac:dyDescent="0.3">
      <c r="A463" s="27">
        <v>21</v>
      </c>
      <c r="B463" s="24">
        <v>100</v>
      </c>
      <c r="C463" s="25">
        <f>Sales!$B463*Sales!$A463</f>
        <v>2100</v>
      </c>
      <c r="D463" s="26">
        <v>38174</v>
      </c>
      <c r="E463" s="27" t="s">
        <v>9</v>
      </c>
      <c r="F463" s="27">
        <v>3</v>
      </c>
      <c r="G463" s="27">
        <v>7</v>
      </c>
      <c r="H463" s="27">
        <v>2004</v>
      </c>
      <c r="I463" s="27" t="s">
        <v>47</v>
      </c>
      <c r="J463" s="25">
        <v>141</v>
      </c>
      <c r="K463" s="25">
        <f>Sales!$B463-Sales!$J463</f>
        <v>-41</v>
      </c>
      <c r="L463" s="28">
        <f>(Sales!$J463-Sales!$B463)/Sales!$J463</f>
        <v>0.29078014184397161</v>
      </c>
      <c r="M463" s="28" t="str">
        <f t="shared" si="7"/>
        <v>+20%</v>
      </c>
      <c r="N463" s="27" t="s">
        <v>97</v>
      </c>
      <c r="O463" s="27" t="s">
        <v>61</v>
      </c>
      <c r="P463" s="27" t="s">
        <v>17</v>
      </c>
      <c r="Q463" s="27" t="s">
        <v>14</v>
      </c>
    </row>
    <row r="464" spans="1:17" x14ac:dyDescent="0.3">
      <c r="A464" s="22">
        <v>34</v>
      </c>
      <c r="B464" s="19">
        <v>100</v>
      </c>
      <c r="C464" s="20">
        <f>Sales!$B464*Sales!$A464</f>
        <v>3400</v>
      </c>
      <c r="D464" s="21">
        <v>38205</v>
      </c>
      <c r="E464" s="22" t="s">
        <v>9</v>
      </c>
      <c r="F464" s="22">
        <v>3</v>
      </c>
      <c r="G464" s="22">
        <v>8</v>
      </c>
      <c r="H464" s="22">
        <v>2004</v>
      </c>
      <c r="I464" s="22" t="s">
        <v>47</v>
      </c>
      <c r="J464" s="20">
        <v>141</v>
      </c>
      <c r="K464" s="20">
        <f>Sales!$B464-Sales!$J464</f>
        <v>-41</v>
      </c>
      <c r="L464" s="23">
        <f>(Sales!$J464-Sales!$B464)/Sales!$J464</f>
        <v>0.29078014184397161</v>
      </c>
      <c r="M464" s="23" t="str">
        <f t="shared" si="7"/>
        <v>+20%</v>
      </c>
      <c r="N464" s="22" t="s">
        <v>109</v>
      </c>
      <c r="O464" s="22" t="s">
        <v>12</v>
      </c>
      <c r="P464" s="22" t="s">
        <v>13</v>
      </c>
      <c r="Q464" s="22" t="s">
        <v>19</v>
      </c>
    </row>
    <row r="465" spans="1:17" x14ac:dyDescent="0.3">
      <c r="A465" s="27">
        <v>41</v>
      </c>
      <c r="B465" s="24">
        <v>100</v>
      </c>
      <c r="C465" s="25">
        <f>Sales!$B465*Sales!$A465</f>
        <v>4100</v>
      </c>
      <c r="D465" s="26">
        <v>38229</v>
      </c>
      <c r="E465" s="27" t="s">
        <v>9</v>
      </c>
      <c r="F465" s="27">
        <v>3</v>
      </c>
      <c r="G465" s="27">
        <v>8</v>
      </c>
      <c r="H465" s="27">
        <v>2004</v>
      </c>
      <c r="I465" s="27" t="s">
        <v>47</v>
      </c>
      <c r="J465" s="25">
        <v>141</v>
      </c>
      <c r="K465" s="25">
        <f>Sales!$B465-Sales!$J465</f>
        <v>-41</v>
      </c>
      <c r="L465" s="28">
        <f>(Sales!$J465-Sales!$B465)/Sales!$J465</f>
        <v>0.29078014184397161</v>
      </c>
      <c r="M465" s="28" t="str">
        <f t="shared" si="7"/>
        <v>+20%</v>
      </c>
      <c r="N465" s="27" t="s">
        <v>95</v>
      </c>
      <c r="O465" s="27" t="s">
        <v>96</v>
      </c>
      <c r="P465" s="27" t="s">
        <v>17</v>
      </c>
      <c r="Q465" s="27" t="s">
        <v>19</v>
      </c>
    </row>
    <row r="466" spans="1:17" x14ac:dyDescent="0.3">
      <c r="A466" s="22">
        <v>37</v>
      </c>
      <c r="B466" s="19">
        <v>100</v>
      </c>
      <c r="C466" s="20">
        <f>Sales!$B466*Sales!$A466</f>
        <v>3700</v>
      </c>
      <c r="D466" s="21">
        <v>37899</v>
      </c>
      <c r="E466" s="22" t="s">
        <v>9</v>
      </c>
      <c r="F466" s="22">
        <v>4</v>
      </c>
      <c r="G466" s="22">
        <v>10</v>
      </c>
      <c r="H466" s="22">
        <v>2003</v>
      </c>
      <c r="I466" s="22" t="s">
        <v>47</v>
      </c>
      <c r="J466" s="20">
        <v>141</v>
      </c>
      <c r="K466" s="20">
        <f>Sales!$B466-Sales!$J466</f>
        <v>-41</v>
      </c>
      <c r="L466" s="23">
        <f>(Sales!$J466-Sales!$B466)/Sales!$J466</f>
        <v>0.29078014184397161</v>
      </c>
      <c r="M466" s="23" t="str">
        <f t="shared" si="7"/>
        <v>+20%</v>
      </c>
      <c r="N466" s="22" t="s">
        <v>110</v>
      </c>
      <c r="O466" s="22" t="s">
        <v>25</v>
      </c>
      <c r="P466" s="22" t="s">
        <v>17</v>
      </c>
      <c r="Q466" s="22" t="s">
        <v>19</v>
      </c>
    </row>
    <row r="467" spans="1:17" x14ac:dyDescent="0.3">
      <c r="A467" s="27">
        <v>37</v>
      </c>
      <c r="B467" s="24">
        <v>100</v>
      </c>
      <c r="C467" s="25">
        <f>Sales!$B467*Sales!$A467</f>
        <v>3700</v>
      </c>
      <c r="D467" s="26">
        <v>38276</v>
      </c>
      <c r="E467" s="27" t="s">
        <v>9</v>
      </c>
      <c r="F467" s="27">
        <v>4</v>
      </c>
      <c r="G467" s="27">
        <v>10</v>
      </c>
      <c r="H467" s="27">
        <v>2004</v>
      </c>
      <c r="I467" s="27" t="s">
        <v>47</v>
      </c>
      <c r="J467" s="25">
        <v>141</v>
      </c>
      <c r="K467" s="25">
        <f>Sales!$B467-Sales!$J467</f>
        <v>-41</v>
      </c>
      <c r="L467" s="28">
        <f>(Sales!$J467-Sales!$B467)/Sales!$J467</f>
        <v>0.29078014184397161</v>
      </c>
      <c r="M467" s="28" t="str">
        <f t="shared" si="7"/>
        <v>+20%</v>
      </c>
      <c r="N467" s="27" t="s">
        <v>93</v>
      </c>
      <c r="O467" s="27" t="s">
        <v>94</v>
      </c>
      <c r="P467" s="27" t="s">
        <v>17</v>
      </c>
      <c r="Q467" s="27" t="s">
        <v>19</v>
      </c>
    </row>
    <row r="468" spans="1:17" x14ac:dyDescent="0.3">
      <c r="A468" s="22">
        <v>41</v>
      </c>
      <c r="B468" s="19">
        <v>100</v>
      </c>
      <c r="C468" s="20">
        <f>Sales!$B468*Sales!$A468</f>
        <v>4100</v>
      </c>
      <c r="D468" s="21">
        <v>38295</v>
      </c>
      <c r="E468" s="22" t="s">
        <v>9</v>
      </c>
      <c r="F468" s="22">
        <v>4</v>
      </c>
      <c r="G468" s="22">
        <v>11</v>
      </c>
      <c r="H468" s="22">
        <v>2004</v>
      </c>
      <c r="I468" s="22" t="s">
        <v>47</v>
      </c>
      <c r="J468" s="20">
        <v>141</v>
      </c>
      <c r="K468" s="20">
        <f>Sales!$B468-Sales!$J468</f>
        <v>-41</v>
      </c>
      <c r="L468" s="23">
        <f>(Sales!$J468-Sales!$B468)/Sales!$J468</f>
        <v>0.29078014184397161</v>
      </c>
      <c r="M468" s="23" t="str">
        <f t="shared" si="7"/>
        <v>+20%</v>
      </c>
      <c r="N468" s="22" t="s">
        <v>41</v>
      </c>
      <c r="O468" s="22" t="s">
        <v>12</v>
      </c>
      <c r="P468" s="22" t="s">
        <v>13</v>
      </c>
      <c r="Q468" s="22" t="s">
        <v>19</v>
      </c>
    </row>
    <row r="469" spans="1:17" x14ac:dyDescent="0.3">
      <c r="A469" s="27">
        <v>46</v>
      </c>
      <c r="B469" s="24">
        <v>100</v>
      </c>
      <c r="C469" s="25">
        <f>Sales!$B469*Sales!$A469</f>
        <v>4600</v>
      </c>
      <c r="D469" s="26">
        <v>38308</v>
      </c>
      <c r="E469" s="27" t="s">
        <v>9</v>
      </c>
      <c r="F469" s="27">
        <v>4</v>
      </c>
      <c r="G469" s="27">
        <v>11</v>
      </c>
      <c r="H469" s="27">
        <v>2004</v>
      </c>
      <c r="I469" s="27" t="s">
        <v>47</v>
      </c>
      <c r="J469" s="25">
        <v>141</v>
      </c>
      <c r="K469" s="25">
        <f>Sales!$B469-Sales!$J469</f>
        <v>-41</v>
      </c>
      <c r="L469" s="28">
        <f>(Sales!$J469-Sales!$B469)/Sales!$J469</f>
        <v>0.29078014184397161</v>
      </c>
      <c r="M469" s="28" t="str">
        <f t="shared" si="7"/>
        <v>+20%</v>
      </c>
      <c r="N469" s="27" t="s">
        <v>53</v>
      </c>
      <c r="O469" s="27" t="s">
        <v>12</v>
      </c>
      <c r="P469" s="27" t="s">
        <v>13</v>
      </c>
      <c r="Q469" s="27" t="s">
        <v>19</v>
      </c>
    </row>
    <row r="470" spans="1:17" x14ac:dyDescent="0.3">
      <c r="A470" s="22">
        <v>40</v>
      </c>
      <c r="B470" s="19">
        <v>100</v>
      </c>
      <c r="C470" s="20">
        <f>Sales!$B470*Sales!$A470</f>
        <v>4000</v>
      </c>
      <c r="D470" s="21">
        <v>38315</v>
      </c>
      <c r="E470" s="22" t="s">
        <v>9</v>
      </c>
      <c r="F470" s="22">
        <v>4</v>
      </c>
      <c r="G470" s="22">
        <v>11</v>
      </c>
      <c r="H470" s="22">
        <v>2004</v>
      </c>
      <c r="I470" s="22" t="s">
        <v>47</v>
      </c>
      <c r="J470" s="20">
        <v>141</v>
      </c>
      <c r="K470" s="20">
        <f>Sales!$B470-Sales!$J470</f>
        <v>-41</v>
      </c>
      <c r="L470" s="23">
        <f>(Sales!$J470-Sales!$B470)/Sales!$J470</f>
        <v>0.29078014184397161</v>
      </c>
      <c r="M470" s="23" t="str">
        <f t="shared" si="7"/>
        <v>+20%</v>
      </c>
      <c r="N470" s="22" t="s">
        <v>26</v>
      </c>
      <c r="O470" s="22" t="s">
        <v>27</v>
      </c>
      <c r="P470" s="22" t="s">
        <v>28</v>
      </c>
      <c r="Q470" s="22" t="s">
        <v>19</v>
      </c>
    </row>
    <row r="471" spans="1:17" x14ac:dyDescent="0.3">
      <c r="A471" s="27">
        <v>43</v>
      </c>
      <c r="B471" s="24">
        <v>97.6</v>
      </c>
      <c r="C471" s="25">
        <f>Sales!$B471*Sales!$A471</f>
        <v>4196.8</v>
      </c>
      <c r="D471" s="26">
        <v>38330</v>
      </c>
      <c r="E471" s="27" t="s">
        <v>9</v>
      </c>
      <c r="F471" s="27">
        <v>4</v>
      </c>
      <c r="G471" s="27">
        <v>12</v>
      </c>
      <c r="H471" s="27">
        <v>2004</v>
      </c>
      <c r="I471" s="27" t="s">
        <v>47</v>
      </c>
      <c r="J471" s="25">
        <v>141</v>
      </c>
      <c r="K471" s="25">
        <f>Sales!$B471-Sales!$J471</f>
        <v>-43.400000000000006</v>
      </c>
      <c r="L471" s="28">
        <f>(Sales!$J471-Sales!$B471)/Sales!$J471</f>
        <v>0.30780141843971637</v>
      </c>
      <c r="M471" s="28" t="str">
        <f t="shared" si="7"/>
        <v>+20%</v>
      </c>
      <c r="N471" s="27" t="s">
        <v>18</v>
      </c>
      <c r="O471" s="27" t="s">
        <v>16</v>
      </c>
      <c r="P471" s="27" t="s">
        <v>17</v>
      </c>
      <c r="Q471" s="27" t="s">
        <v>19</v>
      </c>
    </row>
    <row r="472" spans="1:17" x14ac:dyDescent="0.3">
      <c r="A472" s="22">
        <v>30</v>
      </c>
      <c r="B472" s="19">
        <v>87.06</v>
      </c>
      <c r="C472" s="20">
        <f>Sales!$B472*Sales!$A472</f>
        <v>2611.8000000000002</v>
      </c>
      <c r="D472" s="21">
        <v>38359</v>
      </c>
      <c r="E472" s="22" t="s">
        <v>9</v>
      </c>
      <c r="F472" s="22">
        <v>1</v>
      </c>
      <c r="G472" s="22">
        <v>1</v>
      </c>
      <c r="H472" s="22">
        <v>2005</v>
      </c>
      <c r="I472" s="22" t="s">
        <v>47</v>
      </c>
      <c r="J472" s="20">
        <v>141</v>
      </c>
      <c r="K472" s="20">
        <f>Sales!$B472-Sales!$J472</f>
        <v>-53.94</v>
      </c>
      <c r="L472" s="23">
        <f>(Sales!$J472-Sales!$B472)/Sales!$J472</f>
        <v>0.38255319148936168</v>
      </c>
      <c r="M472" s="23" t="str">
        <f t="shared" si="7"/>
        <v>+20%</v>
      </c>
      <c r="N472" s="22" t="s">
        <v>41</v>
      </c>
      <c r="O472" s="22" t="s">
        <v>12</v>
      </c>
      <c r="P472" s="22" t="s">
        <v>13</v>
      </c>
      <c r="Q472" s="22" t="s">
        <v>14</v>
      </c>
    </row>
    <row r="473" spans="1:17" x14ac:dyDescent="0.3">
      <c r="A473" s="27">
        <v>35</v>
      </c>
      <c r="B473" s="24">
        <v>100</v>
      </c>
      <c r="C473" s="25">
        <f>Sales!$B473*Sales!$A473</f>
        <v>3500</v>
      </c>
      <c r="D473" s="26">
        <v>38392</v>
      </c>
      <c r="E473" s="27" t="s">
        <v>9</v>
      </c>
      <c r="F473" s="27">
        <v>1</v>
      </c>
      <c r="G473" s="27">
        <v>2</v>
      </c>
      <c r="H473" s="27">
        <v>2005</v>
      </c>
      <c r="I473" s="27" t="s">
        <v>47</v>
      </c>
      <c r="J473" s="25">
        <v>141</v>
      </c>
      <c r="K473" s="25">
        <f>Sales!$B473-Sales!$J473</f>
        <v>-41</v>
      </c>
      <c r="L473" s="28">
        <f>(Sales!$J473-Sales!$B473)/Sales!$J473</f>
        <v>0.29078014184397161</v>
      </c>
      <c r="M473" s="28" t="str">
        <f t="shared" si="7"/>
        <v>+20%</v>
      </c>
      <c r="N473" s="27" t="s">
        <v>33</v>
      </c>
      <c r="O473" s="27" t="s">
        <v>34</v>
      </c>
      <c r="P473" s="27" t="s">
        <v>17</v>
      </c>
      <c r="Q473" s="27" t="s">
        <v>19</v>
      </c>
    </row>
    <row r="474" spans="1:17" x14ac:dyDescent="0.3">
      <c r="A474" s="22">
        <v>36</v>
      </c>
      <c r="B474" s="19">
        <v>93.77</v>
      </c>
      <c r="C474" s="20">
        <f>Sales!$B474*Sales!$A474</f>
        <v>3375.72</v>
      </c>
      <c r="D474" s="21">
        <v>38415</v>
      </c>
      <c r="E474" s="22" t="s">
        <v>9</v>
      </c>
      <c r="F474" s="22">
        <v>1</v>
      </c>
      <c r="G474" s="22">
        <v>3</v>
      </c>
      <c r="H474" s="22">
        <v>2005</v>
      </c>
      <c r="I474" s="22" t="s">
        <v>47</v>
      </c>
      <c r="J474" s="20">
        <v>141</v>
      </c>
      <c r="K474" s="20">
        <f>Sales!$B474-Sales!$J474</f>
        <v>-47.230000000000004</v>
      </c>
      <c r="L474" s="23">
        <f>(Sales!$J474-Sales!$B474)/Sales!$J474</f>
        <v>0.33496453900709222</v>
      </c>
      <c r="M474" s="23" t="str">
        <f t="shared" si="7"/>
        <v>+20%</v>
      </c>
      <c r="N474" s="22" t="s">
        <v>64</v>
      </c>
      <c r="O474" s="22" t="s">
        <v>12</v>
      </c>
      <c r="P474" s="22" t="s">
        <v>13</v>
      </c>
      <c r="Q474" s="22" t="s">
        <v>19</v>
      </c>
    </row>
    <row r="475" spans="1:17" x14ac:dyDescent="0.3">
      <c r="A475" s="27">
        <v>61</v>
      </c>
      <c r="B475" s="24">
        <v>100</v>
      </c>
      <c r="C475" s="25">
        <f>Sales!$B475*Sales!$A475</f>
        <v>6100</v>
      </c>
      <c r="D475" s="26">
        <v>38457</v>
      </c>
      <c r="E475" s="27" t="s">
        <v>44</v>
      </c>
      <c r="F475" s="27">
        <v>2</v>
      </c>
      <c r="G475" s="27">
        <v>4</v>
      </c>
      <c r="H475" s="27">
        <v>2005</v>
      </c>
      <c r="I475" s="27" t="s">
        <v>47</v>
      </c>
      <c r="J475" s="25">
        <v>141</v>
      </c>
      <c r="K475" s="25">
        <f>Sales!$B475-Sales!$J475</f>
        <v>-41</v>
      </c>
      <c r="L475" s="28">
        <f>(Sales!$J475-Sales!$B475)/Sales!$J475</f>
        <v>0.29078014184397161</v>
      </c>
      <c r="M475" s="28" t="str">
        <f t="shared" si="7"/>
        <v>+20%</v>
      </c>
      <c r="N475" s="27" t="s">
        <v>72</v>
      </c>
      <c r="O475" s="27" t="s">
        <v>73</v>
      </c>
      <c r="P475" s="27" t="s">
        <v>17</v>
      </c>
      <c r="Q475" s="27" t="s">
        <v>39</v>
      </c>
    </row>
    <row r="476" spans="1:17" x14ac:dyDescent="0.3">
      <c r="A476" s="22">
        <v>38</v>
      </c>
      <c r="B476" s="19">
        <v>100</v>
      </c>
      <c r="C476" s="20">
        <f>Sales!$B476*Sales!$A476</f>
        <v>3800</v>
      </c>
      <c r="D476" s="21">
        <v>38489</v>
      </c>
      <c r="E476" s="22" t="s">
        <v>9</v>
      </c>
      <c r="F476" s="22">
        <v>2</v>
      </c>
      <c r="G476" s="22">
        <v>5</v>
      </c>
      <c r="H476" s="22">
        <v>2005</v>
      </c>
      <c r="I476" s="22" t="s">
        <v>47</v>
      </c>
      <c r="J476" s="20">
        <v>141</v>
      </c>
      <c r="K476" s="20">
        <f>Sales!$B476-Sales!$J476</f>
        <v>-41</v>
      </c>
      <c r="L476" s="23">
        <f>(Sales!$J476-Sales!$B476)/Sales!$J476</f>
        <v>0.29078014184397161</v>
      </c>
      <c r="M476" s="23" t="str">
        <f t="shared" si="7"/>
        <v>+20%</v>
      </c>
      <c r="N476" s="22" t="s">
        <v>37</v>
      </c>
      <c r="O476" s="22" t="s">
        <v>38</v>
      </c>
      <c r="P476" s="22" t="s">
        <v>17</v>
      </c>
      <c r="Q476" s="22" t="s">
        <v>19</v>
      </c>
    </row>
    <row r="477" spans="1:17" x14ac:dyDescent="0.3">
      <c r="A477" s="27">
        <v>39</v>
      </c>
      <c r="B477" s="24">
        <v>100</v>
      </c>
      <c r="C477" s="25">
        <f>Sales!$B477*Sales!$A477</f>
        <v>3900</v>
      </c>
      <c r="D477" s="26">
        <v>37631</v>
      </c>
      <c r="E477" s="27" t="s">
        <v>9</v>
      </c>
      <c r="F477" s="27">
        <v>1</v>
      </c>
      <c r="G477" s="27">
        <v>1</v>
      </c>
      <c r="H477" s="27">
        <v>2003</v>
      </c>
      <c r="I477" s="27" t="s">
        <v>112</v>
      </c>
      <c r="J477" s="25">
        <v>102</v>
      </c>
      <c r="K477" s="25">
        <f>Sales!$B477-Sales!$J477</f>
        <v>-2</v>
      </c>
      <c r="L477" s="28">
        <f>(Sales!$J477-Sales!$B477)/Sales!$J477</f>
        <v>1.9607843137254902E-2</v>
      </c>
      <c r="M477" s="28" t="str">
        <f t="shared" si="7"/>
        <v>0%-5%</v>
      </c>
      <c r="N477" s="27" t="s">
        <v>11</v>
      </c>
      <c r="O477" s="27" t="s">
        <v>12</v>
      </c>
      <c r="P477" s="27" t="s">
        <v>13</v>
      </c>
      <c r="Q477" s="27" t="s">
        <v>19</v>
      </c>
    </row>
    <row r="478" spans="1:17" x14ac:dyDescent="0.3">
      <c r="A478" s="22">
        <v>33</v>
      </c>
      <c r="B478" s="19">
        <v>99.66</v>
      </c>
      <c r="C478" s="20">
        <f>Sales!$B478*Sales!$A478</f>
        <v>3288.7799999999997</v>
      </c>
      <c r="D478" s="21">
        <v>37705</v>
      </c>
      <c r="E478" s="22" t="s">
        <v>9</v>
      </c>
      <c r="F478" s="22">
        <v>1</v>
      </c>
      <c r="G478" s="22">
        <v>3</v>
      </c>
      <c r="H478" s="22">
        <v>2003</v>
      </c>
      <c r="I478" s="22" t="s">
        <v>112</v>
      </c>
      <c r="J478" s="20">
        <v>102</v>
      </c>
      <c r="K478" s="20">
        <f>Sales!$B478-Sales!$J478</f>
        <v>-2.3400000000000034</v>
      </c>
      <c r="L478" s="23">
        <f>(Sales!$J478-Sales!$B478)/Sales!$J478</f>
        <v>2.294117647058827E-2</v>
      </c>
      <c r="M478" s="23" t="str">
        <f t="shared" si="7"/>
        <v>0%-5%</v>
      </c>
      <c r="N478" s="22" t="s">
        <v>21</v>
      </c>
      <c r="O478" s="22" t="s">
        <v>12</v>
      </c>
      <c r="P478" s="22" t="s">
        <v>13</v>
      </c>
      <c r="Q478" s="22" t="s">
        <v>19</v>
      </c>
    </row>
    <row r="479" spans="1:17" x14ac:dyDescent="0.3">
      <c r="A479" s="27">
        <v>32</v>
      </c>
      <c r="B479" s="24">
        <v>100</v>
      </c>
      <c r="C479" s="25">
        <f>Sales!$B479*Sales!$A479</f>
        <v>3200</v>
      </c>
      <c r="D479" s="26">
        <v>37762</v>
      </c>
      <c r="E479" s="27" t="s">
        <v>9</v>
      </c>
      <c r="F479" s="27">
        <v>2</v>
      </c>
      <c r="G479" s="27">
        <v>5</v>
      </c>
      <c r="H479" s="27">
        <v>2003</v>
      </c>
      <c r="I479" s="27" t="s">
        <v>112</v>
      </c>
      <c r="J479" s="25">
        <v>102</v>
      </c>
      <c r="K479" s="25">
        <f>Sales!$B479-Sales!$J479</f>
        <v>-2</v>
      </c>
      <c r="L479" s="28">
        <f>(Sales!$J479-Sales!$B479)/Sales!$J479</f>
        <v>1.9607843137254902E-2</v>
      </c>
      <c r="M479" s="28" t="str">
        <f t="shared" si="7"/>
        <v>0%-5%</v>
      </c>
      <c r="N479" s="27" t="s">
        <v>26</v>
      </c>
      <c r="O479" s="27" t="s">
        <v>27</v>
      </c>
      <c r="P479" s="27" t="s">
        <v>28</v>
      </c>
      <c r="Q479" s="27" t="s">
        <v>19</v>
      </c>
    </row>
    <row r="480" spans="1:17" x14ac:dyDescent="0.3">
      <c r="A480" s="22">
        <v>31</v>
      </c>
      <c r="B480" s="19">
        <v>100</v>
      </c>
      <c r="C480" s="20">
        <f>Sales!$B480*Sales!$A480</f>
        <v>3100</v>
      </c>
      <c r="D480" s="21">
        <v>37818</v>
      </c>
      <c r="E480" s="22" t="s">
        <v>9</v>
      </c>
      <c r="F480" s="22">
        <v>3</v>
      </c>
      <c r="G480" s="22">
        <v>7</v>
      </c>
      <c r="H480" s="22">
        <v>2003</v>
      </c>
      <c r="I480" s="22" t="s">
        <v>112</v>
      </c>
      <c r="J480" s="20">
        <v>102</v>
      </c>
      <c r="K480" s="20">
        <f>Sales!$B480-Sales!$J480</f>
        <v>-2</v>
      </c>
      <c r="L480" s="23">
        <f>(Sales!$J480-Sales!$B480)/Sales!$J480</f>
        <v>1.9607843137254902E-2</v>
      </c>
      <c r="M480" s="23" t="str">
        <f t="shared" si="7"/>
        <v>0%-5%</v>
      </c>
      <c r="N480" s="22" t="s">
        <v>40</v>
      </c>
      <c r="O480" s="22" t="s">
        <v>27</v>
      </c>
      <c r="P480" s="22" t="s">
        <v>28</v>
      </c>
      <c r="Q480" s="22" t="s">
        <v>19</v>
      </c>
    </row>
    <row r="481" spans="1:17" x14ac:dyDescent="0.3">
      <c r="A481" s="27">
        <v>50</v>
      </c>
      <c r="B481" s="24">
        <v>100</v>
      </c>
      <c r="C481" s="25">
        <f>Sales!$B481*Sales!$A481</f>
        <v>5000</v>
      </c>
      <c r="D481" s="26">
        <v>37876</v>
      </c>
      <c r="E481" s="27" t="s">
        <v>9</v>
      </c>
      <c r="F481" s="27">
        <v>3</v>
      </c>
      <c r="G481" s="27">
        <v>9</v>
      </c>
      <c r="H481" s="27">
        <v>2003</v>
      </c>
      <c r="I481" s="27" t="s">
        <v>112</v>
      </c>
      <c r="J481" s="25">
        <v>102</v>
      </c>
      <c r="K481" s="25">
        <f>Sales!$B481-Sales!$J481</f>
        <v>-2</v>
      </c>
      <c r="L481" s="28">
        <f>(Sales!$J481-Sales!$B481)/Sales!$J481</f>
        <v>1.9607843137254902E-2</v>
      </c>
      <c r="M481" s="28" t="str">
        <f t="shared" si="7"/>
        <v>0%-5%</v>
      </c>
      <c r="N481" s="27" t="s">
        <v>107</v>
      </c>
      <c r="O481" s="27" t="s">
        <v>12</v>
      </c>
      <c r="P481" s="27" t="s">
        <v>13</v>
      </c>
      <c r="Q481" s="27" t="s">
        <v>19</v>
      </c>
    </row>
    <row r="482" spans="1:17" x14ac:dyDescent="0.3">
      <c r="A482" s="22">
        <v>48</v>
      </c>
      <c r="B482" s="19">
        <v>91.44</v>
      </c>
      <c r="C482" s="20">
        <f>Sales!$B482*Sales!$A482</f>
        <v>4389.12</v>
      </c>
      <c r="D482" s="21">
        <v>37912</v>
      </c>
      <c r="E482" s="22" t="s">
        <v>9</v>
      </c>
      <c r="F482" s="22">
        <v>4</v>
      </c>
      <c r="G482" s="22">
        <v>10</v>
      </c>
      <c r="H482" s="22">
        <v>2003</v>
      </c>
      <c r="I482" s="22" t="s">
        <v>112</v>
      </c>
      <c r="J482" s="20">
        <v>102</v>
      </c>
      <c r="K482" s="20">
        <f>Sales!$B482-Sales!$J482</f>
        <v>-10.560000000000002</v>
      </c>
      <c r="L482" s="23">
        <f>(Sales!$J482-Sales!$B482)/Sales!$J482</f>
        <v>0.10352941176470591</v>
      </c>
      <c r="M482" s="23" t="s">
        <v>134</v>
      </c>
      <c r="N482" s="22" t="s">
        <v>21</v>
      </c>
      <c r="O482" s="22" t="s">
        <v>12</v>
      </c>
      <c r="P482" s="22" t="s">
        <v>13</v>
      </c>
      <c r="Q482" s="22" t="s">
        <v>19</v>
      </c>
    </row>
    <row r="483" spans="1:17" x14ac:dyDescent="0.3">
      <c r="A483" s="27">
        <v>43</v>
      </c>
      <c r="B483" s="24">
        <v>100</v>
      </c>
      <c r="C483" s="25">
        <f>Sales!$B483*Sales!$A483</f>
        <v>4300</v>
      </c>
      <c r="D483" s="26">
        <v>37930</v>
      </c>
      <c r="E483" s="27" t="s">
        <v>9</v>
      </c>
      <c r="F483" s="27">
        <v>4</v>
      </c>
      <c r="G483" s="27">
        <v>11</v>
      </c>
      <c r="H483" s="27">
        <v>2003</v>
      </c>
      <c r="I483" s="27" t="s">
        <v>112</v>
      </c>
      <c r="J483" s="25">
        <v>102</v>
      </c>
      <c r="K483" s="25">
        <f>Sales!$B483-Sales!$J483</f>
        <v>-2</v>
      </c>
      <c r="L483" s="28">
        <f>(Sales!$J483-Sales!$B483)/Sales!$J483</f>
        <v>1.9607843137254902E-2</v>
      </c>
      <c r="M483" s="28" t="str">
        <f t="shared" si="7"/>
        <v>0%-5%</v>
      </c>
      <c r="N483" s="27" t="s">
        <v>113</v>
      </c>
      <c r="O483" s="27" t="s">
        <v>61</v>
      </c>
      <c r="P483" s="27" t="s">
        <v>17</v>
      </c>
      <c r="Q483" s="27" t="s">
        <v>19</v>
      </c>
    </row>
    <row r="484" spans="1:17" x14ac:dyDescent="0.3">
      <c r="A484" s="22">
        <v>25</v>
      </c>
      <c r="B484" s="19">
        <v>87.33</v>
      </c>
      <c r="C484" s="20">
        <f>Sales!$B484*Sales!$A484</f>
        <v>2183.25</v>
      </c>
      <c r="D484" s="21">
        <v>37937</v>
      </c>
      <c r="E484" s="22" t="s">
        <v>9</v>
      </c>
      <c r="F484" s="22">
        <v>4</v>
      </c>
      <c r="G484" s="22">
        <v>11</v>
      </c>
      <c r="H484" s="22">
        <v>2003</v>
      </c>
      <c r="I484" s="22" t="s">
        <v>112</v>
      </c>
      <c r="J484" s="20">
        <v>102</v>
      </c>
      <c r="K484" s="20">
        <f>Sales!$B484-Sales!$J484</f>
        <v>-14.670000000000002</v>
      </c>
      <c r="L484" s="23">
        <f>(Sales!$J484-Sales!$B484)/Sales!$J484</f>
        <v>0.14382352941176471</v>
      </c>
      <c r="M484" s="23" t="str">
        <f t="shared" si="7"/>
        <v>10%-15%</v>
      </c>
      <c r="N484" s="22" t="s">
        <v>64</v>
      </c>
      <c r="O484" s="22" t="s">
        <v>12</v>
      </c>
      <c r="P484" s="22" t="s">
        <v>13</v>
      </c>
      <c r="Q484" s="22" t="s">
        <v>14</v>
      </c>
    </row>
    <row r="485" spans="1:17" x14ac:dyDescent="0.3">
      <c r="A485" s="27">
        <v>28</v>
      </c>
      <c r="B485" s="24">
        <v>100</v>
      </c>
      <c r="C485" s="25">
        <f>Sales!$B485*Sales!$A485</f>
        <v>2800</v>
      </c>
      <c r="D485" s="26">
        <v>37946</v>
      </c>
      <c r="E485" s="27" t="s">
        <v>9</v>
      </c>
      <c r="F485" s="27">
        <v>4</v>
      </c>
      <c r="G485" s="27">
        <v>11</v>
      </c>
      <c r="H485" s="27">
        <v>2003</v>
      </c>
      <c r="I485" s="27" t="s">
        <v>112</v>
      </c>
      <c r="J485" s="25">
        <v>102</v>
      </c>
      <c r="K485" s="25">
        <f>Sales!$B485-Sales!$J485</f>
        <v>-2</v>
      </c>
      <c r="L485" s="28">
        <f>(Sales!$J485-Sales!$B485)/Sales!$J485</f>
        <v>1.9607843137254902E-2</v>
      </c>
      <c r="M485" s="28" t="str">
        <f t="shared" si="7"/>
        <v>0%-5%</v>
      </c>
      <c r="N485" s="27" t="s">
        <v>114</v>
      </c>
      <c r="O485" s="27" t="s">
        <v>27</v>
      </c>
      <c r="P485" s="27" t="s">
        <v>28</v>
      </c>
      <c r="Q485" s="27" t="s">
        <v>19</v>
      </c>
    </row>
    <row r="486" spans="1:17" x14ac:dyDescent="0.3">
      <c r="A486" s="22">
        <v>36</v>
      </c>
      <c r="B486" s="19">
        <v>100</v>
      </c>
      <c r="C486" s="20">
        <f>Sales!$B486*Sales!$A486</f>
        <v>3600</v>
      </c>
      <c r="D486" s="21">
        <v>37958</v>
      </c>
      <c r="E486" s="22" t="s">
        <v>9</v>
      </c>
      <c r="F486" s="22">
        <v>4</v>
      </c>
      <c r="G486" s="22">
        <v>12</v>
      </c>
      <c r="H486" s="22">
        <v>2003</v>
      </c>
      <c r="I486" s="22" t="s">
        <v>112</v>
      </c>
      <c r="J486" s="20">
        <v>102</v>
      </c>
      <c r="K486" s="20">
        <f>Sales!$B486-Sales!$J486</f>
        <v>-2</v>
      </c>
      <c r="L486" s="23">
        <f>(Sales!$J486-Sales!$B486)/Sales!$J486</f>
        <v>1.9607843137254902E-2</v>
      </c>
      <c r="M486" s="23" t="str">
        <f t="shared" si="7"/>
        <v>0%-5%</v>
      </c>
      <c r="N486" s="22" t="s">
        <v>45</v>
      </c>
      <c r="O486" s="22" t="s">
        <v>46</v>
      </c>
      <c r="P486" s="22" t="s">
        <v>17</v>
      </c>
      <c r="Q486" s="22" t="s">
        <v>19</v>
      </c>
    </row>
    <row r="487" spans="1:17" x14ac:dyDescent="0.3">
      <c r="A487" s="27">
        <v>27</v>
      </c>
      <c r="B487" s="24">
        <v>89.38</v>
      </c>
      <c r="C487" s="25">
        <f>Sales!$B487*Sales!$A487</f>
        <v>2413.2599999999998</v>
      </c>
      <c r="D487" s="26">
        <v>38015</v>
      </c>
      <c r="E487" s="27" t="s">
        <v>9</v>
      </c>
      <c r="F487" s="27">
        <v>1</v>
      </c>
      <c r="G487" s="27">
        <v>1</v>
      </c>
      <c r="H487" s="27">
        <v>2004</v>
      </c>
      <c r="I487" s="27" t="s">
        <v>112</v>
      </c>
      <c r="J487" s="25">
        <v>102</v>
      </c>
      <c r="K487" s="25">
        <f>Sales!$B487-Sales!$J487</f>
        <v>-12.620000000000005</v>
      </c>
      <c r="L487" s="28">
        <f>(Sales!$J487-Sales!$B487)/Sales!$J487</f>
        <v>0.12372549019607848</v>
      </c>
      <c r="M487" s="28" t="str">
        <f t="shared" si="7"/>
        <v>10%-15%</v>
      </c>
      <c r="N487" s="27" t="s">
        <v>57</v>
      </c>
      <c r="O487" s="27" t="s">
        <v>12</v>
      </c>
      <c r="P487" s="27" t="s">
        <v>13</v>
      </c>
      <c r="Q487" s="27" t="s">
        <v>14</v>
      </c>
    </row>
    <row r="488" spans="1:17" x14ac:dyDescent="0.3">
      <c r="A488" s="22">
        <v>25</v>
      </c>
      <c r="B488" s="19">
        <v>100</v>
      </c>
      <c r="C488" s="20">
        <f>Sales!$B488*Sales!$A488</f>
        <v>2500</v>
      </c>
      <c r="D488" s="21">
        <v>38048</v>
      </c>
      <c r="E488" s="22" t="s">
        <v>9</v>
      </c>
      <c r="F488" s="22">
        <v>1</v>
      </c>
      <c r="G488" s="22">
        <v>3</v>
      </c>
      <c r="H488" s="22">
        <v>2004</v>
      </c>
      <c r="I488" s="22" t="s">
        <v>112</v>
      </c>
      <c r="J488" s="20">
        <v>102</v>
      </c>
      <c r="K488" s="20">
        <f>Sales!$B488-Sales!$J488</f>
        <v>-2</v>
      </c>
      <c r="L488" s="23">
        <f>(Sales!$J488-Sales!$B488)/Sales!$J488</f>
        <v>1.9607843137254902E-2</v>
      </c>
      <c r="M488" s="23" t="str">
        <f t="shared" si="7"/>
        <v>0%-5%</v>
      </c>
      <c r="N488" s="22" t="s">
        <v>54</v>
      </c>
      <c r="O488" s="22" t="s">
        <v>16</v>
      </c>
      <c r="P488" s="22" t="s">
        <v>17</v>
      </c>
      <c r="Q488" s="22" t="s">
        <v>14</v>
      </c>
    </row>
    <row r="489" spans="1:17" x14ac:dyDescent="0.3">
      <c r="A489" s="27">
        <v>40</v>
      </c>
      <c r="B489" s="24">
        <v>100</v>
      </c>
      <c r="C489" s="25">
        <f>Sales!$B489*Sales!$A489</f>
        <v>4000</v>
      </c>
      <c r="D489" s="26">
        <v>38106</v>
      </c>
      <c r="E489" s="27" t="s">
        <v>9</v>
      </c>
      <c r="F489" s="27">
        <v>2</v>
      </c>
      <c r="G489" s="27">
        <v>4</v>
      </c>
      <c r="H489" s="27">
        <v>2004</v>
      </c>
      <c r="I489" s="27" t="s">
        <v>112</v>
      </c>
      <c r="J489" s="25">
        <v>102</v>
      </c>
      <c r="K489" s="25">
        <f>Sales!$B489-Sales!$J489</f>
        <v>-2</v>
      </c>
      <c r="L489" s="28">
        <f>(Sales!$J489-Sales!$B489)/Sales!$J489</f>
        <v>1.9607843137254902E-2</v>
      </c>
      <c r="M489" s="28" t="str">
        <f t="shared" si="7"/>
        <v>0%-5%</v>
      </c>
      <c r="N489" s="27" t="s">
        <v>45</v>
      </c>
      <c r="O489" s="27" t="s">
        <v>46</v>
      </c>
      <c r="P489" s="27" t="s">
        <v>17</v>
      </c>
      <c r="Q489" s="27" t="s">
        <v>19</v>
      </c>
    </row>
    <row r="490" spans="1:17" x14ac:dyDescent="0.3">
      <c r="A490" s="22">
        <v>34</v>
      </c>
      <c r="B490" s="19">
        <v>95.55</v>
      </c>
      <c r="C490" s="20">
        <f>Sales!$B490*Sales!$A490</f>
        <v>3248.7</v>
      </c>
      <c r="D490" s="21">
        <v>38146</v>
      </c>
      <c r="E490" s="22" t="s">
        <v>9</v>
      </c>
      <c r="F490" s="22">
        <v>2</v>
      </c>
      <c r="G490" s="22">
        <v>6</v>
      </c>
      <c r="H490" s="22">
        <v>2004</v>
      </c>
      <c r="I490" s="22" t="s">
        <v>112</v>
      </c>
      <c r="J490" s="20">
        <v>102</v>
      </c>
      <c r="K490" s="20">
        <f>Sales!$B490-Sales!$J490</f>
        <v>-6.4500000000000028</v>
      </c>
      <c r="L490" s="23">
        <f>(Sales!$J490-Sales!$B490)/Sales!$J490</f>
        <v>6.3235294117647084E-2</v>
      </c>
      <c r="M490" s="23" t="str">
        <f t="shared" si="7"/>
        <v>5%-10%</v>
      </c>
      <c r="N490" s="22" t="s">
        <v>72</v>
      </c>
      <c r="O490" s="22" t="s">
        <v>73</v>
      </c>
      <c r="P490" s="22" t="s">
        <v>17</v>
      </c>
      <c r="Q490" s="22" t="s">
        <v>19</v>
      </c>
    </row>
    <row r="491" spans="1:17" x14ac:dyDescent="0.3">
      <c r="A491" s="27">
        <v>50</v>
      </c>
      <c r="B491" s="24">
        <v>100</v>
      </c>
      <c r="C491" s="25">
        <f>Sales!$B491*Sales!$A491</f>
        <v>5000</v>
      </c>
      <c r="D491" s="26">
        <v>38216</v>
      </c>
      <c r="E491" s="27" t="s">
        <v>9</v>
      </c>
      <c r="F491" s="27">
        <v>3</v>
      </c>
      <c r="G491" s="27">
        <v>8</v>
      </c>
      <c r="H491" s="27">
        <v>2004</v>
      </c>
      <c r="I491" s="27" t="s">
        <v>112</v>
      </c>
      <c r="J491" s="25">
        <v>102</v>
      </c>
      <c r="K491" s="25">
        <f>Sales!$B491-Sales!$J491</f>
        <v>-2</v>
      </c>
      <c r="L491" s="28">
        <f>(Sales!$J491-Sales!$B491)/Sales!$J491</f>
        <v>1.9607843137254902E-2</v>
      </c>
      <c r="M491" s="28" t="str">
        <f t="shared" si="7"/>
        <v>0%-5%</v>
      </c>
      <c r="N491" s="27" t="s">
        <v>60</v>
      </c>
      <c r="O491" s="27" t="s">
        <v>61</v>
      </c>
      <c r="P491" s="27" t="s">
        <v>17</v>
      </c>
      <c r="Q491" s="27" t="s">
        <v>19</v>
      </c>
    </row>
    <row r="492" spans="1:17" x14ac:dyDescent="0.3">
      <c r="A492" s="22">
        <v>38</v>
      </c>
      <c r="B492" s="19">
        <v>100</v>
      </c>
      <c r="C492" s="20">
        <f>Sales!$B492*Sales!$A492</f>
        <v>3800</v>
      </c>
      <c r="D492" s="21">
        <v>38233</v>
      </c>
      <c r="E492" s="22" t="s">
        <v>9</v>
      </c>
      <c r="F492" s="22">
        <v>3</v>
      </c>
      <c r="G492" s="22">
        <v>9</v>
      </c>
      <c r="H492" s="22">
        <v>2004</v>
      </c>
      <c r="I492" s="22" t="s">
        <v>112</v>
      </c>
      <c r="J492" s="20">
        <v>102</v>
      </c>
      <c r="K492" s="20">
        <f>Sales!$B492-Sales!$J492</f>
        <v>-2</v>
      </c>
      <c r="L492" s="23">
        <f>(Sales!$J492-Sales!$B492)/Sales!$J492</f>
        <v>1.9607843137254902E-2</v>
      </c>
      <c r="M492" s="23" t="str">
        <f t="shared" si="7"/>
        <v>0%-5%</v>
      </c>
      <c r="N492" s="22" t="s">
        <v>24</v>
      </c>
      <c r="O492" s="22" t="s">
        <v>25</v>
      </c>
      <c r="P492" s="22" t="s">
        <v>17</v>
      </c>
      <c r="Q492" s="22" t="s">
        <v>19</v>
      </c>
    </row>
    <row r="493" spans="1:17" x14ac:dyDescent="0.3">
      <c r="A493" s="27">
        <v>37</v>
      </c>
      <c r="B493" s="24">
        <v>95.55</v>
      </c>
      <c r="C493" s="25">
        <f>Sales!$B493*Sales!$A493</f>
        <v>3535.35</v>
      </c>
      <c r="D493" s="26">
        <v>38271</v>
      </c>
      <c r="E493" s="27" t="s">
        <v>9</v>
      </c>
      <c r="F493" s="27">
        <v>4</v>
      </c>
      <c r="G493" s="27">
        <v>10</v>
      </c>
      <c r="H493" s="27">
        <v>2004</v>
      </c>
      <c r="I493" s="27" t="s">
        <v>112</v>
      </c>
      <c r="J493" s="25">
        <v>102</v>
      </c>
      <c r="K493" s="25">
        <f>Sales!$B493-Sales!$J493</f>
        <v>-6.4500000000000028</v>
      </c>
      <c r="L493" s="28">
        <f>(Sales!$J493-Sales!$B493)/Sales!$J493</f>
        <v>6.3235294117647084E-2</v>
      </c>
      <c r="M493" s="28" t="str">
        <f t="shared" si="7"/>
        <v>5%-10%</v>
      </c>
      <c r="N493" s="27" t="s">
        <v>63</v>
      </c>
      <c r="O493" s="27" t="s">
        <v>16</v>
      </c>
      <c r="P493" s="27" t="s">
        <v>17</v>
      </c>
      <c r="Q493" s="27" t="s">
        <v>19</v>
      </c>
    </row>
    <row r="494" spans="1:17" x14ac:dyDescent="0.3">
      <c r="A494" s="22">
        <v>43</v>
      </c>
      <c r="B494" s="19">
        <v>89.38</v>
      </c>
      <c r="C494" s="20">
        <f>Sales!$B494*Sales!$A494</f>
        <v>3843.3399999999997</v>
      </c>
      <c r="D494" s="21">
        <v>38281</v>
      </c>
      <c r="E494" s="22" t="s">
        <v>9</v>
      </c>
      <c r="F494" s="22">
        <v>4</v>
      </c>
      <c r="G494" s="22">
        <v>10</v>
      </c>
      <c r="H494" s="22">
        <v>2004</v>
      </c>
      <c r="I494" s="22" t="s">
        <v>112</v>
      </c>
      <c r="J494" s="20">
        <v>102</v>
      </c>
      <c r="K494" s="20">
        <f>Sales!$B494-Sales!$J494</f>
        <v>-12.620000000000005</v>
      </c>
      <c r="L494" s="23">
        <f>(Sales!$J494-Sales!$B494)/Sales!$J494</f>
        <v>0.12372549019607848</v>
      </c>
      <c r="M494" s="23" t="str">
        <f t="shared" si="7"/>
        <v>10%-15%</v>
      </c>
      <c r="N494" s="22" t="s">
        <v>64</v>
      </c>
      <c r="O494" s="22" t="s">
        <v>12</v>
      </c>
      <c r="P494" s="22" t="s">
        <v>13</v>
      </c>
      <c r="Q494" s="22" t="s">
        <v>19</v>
      </c>
    </row>
    <row r="495" spans="1:17" x14ac:dyDescent="0.3">
      <c r="A495" s="27">
        <v>43</v>
      </c>
      <c r="B495" s="24">
        <v>86.3</v>
      </c>
      <c r="C495" s="25">
        <f>Sales!$B495*Sales!$A495</f>
        <v>3710.9</v>
      </c>
      <c r="D495" s="26">
        <v>38295</v>
      </c>
      <c r="E495" s="27" t="s">
        <v>9</v>
      </c>
      <c r="F495" s="27">
        <v>4</v>
      </c>
      <c r="G495" s="27">
        <v>11</v>
      </c>
      <c r="H495" s="27">
        <v>2004</v>
      </c>
      <c r="I495" s="27" t="s">
        <v>112</v>
      </c>
      <c r="J495" s="25">
        <v>102</v>
      </c>
      <c r="K495" s="25">
        <f>Sales!$B495-Sales!$J495</f>
        <v>-15.700000000000003</v>
      </c>
      <c r="L495" s="28">
        <f>(Sales!$J495-Sales!$B495)/Sales!$J495</f>
        <v>0.15392156862745102</v>
      </c>
      <c r="M495" s="28" t="s">
        <v>132</v>
      </c>
      <c r="N495" s="27" t="s">
        <v>65</v>
      </c>
      <c r="O495" s="27" t="s">
        <v>12</v>
      </c>
      <c r="P495" s="27" t="s">
        <v>13</v>
      </c>
      <c r="Q495" s="27" t="s">
        <v>19</v>
      </c>
    </row>
    <row r="496" spans="1:17" x14ac:dyDescent="0.3">
      <c r="A496" s="22">
        <v>46</v>
      </c>
      <c r="B496" s="19">
        <v>95.13</v>
      </c>
      <c r="C496" s="20">
        <f>Sales!$B496*Sales!$A496</f>
        <v>4375.9799999999996</v>
      </c>
      <c r="D496" s="21">
        <v>38308</v>
      </c>
      <c r="E496" s="22" t="s">
        <v>9</v>
      </c>
      <c r="F496" s="22">
        <v>4</v>
      </c>
      <c r="G496" s="22">
        <v>11</v>
      </c>
      <c r="H496" s="22">
        <v>2004</v>
      </c>
      <c r="I496" s="22" t="s">
        <v>112</v>
      </c>
      <c r="J496" s="20">
        <v>102</v>
      </c>
      <c r="K496" s="20">
        <f>Sales!$B496-Sales!$J496</f>
        <v>-6.8700000000000045</v>
      </c>
      <c r="L496" s="23">
        <f>(Sales!$J496-Sales!$B496)/Sales!$J496</f>
        <v>6.7352941176470629E-2</v>
      </c>
      <c r="M496" s="23" t="str">
        <f t="shared" si="7"/>
        <v>5%-10%</v>
      </c>
      <c r="N496" s="22" t="s">
        <v>102</v>
      </c>
      <c r="O496" s="22" t="s">
        <v>43</v>
      </c>
      <c r="P496" s="22" t="s">
        <v>17</v>
      </c>
      <c r="Q496" s="22" t="s">
        <v>19</v>
      </c>
    </row>
    <row r="497" spans="1:17" x14ac:dyDescent="0.3">
      <c r="A497" s="27">
        <v>42</v>
      </c>
      <c r="B497" s="24">
        <v>36.11</v>
      </c>
      <c r="C497" s="25">
        <f>Sales!$B497*Sales!$A497</f>
        <v>1516.62</v>
      </c>
      <c r="D497" s="26">
        <v>38320</v>
      </c>
      <c r="E497" s="27" t="s">
        <v>9</v>
      </c>
      <c r="F497" s="27">
        <v>4</v>
      </c>
      <c r="G497" s="27">
        <v>11</v>
      </c>
      <c r="H497" s="27">
        <v>2004</v>
      </c>
      <c r="I497" s="27" t="s">
        <v>112</v>
      </c>
      <c r="J497" s="25">
        <v>102</v>
      </c>
      <c r="K497" s="25">
        <f>Sales!$B497-Sales!$J497</f>
        <v>-65.89</v>
      </c>
      <c r="L497" s="28">
        <f>(Sales!$J497-Sales!$B497)/Sales!$J497</f>
        <v>0.64598039215686276</v>
      </c>
      <c r="M497" s="28" t="str">
        <f t="shared" si="7"/>
        <v>+20%</v>
      </c>
      <c r="N497" s="27" t="s">
        <v>109</v>
      </c>
      <c r="O497" s="27" t="s">
        <v>12</v>
      </c>
      <c r="P497" s="27" t="s">
        <v>13</v>
      </c>
      <c r="Q497" s="27" t="s">
        <v>14</v>
      </c>
    </row>
    <row r="498" spans="1:17" x14ac:dyDescent="0.3">
      <c r="A498" s="22">
        <v>50</v>
      </c>
      <c r="B498" s="19">
        <v>50.18</v>
      </c>
      <c r="C498" s="20">
        <f>Sales!$B498*Sales!$A498</f>
        <v>2509</v>
      </c>
      <c r="D498" s="21">
        <v>38330</v>
      </c>
      <c r="E498" s="22" t="s">
        <v>9</v>
      </c>
      <c r="F498" s="22">
        <v>4</v>
      </c>
      <c r="G498" s="22">
        <v>12</v>
      </c>
      <c r="H498" s="22">
        <v>2004</v>
      </c>
      <c r="I498" s="22" t="s">
        <v>112</v>
      </c>
      <c r="J498" s="20">
        <v>102</v>
      </c>
      <c r="K498" s="20">
        <f>Sales!$B498-Sales!$J498</f>
        <v>-51.82</v>
      </c>
      <c r="L498" s="23">
        <f>(Sales!$J498-Sales!$B498)/Sales!$J498</f>
        <v>0.50803921568627453</v>
      </c>
      <c r="M498" s="23" t="str">
        <f t="shared" si="7"/>
        <v>+20%</v>
      </c>
      <c r="N498" s="22" t="s">
        <v>18</v>
      </c>
      <c r="O498" s="22" t="s">
        <v>16</v>
      </c>
      <c r="P498" s="22" t="s">
        <v>17</v>
      </c>
      <c r="Q498" s="22" t="s">
        <v>14</v>
      </c>
    </row>
    <row r="499" spans="1:17" x14ac:dyDescent="0.3">
      <c r="A499" s="27">
        <v>44</v>
      </c>
      <c r="B499" s="24">
        <v>100</v>
      </c>
      <c r="C499" s="25">
        <f>Sales!$B499*Sales!$A499</f>
        <v>4400</v>
      </c>
      <c r="D499" s="26">
        <v>38372</v>
      </c>
      <c r="E499" s="27" t="s">
        <v>9</v>
      </c>
      <c r="F499" s="27">
        <v>1</v>
      </c>
      <c r="G499" s="27">
        <v>1</v>
      </c>
      <c r="H499" s="27">
        <v>2005</v>
      </c>
      <c r="I499" s="27" t="s">
        <v>112</v>
      </c>
      <c r="J499" s="25">
        <v>102</v>
      </c>
      <c r="K499" s="25">
        <f>Sales!$B499-Sales!$J499</f>
        <v>-2</v>
      </c>
      <c r="L499" s="28">
        <f>(Sales!$J499-Sales!$B499)/Sales!$J499</f>
        <v>1.9607843137254902E-2</v>
      </c>
      <c r="M499" s="28" t="str">
        <f t="shared" si="7"/>
        <v>0%-5%</v>
      </c>
      <c r="N499" s="27" t="s">
        <v>66</v>
      </c>
      <c r="O499" s="27" t="s">
        <v>12</v>
      </c>
      <c r="P499" s="27" t="s">
        <v>13</v>
      </c>
      <c r="Q499" s="27" t="s">
        <v>39</v>
      </c>
    </row>
    <row r="500" spans="1:17" x14ac:dyDescent="0.3">
      <c r="A500" s="22">
        <v>27</v>
      </c>
      <c r="B500" s="19">
        <v>93.16</v>
      </c>
      <c r="C500" s="20">
        <f>Sales!$B500*Sales!$A500</f>
        <v>2515.3199999999997</v>
      </c>
      <c r="D500" s="21">
        <v>38399</v>
      </c>
      <c r="E500" s="22" t="s">
        <v>9</v>
      </c>
      <c r="F500" s="22">
        <v>1</v>
      </c>
      <c r="G500" s="22">
        <v>2</v>
      </c>
      <c r="H500" s="22">
        <v>2005</v>
      </c>
      <c r="I500" s="22" t="s">
        <v>112</v>
      </c>
      <c r="J500" s="20">
        <v>102</v>
      </c>
      <c r="K500" s="20">
        <f>Sales!$B500-Sales!$J500</f>
        <v>-8.8400000000000034</v>
      </c>
      <c r="L500" s="23">
        <f>(Sales!$J500-Sales!$B500)/Sales!$J500</f>
        <v>8.6666666666666697E-2</v>
      </c>
      <c r="M500" s="23" t="str">
        <f t="shared" si="7"/>
        <v>5%-10%</v>
      </c>
      <c r="N500" s="22" t="s">
        <v>45</v>
      </c>
      <c r="O500" s="22" t="s">
        <v>46</v>
      </c>
      <c r="P500" s="22" t="s">
        <v>17</v>
      </c>
      <c r="Q500" s="22" t="s">
        <v>14</v>
      </c>
    </row>
    <row r="501" spans="1:17" x14ac:dyDescent="0.3">
      <c r="A501" s="27">
        <v>35</v>
      </c>
      <c r="B501" s="24">
        <v>100</v>
      </c>
      <c r="C501" s="25">
        <f>Sales!$B501*Sales!$A501</f>
        <v>3500</v>
      </c>
      <c r="D501" s="26">
        <v>38420</v>
      </c>
      <c r="E501" s="27" t="s">
        <v>9</v>
      </c>
      <c r="F501" s="27">
        <v>1</v>
      </c>
      <c r="G501" s="27">
        <v>3</v>
      </c>
      <c r="H501" s="27">
        <v>2005</v>
      </c>
      <c r="I501" s="27" t="s">
        <v>112</v>
      </c>
      <c r="J501" s="25">
        <v>102</v>
      </c>
      <c r="K501" s="25">
        <f>Sales!$B501-Sales!$J501</f>
        <v>-2</v>
      </c>
      <c r="L501" s="28">
        <f>(Sales!$J501-Sales!$B501)/Sales!$J501</f>
        <v>1.9607843137254902E-2</v>
      </c>
      <c r="M501" s="28" t="str">
        <f t="shared" si="7"/>
        <v>0%-5%</v>
      </c>
      <c r="N501" s="27" t="s">
        <v>67</v>
      </c>
      <c r="O501" s="27" t="s">
        <v>27</v>
      </c>
      <c r="P501" s="27" t="s">
        <v>28</v>
      </c>
      <c r="Q501" s="27" t="s">
        <v>19</v>
      </c>
    </row>
    <row r="502" spans="1:17" x14ac:dyDescent="0.3">
      <c r="A502" s="22">
        <v>51</v>
      </c>
      <c r="B502" s="19">
        <v>95.55</v>
      </c>
      <c r="C502" s="20">
        <f>Sales!$B502*Sales!$A502</f>
        <v>4873.05</v>
      </c>
      <c r="D502" s="21">
        <v>38502</v>
      </c>
      <c r="E502" s="22" t="s">
        <v>69</v>
      </c>
      <c r="F502" s="22">
        <v>2</v>
      </c>
      <c r="G502" s="22">
        <v>5</v>
      </c>
      <c r="H502" s="22">
        <v>2005</v>
      </c>
      <c r="I502" s="22" t="s">
        <v>112</v>
      </c>
      <c r="J502" s="20">
        <v>102</v>
      </c>
      <c r="K502" s="20">
        <f>Sales!$B502-Sales!$J502</f>
        <v>-6.4500000000000028</v>
      </c>
      <c r="L502" s="23">
        <f>(Sales!$J502-Sales!$B502)/Sales!$J502</f>
        <v>6.3235294117647084E-2</v>
      </c>
      <c r="M502" s="23" t="str">
        <f t="shared" si="7"/>
        <v>5%-10%</v>
      </c>
      <c r="N502" s="22" t="s">
        <v>36</v>
      </c>
      <c r="O502" s="22" t="s">
        <v>12</v>
      </c>
      <c r="P502" s="22" t="s">
        <v>13</v>
      </c>
      <c r="Q502" s="22" t="s">
        <v>19</v>
      </c>
    </row>
    <row r="503" spans="1:17" x14ac:dyDescent="0.3">
      <c r="A503" s="27">
        <v>41</v>
      </c>
      <c r="B503" s="24">
        <v>50.14</v>
      </c>
      <c r="C503" s="25">
        <f>Sales!$B503*Sales!$A503</f>
        <v>2055.7400000000002</v>
      </c>
      <c r="D503" s="26">
        <v>37631</v>
      </c>
      <c r="E503" s="27" t="s">
        <v>9</v>
      </c>
      <c r="F503" s="27">
        <v>1</v>
      </c>
      <c r="G503" s="27">
        <v>1</v>
      </c>
      <c r="H503" s="27">
        <v>2003</v>
      </c>
      <c r="I503" s="27" t="s">
        <v>112</v>
      </c>
      <c r="J503" s="25">
        <v>53</v>
      </c>
      <c r="K503" s="25">
        <f>Sales!$B503-Sales!$J503</f>
        <v>-2.8599999999999994</v>
      </c>
      <c r="L503" s="28">
        <f>(Sales!$J503-Sales!$B503)/Sales!$J503</f>
        <v>5.3962264150943386E-2</v>
      </c>
      <c r="M503" s="28" t="s">
        <v>131</v>
      </c>
      <c r="N503" s="27" t="s">
        <v>11</v>
      </c>
      <c r="O503" s="27" t="s">
        <v>12</v>
      </c>
      <c r="P503" s="27" t="s">
        <v>13</v>
      </c>
      <c r="Q503" s="27" t="s">
        <v>14</v>
      </c>
    </row>
    <row r="504" spans="1:17" x14ac:dyDescent="0.3">
      <c r="A504" s="22">
        <v>48</v>
      </c>
      <c r="B504" s="19">
        <v>49.06</v>
      </c>
      <c r="C504" s="20">
        <f>Sales!$B504*Sales!$A504</f>
        <v>2354.88</v>
      </c>
      <c r="D504" s="21">
        <v>37705</v>
      </c>
      <c r="E504" s="22" t="s">
        <v>9</v>
      </c>
      <c r="F504" s="22">
        <v>1</v>
      </c>
      <c r="G504" s="22">
        <v>3</v>
      </c>
      <c r="H504" s="22">
        <v>2003</v>
      </c>
      <c r="I504" s="22" t="s">
        <v>112</v>
      </c>
      <c r="J504" s="20">
        <v>53</v>
      </c>
      <c r="K504" s="20">
        <f>Sales!$B504-Sales!$J504</f>
        <v>-3.9399999999999977</v>
      </c>
      <c r="L504" s="23">
        <f>(Sales!$J504-Sales!$B504)/Sales!$J504</f>
        <v>7.4339622641509395E-2</v>
      </c>
      <c r="M504" s="23" t="str">
        <f t="shared" si="7"/>
        <v>5%-10%</v>
      </c>
      <c r="N504" s="22" t="s">
        <v>21</v>
      </c>
      <c r="O504" s="22" t="s">
        <v>12</v>
      </c>
      <c r="P504" s="22" t="s">
        <v>13</v>
      </c>
      <c r="Q504" s="22" t="s">
        <v>14</v>
      </c>
    </row>
    <row r="505" spans="1:17" x14ac:dyDescent="0.3">
      <c r="A505" s="27">
        <v>42</v>
      </c>
      <c r="B505" s="24">
        <v>54.99</v>
      </c>
      <c r="C505" s="25">
        <f>Sales!$B505*Sales!$A505</f>
        <v>2309.58</v>
      </c>
      <c r="D505" s="26">
        <v>37769</v>
      </c>
      <c r="E505" s="27" t="s">
        <v>9</v>
      </c>
      <c r="F505" s="27">
        <v>2</v>
      </c>
      <c r="G505" s="27">
        <v>5</v>
      </c>
      <c r="H505" s="27">
        <v>2003</v>
      </c>
      <c r="I505" s="27" t="s">
        <v>112</v>
      </c>
      <c r="J505" s="25">
        <v>53</v>
      </c>
      <c r="K505" s="25">
        <f>Sales!$B505-Sales!$J505</f>
        <v>1.990000000000002</v>
      </c>
      <c r="L505" s="28">
        <f>(Sales!$J505-Sales!$B505)/Sales!$J505</f>
        <v>-3.7547169811320794E-2</v>
      </c>
      <c r="M505" s="28" t="str">
        <f t="shared" si="7"/>
        <v>Below 0%</v>
      </c>
      <c r="N505" s="27" t="s">
        <v>45</v>
      </c>
      <c r="O505" s="27" t="s">
        <v>46</v>
      </c>
      <c r="P505" s="27" t="s">
        <v>17</v>
      </c>
      <c r="Q505" s="27" t="s">
        <v>14</v>
      </c>
    </row>
    <row r="506" spans="1:17" x14ac:dyDescent="0.3">
      <c r="A506" s="22">
        <v>49</v>
      </c>
      <c r="B506" s="19">
        <v>43.13</v>
      </c>
      <c r="C506" s="20">
        <f>Sales!$B506*Sales!$A506</f>
        <v>2113.3700000000003</v>
      </c>
      <c r="D506" s="21">
        <v>37818</v>
      </c>
      <c r="E506" s="22" t="s">
        <v>9</v>
      </c>
      <c r="F506" s="22">
        <v>3</v>
      </c>
      <c r="G506" s="22">
        <v>7</v>
      </c>
      <c r="H506" s="22">
        <v>2003</v>
      </c>
      <c r="I506" s="22" t="s">
        <v>112</v>
      </c>
      <c r="J506" s="20">
        <v>53</v>
      </c>
      <c r="K506" s="20">
        <f>Sales!$B506-Sales!$J506</f>
        <v>-9.8699999999999974</v>
      </c>
      <c r="L506" s="23">
        <f>(Sales!$J506-Sales!$B506)/Sales!$J506</f>
        <v>0.18622641509433957</v>
      </c>
      <c r="M506" s="23" t="str">
        <f t="shared" si="7"/>
        <v>15%-20%</v>
      </c>
      <c r="N506" s="22" t="s">
        <v>40</v>
      </c>
      <c r="O506" s="22" t="s">
        <v>27</v>
      </c>
      <c r="P506" s="22" t="s">
        <v>28</v>
      </c>
      <c r="Q506" s="22" t="s">
        <v>14</v>
      </c>
    </row>
    <row r="507" spans="1:17" x14ac:dyDescent="0.3">
      <c r="A507" s="27">
        <v>30</v>
      </c>
      <c r="B507" s="24">
        <v>58.22</v>
      </c>
      <c r="C507" s="25">
        <f>Sales!$B507*Sales!$A507</f>
        <v>1746.6</v>
      </c>
      <c r="D507" s="26">
        <v>37876</v>
      </c>
      <c r="E507" s="27" t="s">
        <v>9</v>
      </c>
      <c r="F507" s="27">
        <v>3</v>
      </c>
      <c r="G507" s="27">
        <v>9</v>
      </c>
      <c r="H507" s="27">
        <v>2003</v>
      </c>
      <c r="I507" s="27" t="s">
        <v>112</v>
      </c>
      <c r="J507" s="25">
        <v>53</v>
      </c>
      <c r="K507" s="25">
        <f>Sales!$B507-Sales!$J507</f>
        <v>5.2199999999999989</v>
      </c>
      <c r="L507" s="28">
        <f>(Sales!$J507-Sales!$B507)/Sales!$J507</f>
        <v>-9.849056603773583E-2</v>
      </c>
      <c r="M507" s="28" t="str">
        <f t="shared" si="7"/>
        <v>Below 0%</v>
      </c>
      <c r="N507" s="27" t="s">
        <v>107</v>
      </c>
      <c r="O507" s="27" t="s">
        <v>12</v>
      </c>
      <c r="P507" s="27" t="s">
        <v>13</v>
      </c>
      <c r="Q507" s="27" t="s">
        <v>14</v>
      </c>
    </row>
    <row r="508" spans="1:17" x14ac:dyDescent="0.3">
      <c r="A508" s="22">
        <v>45</v>
      </c>
      <c r="B508" s="19">
        <v>51.21</v>
      </c>
      <c r="C508" s="20">
        <f>Sales!$B508*Sales!$A508</f>
        <v>2304.4499999999998</v>
      </c>
      <c r="D508" s="21">
        <v>37912</v>
      </c>
      <c r="E508" s="22" t="s">
        <v>9</v>
      </c>
      <c r="F508" s="22">
        <v>4</v>
      </c>
      <c r="G508" s="22">
        <v>10</v>
      </c>
      <c r="H508" s="22">
        <v>2003</v>
      </c>
      <c r="I508" s="22" t="s">
        <v>112</v>
      </c>
      <c r="J508" s="20">
        <v>53</v>
      </c>
      <c r="K508" s="20">
        <f>Sales!$B508-Sales!$J508</f>
        <v>-1.7899999999999991</v>
      </c>
      <c r="L508" s="23">
        <f>(Sales!$J508-Sales!$B508)/Sales!$J508</f>
        <v>3.3773584905660362E-2</v>
      </c>
      <c r="M508" s="23" t="str">
        <f t="shared" si="7"/>
        <v>0%-5%</v>
      </c>
      <c r="N508" s="22" t="s">
        <v>21</v>
      </c>
      <c r="O508" s="22" t="s">
        <v>12</v>
      </c>
      <c r="P508" s="22" t="s">
        <v>13</v>
      </c>
      <c r="Q508" s="22" t="s">
        <v>14</v>
      </c>
    </row>
    <row r="509" spans="1:17" x14ac:dyDescent="0.3">
      <c r="A509" s="27">
        <v>48</v>
      </c>
      <c r="B509" s="24">
        <v>44.21</v>
      </c>
      <c r="C509" s="25">
        <f>Sales!$B509*Sales!$A509</f>
        <v>2122.08</v>
      </c>
      <c r="D509" s="26">
        <v>37930</v>
      </c>
      <c r="E509" s="27" t="s">
        <v>9</v>
      </c>
      <c r="F509" s="27">
        <v>4</v>
      </c>
      <c r="G509" s="27">
        <v>11</v>
      </c>
      <c r="H509" s="27">
        <v>2003</v>
      </c>
      <c r="I509" s="27" t="s">
        <v>112</v>
      </c>
      <c r="J509" s="25">
        <v>53</v>
      </c>
      <c r="K509" s="25">
        <f>Sales!$B509-Sales!$J509</f>
        <v>-8.7899999999999991</v>
      </c>
      <c r="L509" s="28">
        <f>(Sales!$J509-Sales!$B509)/Sales!$J509</f>
        <v>0.16584905660377358</v>
      </c>
      <c r="M509" s="28" t="str">
        <f t="shared" si="7"/>
        <v>15%-20%</v>
      </c>
      <c r="N509" s="27" t="s">
        <v>113</v>
      </c>
      <c r="O509" s="27" t="s">
        <v>61</v>
      </c>
      <c r="P509" s="27" t="s">
        <v>17</v>
      </c>
      <c r="Q509" s="27" t="s">
        <v>14</v>
      </c>
    </row>
    <row r="510" spans="1:17" x14ac:dyDescent="0.3">
      <c r="A510" s="22">
        <v>32</v>
      </c>
      <c r="B510" s="19">
        <v>54.45</v>
      </c>
      <c r="C510" s="20">
        <f>Sales!$B510*Sales!$A510</f>
        <v>1742.4</v>
      </c>
      <c r="D510" s="21">
        <v>37937</v>
      </c>
      <c r="E510" s="22" t="s">
        <v>9</v>
      </c>
      <c r="F510" s="22">
        <v>4</v>
      </c>
      <c r="G510" s="22">
        <v>11</v>
      </c>
      <c r="H510" s="22">
        <v>2003</v>
      </c>
      <c r="I510" s="22" t="s">
        <v>112</v>
      </c>
      <c r="J510" s="20">
        <v>53</v>
      </c>
      <c r="K510" s="20">
        <f>Sales!$B510-Sales!$J510</f>
        <v>1.4500000000000028</v>
      </c>
      <c r="L510" s="23">
        <f>(Sales!$J510-Sales!$B510)/Sales!$J510</f>
        <v>-2.7358490566037789E-2</v>
      </c>
      <c r="M510" s="23" t="str">
        <f t="shared" si="7"/>
        <v>Below 0%</v>
      </c>
      <c r="N510" s="22" t="s">
        <v>64</v>
      </c>
      <c r="O510" s="22" t="s">
        <v>12</v>
      </c>
      <c r="P510" s="22" t="s">
        <v>13</v>
      </c>
      <c r="Q510" s="22" t="s">
        <v>14</v>
      </c>
    </row>
    <row r="511" spans="1:17" x14ac:dyDescent="0.3">
      <c r="A511" s="27">
        <v>46</v>
      </c>
      <c r="B511" s="24">
        <v>53.37</v>
      </c>
      <c r="C511" s="25">
        <f>Sales!$B511*Sales!$A511</f>
        <v>2455.02</v>
      </c>
      <c r="D511" s="26">
        <v>37946</v>
      </c>
      <c r="E511" s="27" t="s">
        <v>9</v>
      </c>
      <c r="F511" s="27">
        <v>4</v>
      </c>
      <c r="G511" s="27">
        <v>11</v>
      </c>
      <c r="H511" s="27">
        <v>2003</v>
      </c>
      <c r="I511" s="27" t="s">
        <v>112</v>
      </c>
      <c r="J511" s="25">
        <v>53</v>
      </c>
      <c r="K511" s="25">
        <f>Sales!$B511-Sales!$J511</f>
        <v>0.36999999999999744</v>
      </c>
      <c r="L511" s="28">
        <f>(Sales!$J511-Sales!$B511)/Sales!$J511</f>
        <v>-6.9811320754716499E-3</v>
      </c>
      <c r="M511" s="28" t="str">
        <f t="shared" si="7"/>
        <v>Below 0%</v>
      </c>
      <c r="N511" s="27" t="s">
        <v>114</v>
      </c>
      <c r="O511" s="27" t="s">
        <v>27</v>
      </c>
      <c r="P511" s="27" t="s">
        <v>28</v>
      </c>
      <c r="Q511" s="27" t="s">
        <v>14</v>
      </c>
    </row>
    <row r="512" spans="1:17" x14ac:dyDescent="0.3">
      <c r="A512" s="22">
        <v>48</v>
      </c>
      <c r="B512" s="19">
        <v>63.61</v>
      </c>
      <c r="C512" s="20">
        <f>Sales!$B512*Sales!$A512</f>
        <v>3053.2799999999997</v>
      </c>
      <c r="D512" s="21">
        <v>37958</v>
      </c>
      <c r="E512" s="22" t="s">
        <v>9</v>
      </c>
      <c r="F512" s="22">
        <v>4</v>
      </c>
      <c r="G512" s="22">
        <v>12</v>
      </c>
      <c r="H512" s="22">
        <v>2003</v>
      </c>
      <c r="I512" s="22" t="s">
        <v>112</v>
      </c>
      <c r="J512" s="20">
        <v>53</v>
      </c>
      <c r="K512" s="20">
        <f>Sales!$B512-Sales!$J512</f>
        <v>10.61</v>
      </c>
      <c r="L512" s="23">
        <f>(Sales!$J512-Sales!$B512)/Sales!$J512</f>
        <v>-0.200188679245283</v>
      </c>
      <c r="M512" s="23" t="str">
        <f t="shared" si="7"/>
        <v>Below 0%</v>
      </c>
      <c r="N512" s="22" t="s">
        <v>45</v>
      </c>
      <c r="O512" s="22" t="s">
        <v>46</v>
      </c>
      <c r="P512" s="22" t="s">
        <v>17</v>
      </c>
      <c r="Q512" s="22" t="s">
        <v>19</v>
      </c>
    </row>
    <row r="513" spans="1:17" x14ac:dyDescent="0.3">
      <c r="A513" s="27">
        <v>33</v>
      </c>
      <c r="B513" s="24">
        <v>43.13</v>
      </c>
      <c r="C513" s="25">
        <f>Sales!$B513*Sales!$A513</f>
        <v>1423.2900000000002</v>
      </c>
      <c r="D513" s="26">
        <v>38015</v>
      </c>
      <c r="E513" s="27" t="s">
        <v>9</v>
      </c>
      <c r="F513" s="27">
        <v>1</v>
      </c>
      <c r="G513" s="27">
        <v>1</v>
      </c>
      <c r="H513" s="27">
        <v>2004</v>
      </c>
      <c r="I513" s="27" t="s">
        <v>112</v>
      </c>
      <c r="J513" s="25">
        <v>53</v>
      </c>
      <c r="K513" s="25">
        <f>Sales!$B513-Sales!$J513</f>
        <v>-9.8699999999999974</v>
      </c>
      <c r="L513" s="28">
        <f>(Sales!$J513-Sales!$B513)/Sales!$J513</f>
        <v>0.18622641509433957</v>
      </c>
      <c r="M513" s="28" t="str">
        <f t="shared" si="7"/>
        <v>15%-20%</v>
      </c>
      <c r="N513" s="27" t="s">
        <v>57</v>
      </c>
      <c r="O513" s="27" t="s">
        <v>12</v>
      </c>
      <c r="P513" s="27" t="s">
        <v>13</v>
      </c>
      <c r="Q513" s="27" t="s">
        <v>14</v>
      </c>
    </row>
    <row r="514" spans="1:17" x14ac:dyDescent="0.3">
      <c r="A514" s="22">
        <v>31</v>
      </c>
      <c r="B514" s="19">
        <v>48.52</v>
      </c>
      <c r="C514" s="20">
        <f>Sales!$B514*Sales!$A514</f>
        <v>1504.1200000000001</v>
      </c>
      <c r="D514" s="21">
        <v>38048</v>
      </c>
      <c r="E514" s="22" t="s">
        <v>9</v>
      </c>
      <c r="F514" s="22">
        <v>1</v>
      </c>
      <c r="G514" s="22">
        <v>3</v>
      </c>
      <c r="H514" s="22">
        <v>2004</v>
      </c>
      <c r="I514" s="22" t="s">
        <v>112</v>
      </c>
      <c r="J514" s="20">
        <v>53</v>
      </c>
      <c r="K514" s="20">
        <f>Sales!$B514-Sales!$J514</f>
        <v>-4.4799999999999969</v>
      </c>
      <c r="L514" s="23">
        <f>(Sales!$J514-Sales!$B514)/Sales!$J514</f>
        <v>8.452830188679239E-2</v>
      </c>
      <c r="M514" s="23" t="str">
        <f t="shared" si="7"/>
        <v>5%-10%</v>
      </c>
      <c r="N514" s="22" t="s">
        <v>54</v>
      </c>
      <c r="O514" s="22" t="s">
        <v>16</v>
      </c>
      <c r="P514" s="22" t="s">
        <v>17</v>
      </c>
      <c r="Q514" s="22" t="s">
        <v>14</v>
      </c>
    </row>
    <row r="515" spans="1:17" x14ac:dyDescent="0.3">
      <c r="A515" s="27">
        <v>20</v>
      </c>
      <c r="B515" s="24">
        <v>58.22</v>
      </c>
      <c r="C515" s="25">
        <f>Sales!$B515*Sales!$A515</f>
        <v>1164.4000000000001</v>
      </c>
      <c r="D515" s="26">
        <v>38106</v>
      </c>
      <c r="E515" s="27" t="s">
        <v>9</v>
      </c>
      <c r="F515" s="27">
        <v>2</v>
      </c>
      <c r="G515" s="27">
        <v>4</v>
      </c>
      <c r="H515" s="27">
        <v>2004</v>
      </c>
      <c r="I515" s="27" t="s">
        <v>112</v>
      </c>
      <c r="J515" s="25">
        <v>53</v>
      </c>
      <c r="K515" s="25">
        <f>Sales!$B515-Sales!$J515</f>
        <v>5.2199999999999989</v>
      </c>
      <c r="L515" s="28">
        <f>(Sales!$J515-Sales!$B515)/Sales!$J515</f>
        <v>-9.849056603773583E-2</v>
      </c>
      <c r="M515" s="28" t="str">
        <f t="shared" ref="M515:M578" si="8">IF(L515&lt;0%,"Below 0%",IF(L515=0%,"0%",IF(AND(L515&lt;=5%,L515&gt;0%),"0%-5%",IF(AND(L515&lt;=10%,L515&gt;5%),"5%-10%",IF(AND(L515&lt;=15%,L515&gt;10%),"10%-15%",IF(AND(L515&lt;=20%,L515&gt;15%),"15%-20%","+20%"))))))</f>
        <v>Below 0%</v>
      </c>
      <c r="N515" s="27" t="s">
        <v>45</v>
      </c>
      <c r="O515" s="27" t="s">
        <v>46</v>
      </c>
      <c r="P515" s="27" t="s">
        <v>17</v>
      </c>
      <c r="Q515" s="27" t="s">
        <v>14</v>
      </c>
    </row>
    <row r="516" spans="1:17" x14ac:dyDescent="0.3">
      <c r="A516" s="22">
        <v>29</v>
      </c>
      <c r="B516" s="19">
        <v>51.75</v>
      </c>
      <c r="C516" s="20">
        <f>Sales!$B516*Sales!$A516</f>
        <v>1500.75</v>
      </c>
      <c r="D516" s="21">
        <v>38146</v>
      </c>
      <c r="E516" s="22" t="s">
        <v>9</v>
      </c>
      <c r="F516" s="22">
        <v>2</v>
      </c>
      <c r="G516" s="22">
        <v>6</v>
      </c>
      <c r="H516" s="22">
        <v>2004</v>
      </c>
      <c r="I516" s="22" t="s">
        <v>112</v>
      </c>
      <c r="J516" s="20">
        <v>53</v>
      </c>
      <c r="K516" s="20">
        <f>Sales!$B516-Sales!$J516</f>
        <v>-1.25</v>
      </c>
      <c r="L516" s="23">
        <f>(Sales!$J516-Sales!$B516)/Sales!$J516</f>
        <v>2.358490566037736E-2</v>
      </c>
      <c r="M516" s="23" t="str">
        <f t="shared" si="8"/>
        <v>0%-5%</v>
      </c>
      <c r="N516" s="22" t="s">
        <v>72</v>
      </c>
      <c r="O516" s="22" t="s">
        <v>73</v>
      </c>
      <c r="P516" s="22" t="s">
        <v>17</v>
      </c>
      <c r="Q516" s="22" t="s">
        <v>14</v>
      </c>
    </row>
    <row r="517" spans="1:17" x14ac:dyDescent="0.3">
      <c r="A517" s="27">
        <v>27</v>
      </c>
      <c r="B517" s="24">
        <v>57.68</v>
      </c>
      <c r="C517" s="25">
        <f>Sales!$B517*Sales!$A517</f>
        <v>1557.36</v>
      </c>
      <c r="D517" s="26">
        <v>38216</v>
      </c>
      <c r="E517" s="27" t="s">
        <v>9</v>
      </c>
      <c r="F517" s="27">
        <v>3</v>
      </c>
      <c r="G517" s="27">
        <v>8</v>
      </c>
      <c r="H517" s="27">
        <v>2004</v>
      </c>
      <c r="I517" s="27" t="s">
        <v>112</v>
      </c>
      <c r="J517" s="25">
        <v>53</v>
      </c>
      <c r="K517" s="25">
        <f>Sales!$B517-Sales!$J517</f>
        <v>4.68</v>
      </c>
      <c r="L517" s="28">
        <f>(Sales!$J517-Sales!$B517)/Sales!$J517</f>
        <v>-8.8301886792452822E-2</v>
      </c>
      <c r="M517" s="28" t="str">
        <f t="shared" si="8"/>
        <v>Below 0%</v>
      </c>
      <c r="N517" s="27" t="s">
        <v>60</v>
      </c>
      <c r="O517" s="27" t="s">
        <v>61</v>
      </c>
      <c r="P517" s="27" t="s">
        <v>17</v>
      </c>
      <c r="Q517" s="27" t="s">
        <v>14</v>
      </c>
    </row>
    <row r="518" spans="1:17" x14ac:dyDescent="0.3">
      <c r="A518" s="22">
        <v>24</v>
      </c>
      <c r="B518" s="19">
        <v>56.07</v>
      </c>
      <c r="C518" s="20">
        <f>Sales!$B518*Sales!$A518</f>
        <v>1345.68</v>
      </c>
      <c r="D518" s="21">
        <v>38233</v>
      </c>
      <c r="E518" s="22" t="s">
        <v>9</v>
      </c>
      <c r="F518" s="22">
        <v>3</v>
      </c>
      <c r="G518" s="22">
        <v>9</v>
      </c>
      <c r="H518" s="22">
        <v>2004</v>
      </c>
      <c r="I518" s="22" t="s">
        <v>112</v>
      </c>
      <c r="J518" s="20">
        <v>53</v>
      </c>
      <c r="K518" s="20">
        <f>Sales!$B518-Sales!$J518</f>
        <v>3.0700000000000003</v>
      </c>
      <c r="L518" s="23">
        <f>(Sales!$J518-Sales!$B518)/Sales!$J518</f>
        <v>-5.7924528301886796E-2</v>
      </c>
      <c r="M518" s="23" t="str">
        <f t="shared" si="8"/>
        <v>Below 0%</v>
      </c>
      <c r="N518" s="22" t="s">
        <v>24</v>
      </c>
      <c r="O518" s="22" t="s">
        <v>25</v>
      </c>
      <c r="P518" s="22" t="s">
        <v>17</v>
      </c>
      <c r="Q518" s="22" t="s">
        <v>14</v>
      </c>
    </row>
    <row r="519" spans="1:17" x14ac:dyDescent="0.3">
      <c r="A519" s="27">
        <v>37</v>
      </c>
      <c r="B519" s="24">
        <v>48.52</v>
      </c>
      <c r="C519" s="25">
        <f>Sales!$B519*Sales!$A519</f>
        <v>1795.24</v>
      </c>
      <c r="D519" s="26">
        <v>38271</v>
      </c>
      <c r="E519" s="27" t="s">
        <v>9</v>
      </c>
      <c r="F519" s="27">
        <v>4</v>
      </c>
      <c r="G519" s="27">
        <v>10</v>
      </c>
      <c r="H519" s="27">
        <v>2004</v>
      </c>
      <c r="I519" s="27" t="s">
        <v>112</v>
      </c>
      <c r="J519" s="25">
        <v>53</v>
      </c>
      <c r="K519" s="25">
        <f>Sales!$B519-Sales!$J519</f>
        <v>-4.4799999999999969</v>
      </c>
      <c r="L519" s="28">
        <f>(Sales!$J519-Sales!$B519)/Sales!$J519</f>
        <v>8.452830188679239E-2</v>
      </c>
      <c r="M519" s="28" t="str">
        <f t="shared" si="8"/>
        <v>5%-10%</v>
      </c>
      <c r="N519" s="27" t="s">
        <v>63</v>
      </c>
      <c r="O519" s="27" t="s">
        <v>16</v>
      </c>
      <c r="P519" s="27" t="s">
        <v>17</v>
      </c>
      <c r="Q519" s="27" t="s">
        <v>14</v>
      </c>
    </row>
    <row r="520" spans="1:17" x14ac:dyDescent="0.3">
      <c r="A520" s="22">
        <v>25</v>
      </c>
      <c r="B520" s="19">
        <v>44.21</v>
      </c>
      <c r="C520" s="20">
        <f>Sales!$B520*Sales!$A520</f>
        <v>1105.25</v>
      </c>
      <c r="D520" s="21">
        <v>38281</v>
      </c>
      <c r="E520" s="22" t="s">
        <v>9</v>
      </c>
      <c r="F520" s="22">
        <v>4</v>
      </c>
      <c r="G520" s="22">
        <v>10</v>
      </c>
      <c r="H520" s="22">
        <v>2004</v>
      </c>
      <c r="I520" s="22" t="s">
        <v>112</v>
      </c>
      <c r="J520" s="20">
        <v>53</v>
      </c>
      <c r="K520" s="20">
        <f>Sales!$B520-Sales!$J520</f>
        <v>-8.7899999999999991</v>
      </c>
      <c r="L520" s="23">
        <f>(Sales!$J520-Sales!$B520)/Sales!$J520</f>
        <v>0.16584905660377358</v>
      </c>
      <c r="M520" s="23" t="str">
        <f t="shared" si="8"/>
        <v>15%-20%</v>
      </c>
      <c r="N520" s="22" t="s">
        <v>64</v>
      </c>
      <c r="O520" s="22" t="s">
        <v>12</v>
      </c>
      <c r="P520" s="22" t="s">
        <v>13</v>
      </c>
      <c r="Q520" s="22" t="s">
        <v>14</v>
      </c>
    </row>
    <row r="521" spans="1:17" x14ac:dyDescent="0.3">
      <c r="A521" s="27">
        <v>41</v>
      </c>
      <c r="B521" s="24">
        <v>57.68</v>
      </c>
      <c r="C521" s="25">
        <f>Sales!$B521*Sales!$A521</f>
        <v>2364.88</v>
      </c>
      <c r="D521" s="26">
        <v>38295</v>
      </c>
      <c r="E521" s="27" t="s">
        <v>9</v>
      </c>
      <c r="F521" s="27">
        <v>4</v>
      </c>
      <c r="G521" s="27">
        <v>11</v>
      </c>
      <c r="H521" s="27">
        <v>2004</v>
      </c>
      <c r="I521" s="27" t="s">
        <v>112</v>
      </c>
      <c r="J521" s="25">
        <v>53</v>
      </c>
      <c r="K521" s="25">
        <f>Sales!$B521-Sales!$J521</f>
        <v>4.68</v>
      </c>
      <c r="L521" s="28">
        <f>(Sales!$J521-Sales!$B521)/Sales!$J521</f>
        <v>-8.8301886792452822E-2</v>
      </c>
      <c r="M521" s="28" t="str">
        <f t="shared" si="8"/>
        <v>Below 0%</v>
      </c>
      <c r="N521" s="27" t="s">
        <v>65</v>
      </c>
      <c r="O521" s="27" t="s">
        <v>12</v>
      </c>
      <c r="P521" s="27" t="s">
        <v>13</v>
      </c>
      <c r="Q521" s="27" t="s">
        <v>14</v>
      </c>
    </row>
    <row r="522" spans="1:17" x14ac:dyDescent="0.3">
      <c r="A522" s="22">
        <v>27</v>
      </c>
      <c r="B522" s="19">
        <v>89.89</v>
      </c>
      <c r="C522" s="20">
        <f>Sales!$B522*Sales!$A522</f>
        <v>2427.0300000000002</v>
      </c>
      <c r="D522" s="21">
        <v>38308</v>
      </c>
      <c r="E522" s="22" t="s">
        <v>9</v>
      </c>
      <c r="F522" s="22">
        <v>4</v>
      </c>
      <c r="G522" s="22">
        <v>11</v>
      </c>
      <c r="H522" s="22">
        <v>2004</v>
      </c>
      <c r="I522" s="22" t="s">
        <v>112</v>
      </c>
      <c r="J522" s="20">
        <v>53</v>
      </c>
      <c r="K522" s="20">
        <f>Sales!$B522-Sales!$J522</f>
        <v>36.89</v>
      </c>
      <c r="L522" s="23">
        <f>(Sales!$J522-Sales!$B522)/Sales!$J522</f>
        <v>-0.69603773584905659</v>
      </c>
      <c r="M522" s="23" t="str">
        <f t="shared" si="8"/>
        <v>Below 0%</v>
      </c>
      <c r="N522" s="22" t="s">
        <v>102</v>
      </c>
      <c r="O522" s="22" t="s">
        <v>43</v>
      </c>
      <c r="P522" s="22" t="s">
        <v>17</v>
      </c>
      <c r="Q522" s="22" t="s">
        <v>14</v>
      </c>
    </row>
    <row r="523" spans="1:17" x14ac:dyDescent="0.3">
      <c r="A523" s="27">
        <v>21</v>
      </c>
      <c r="B523" s="24">
        <v>58.95</v>
      </c>
      <c r="C523" s="25">
        <f>Sales!$B523*Sales!$A523</f>
        <v>1237.95</v>
      </c>
      <c r="D523" s="26">
        <v>38320</v>
      </c>
      <c r="E523" s="27" t="s">
        <v>9</v>
      </c>
      <c r="F523" s="27">
        <v>4</v>
      </c>
      <c r="G523" s="27">
        <v>11</v>
      </c>
      <c r="H523" s="27">
        <v>2004</v>
      </c>
      <c r="I523" s="27" t="s">
        <v>112</v>
      </c>
      <c r="J523" s="25">
        <v>53</v>
      </c>
      <c r="K523" s="25">
        <f>Sales!$B523-Sales!$J523</f>
        <v>5.9500000000000028</v>
      </c>
      <c r="L523" s="28">
        <f>(Sales!$J523-Sales!$B523)/Sales!$J523</f>
        <v>-0.11226415094339628</v>
      </c>
      <c r="M523" s="28" t="str">
        <f t="shared" si="8"/>
        <v>Below 0%</v>
      </c>
      <c r="N523" s="27" t="s">
        <v>26</v>
      </c>
      <c r="O523" s="27" t="s">
        <v>27</v>
      </c>
      <c r="P523" s="27" t="s">
        <v>28</v>
      </c>
      <c r="Q523" s="27" t="s">
        <v>14</v>
      </c>
    </row>
    <row r="524" spans="1:17" x14ac:dyDescent="0.3">
      <c r="A524" s="22">
        <v>22</v>
      </c>
      <c r="B524" s="19">
        <v>72.41</v>
      </c>
      <c r="C524" s="20">
        <f>Sales!$B524*Sales!$A524</f>
        <v>1593.02</v>
      </c>
      <c r="D524" s="21">
        <v>38330</v>
      </c>
      <c r="E524" s="22" t="s">
        <v>9</v>
      </c>
      <c r="F524" s="22">
        <v>4</v>
      </c>
      <c r="G524" s="22">
        <v>12</v>
      </c>
      <c r="H524" s="22">
        <v>2004</v>
      </c>
      <c r="I524" s="22" t="s">
        <v>112</v>
      </c>
      <c r="J524" s="20">
        <v>53</v>
      </c>
      <c r="K524" s="20">
        <f>Sales!$B524-Sales!$J524</f>
        <v>19.409999999999997</v>
      </c>
      <c r="L524" s="23">
        <f>(Sales!$J524-Sales!$B524)/Sales!$J524</f>
        <v>-0.36622641509433956</v>
      </c>
      <c r="M524" s="23" t="str">
        <f t="shared" si="8"/>
        <v>Below 0%</v>
      </c>
      <c r="N524" s="22" t="s">
        <v>18</v>
      </c>
      <c r="O524" s="22" t="s">
        <v>16</v>
      </c>
      <c r="P524" s="22" t="s">
        <v>17</v>
      </c>
      <c r="Q524" s="22" t="s">
        <v>14</v>
      </c>
    </row>
    <row r="525" spans="1:17" x14ac:dyDescent="0.3">
      <c r="A525" s="27">
        <v>32</v>
      </c>
      <c r="B525" s="24">
        <v>98.63</v>
      </c>
      <c r="C525" s="25">
        <f>Sales!$B525*Sales!$A525</f>
        <v>3156.16</v>
      </c>
      <c r="D525" s="26">
        <v>38372</v>
      </c>
      <c r="E525" s="27" t="s">
        <v>9</v>
      </c>
      <c r="F525" s="27">
        <v>1</v>
      </c>
      <c r="G525" s="27">
        <v>1</v>
      </c>
      <c r="H525" s="27">
        <v>2005</v>
      </c>
      <c r="I525" s="27" t="s">
        <v>112</v>
      </c>
      <c r="J525" s="25">
        <v>53</v>
      </c>
      <c r="K525" s="25">
        <f>Sales!$B525-Sales!$J525</f>
        <v>45.629999999999995</v>
      </c>
      <c r="L525" s="28">
        <f>(Sales!$J525-Sales!$B525)/Sales!$J525</f>
        <v>-0.86094339622641503</v>
      </c>
      <c r="M525" s="28" t="str">
        <f t="shared" si="8"/>
        <v>Below 0%</v>
      </c>
      <c r="N525" s="27" t="s">
        <v>66</v>
      </c>
      <c r="O525" s="27" t="s">
        <v>12</v>
      </c>
      <c r="P525" s="27" t="s">
        <v>13</v>
      </c>
      <c r="Q525" s="27" t="s">
        <v>19</v>
      </c>
    </row>
    <row r="526" spans="1:17" x14ac:dyDescent="0.3">
      <c r="A526" s="22">
        <v>25</v>
      </c>
      <c r="B526" s="19">
        <v>52.83</v>
      </c>
      <c r="C526" s="20">
        <f>Sales!$B526*Sales!$A526</f>
        <v>1320.75</v>
      </c>
      <c r="D526" s="21">
        <v>38400</v>
      </c>
      <c r="E526" s="22" t="s">
        <v>9</v>
      </c>
      <c r="F526" s="22">
        <v>1</v>
      </c>
      <c r="G526" s="22">
        <v>2</v>
      </c>
      <c r="H526" s="22">
        <v>2005</v>
      </c>
      <c r="I526" s="22" t="s">
        <v>112</v>
      </c>
      <c r="J526" s="20">
        <v>53</v>
      </c>
      <c r="K526" s="20">
        <f>Sales!$B526-Sales!$J526</f>
        <v>-0.17000000000000171</v>
      </c>
      <c r="L526" s="23">
        <f>(Sales!$J526-Sales!$B526)/Sales!$J526</f>
        <v>3.2075471698113527E-3</v>
      </c>
      <c r="M526" s="23" t="s">
        <v>130</v>
      </c>
      <c r="N526" s="22" t="s">
        <v>21</v>
      </c>
      <c r="O526" s="22" t="s">
        <v>12</v>
      </c>
      <c r="P526" s="22" t="s">
        <v>13</v>
      </c>
      <c r="Q526" s="22" t="s">
        <v>14</v>
      </c>
    </row>
    <row r="527" spans="1:17" x14ac:dyDescent="0.3">
      <c r="A527" s="27">
        <v>42</v>
      </c>
      <c r="B527" s="24">
        <v>100</v>
      </c>
      <c r="C527" s="25">
        <f>Sales!$B527*Sales!$A527</f>
        <v>4200</v>
      </c>
      <c r="D527" s="26">
        <v>38420</v>
      </c>
      <c r="E527" s="27" t="s">
        <v>9</v>
      </c>
      <c r="F527" s="27">
        <v>1</v>
      </c>
      <c r="G527" s="27">
        <v>3</v>
      </c>
      <c r="H527" s="27">
        <v>2005</v>
      </c>
      <c r="I527" s="27" t="s">
        <v>112</v>
      </c>
      <c r="J527" s="25">
        <v>53</v>
      </c>
      <c r="K527" s="25">
        <f>Sales!$B527-Sales!$J527</f>
        <v>47</v>
      </c>
      <c r="L527" s="28">
        <f>(Sales!$J527-Sales!$B527)/Sales!$J527</f>
        <v>-0.8867924528301887</v>
      </c>
      <c r="M527" s="28" t="str">
        <f t="shared" si="8"/>
        <v>Below 0%</v>
      </c>
      <c r="N527" s="27" t="s">
        <v>67</v>
      </c>
      <c r="O527" s="27" t="s">
        <v>27</v>
      </c>
      <c r="P527" s="27" t="s">
        <v>28</v>
      </c>
      <c r="Q527" s="27" t="s">
        <v>19</v>
      </c>
    </row>
    <row r="528" spans="1:17" x14ac:dyDescent="0.3">
      <c r="A528" s="22">
        <v>25</v>
      </c>
      <c r="B528" s="19">
        <v>51.75</v>
      </c>
      <c r="C528" s="20">
        <f>Sales!$B528*Sales!$A528</f>
        <v>1293.75</v>
      </c>
      <c r="D528" s="21">
        <v>38502</v>
      </c>
      <c r="E528" s="22" t="s">
        <v>69</v>
      </c>
      <c r="F528" s="22">
        <v>2</v>
      </c>
      <c r="G528" s="22">
        <v>5</v>
      </c>
      <c r="H528" s="22">
        <v>2005</v>
      </c>
      <c r="I528" s="22" t="s">
        <v>112</v>
      </c>
      <c r="J528" s="20">
        <v>53</v>
      </c>
      <c r="K528" s="20">
        <f>Sales!$B528-Sales!$J528</f>
        <v>-1.25</v>
      </c>
      <c r="L528" s="23">
        <f>(Sales!$J528-Sales!$B528)/Sales!$J528</f>
        <v>2.358490566037736E-2</v>
      </c>
      <c r="M528" s="23" t="str">
        <f t="shared" si="8"/>
        <v>0%-5%</v>
      </c>
      <c r="N528" s="22" t="s">
        <v>36</v>
      </c>
      <c r="O528" s="22" t="s">
        <v>12</v>
      </c>
      <c r="P528" s="22" t="s">
        <v>13</v>
      </c>
      <c r="Q528" s="22" t="s">
        <v>14</v>
      </c>
    </row>
    <row r="529" spans="1:17" x14ac:dyDescent="0.3">
      <c r="A529" s="27">
        <v>37</v>
      </c>
      <c r="B529" s="24">
        <v>100</v>
      </c>
      <c r="C529" s="25">
        <f>Sales!$B529*Sales!$A529</f>
        <v>3700</v>
      </c>
      <c r="D529" s="26">
        <v>37698</v>
      </c>
      <c r="E529" s="27" t="s">
        <v>9</v>
      </c>
      <c r="F529" s="27">
        <v>1</v>
      </c>
      <c r="G529" s="27">
        <v>3</v>
      </c>
      <c r="H529" s="27">
        <v>2003</v>
      </c>
      <c r="I529" s="27" t="s">
        <v>47</v>
      </c>
      <c r="J529" s="25">
        <v>124</v>
      </c>
      <c r="K529" s="25">
        <f>Sales!$B529-Sales!$J529</f>
        <v>-24</v>
      </c>
      <c r="L529" s="28">
        <f>(Sales!$J529-Sales!$B529)/Sales!$J529</f>
        <v>0.19354838709677419</v>
      </c>
      <c r="M529" s="28" t="str">
        <f t="shared" si="8"/>
        <v>15%-20%</v>
      </c>
      <c r="N529" s="27" t="s">
        <v>102</v>
      </c>
      <c r="O529" s="27" t="s">
        <v>43</v>
      </c>
      <c r="P529" s="27" t="s">
        <v>17</v>
      </c>
      <c r="Q529" s="27" t="s">
        <v>19</v>
      </c>
    </row>
    <row r="530" spans="1:17" x14ac:dyDescent="0.3">
      <c r="A530" s="22">
        <v>26</v>
      </c>
      <c r="B530" s="19">
        <v>100</v>
      </c>
      <c r="C530" s="20">
        <f>Sales!$B530*Sales!$A530</f>
        <v>2600</v>
      </c>
      <c r="D530" s="21">
        <v>37761</v>
      </c>
      <c r="E530" s="22" t="s">
        <v>9</v>
      </c>
      <c r="F530" s="22">
        <v>2</v>
      </c>
      <c r="G530" s="22">
        <v>5</v>
      </c>
      <c r="H530" s="22">
        <v>2003</v>
      </c>
      <c r="I530" s="22" t="s">
        <v>47</v>
      </c>
      <c r="J530" s="20">
        <v>124</v>
      </c>
      <c r="K530" s="20">
        <f>Sales!$B530-Sales!$J530</f>
        <v>-24</v>
      </c>
      <c r="L530" s="23">
        <f>(Sales!$J530-Sales!$B530)/Sales!$J530</f>
        <v>0.19354838709677419</v>
      </c>
      <c r="M530" s="23" t="str">
        <f t="shared" si="8"/>
        <v>15%-20%</v>
      </c>
      <c r="N530" s="22" t="s">
        <v>31</v>
      </c>
      <c r="O530" s="22" t="s">
        <v>16</v>
      </c>
      <c r="P530" s="22" t="s">
        <v>17</v>
      </c>
      <c r="Q530" s="22" t="s">
        <v>19</v>
      </c>
    </row>
    <row r="531" spans="1:17" x14ac:dyDescent="0.3">
      <c r="A531" s="27">
        <v>44</v>
      </c>
      <c r="B531" s="24">
        <v>99.55</v>
      </c>
      <c r="C531" s="25">
        <f>Sales!$B531*Sales!$A531</f>
        <v>4380.2</v>
      </c>
      <c r="D531" s="26">
        <v>37812</v>
      </c>
      <c r="E531" s="27" t="s">
        <v>9</v>
      </c>
      <c r="F531" s="27">
        <v>3</v>
      </c>
      <c r="G531" s="27">
        <v>7</v>
      </c>
      <c r="H531" s="27">
        <v>2003</v>
      </c>
      <c r="I531" s="27" t="s">
        <v>47</v>
      </c>
      <c r="J531" s="25">
        <v>124</v>
      </c>
      <c r="K531" s="25">
        <f>Sales!$B531-Sales!$J531</f>
        <v>-24.450000000000003</v>
      </c>
      <c r="L531" s="28">
        <f>(Sales!$J531-Sales!$B531)/Sales!$J531</f>
        <v>0.19717741935483873</v>
      </c>
      <c r="M531" s="28" t="str">
        <f t="shared" si="8"/>
        <v>15%-20%</v>
      </c>
      <c r="N531" s="27" t="s">
        <v>15</v>
      </c>
      <c r="O531" s="27" t="s">
        <v>16</v>
      </c>
      <c r="P531" s="27" t="s">
        <v>17</v>
      </c>
      <c r="Q531" s="27" t="s">
        <v>19</v>
      </c>
    </row>
    <row r="532" spans="1:17" x14ac:dyDescent="0.3">
      <c r="A532" s="22">
        <v>47</v>
      </c>
      <c r="B532" s="19">
        <v>100</v>
      </c>
      <c r="C532" s="20">
        <f>Sales!$B532*Sales!$A532</f>
        <v>4700</v>
      </c>
      <c r="D532" s="21">
        <v>37875</v>
      </c>
      <c r="E532" s="22" t="s">
        <v>9</v>
      </c>
      <c r="F532" s="22">
        <v>3</v>
      </c>
      <c r="G532" s="22">
        <v>9</v>
      </c>
      <c r="H532" s="22">
        <v>2003</v>
      </c>
      <c r="I532" s="22" t="s">
        <v>47</v>
      </c>
      <c r="J532" s="20">
        <v>124</v>
      </c>
      <c r="K532" s="20">
        <f>Sales!$B532-Sales!$J532</f>
        <v>-24</v>
      </c>
      <c r="L532" s="23">
        <f>(Sales!$J532-Sales!$B532)/Sales!$J532</f>
        <v>0.19354838709677419</v>
      </c>
      <c r="M532" s="23" t="str">
        <f t="shared" si="8"/>
        <v>15%-20%</v>
      </c>
      <c r="N532" s="22" t="s">
        <v>67</v>
      </c>
      <c r="O532" s="22" t="s">
        <v>27</v>
      </c>
      <c r="P532" s="22" t="s">
        <v>28</v>
      </c>
      <c r="Q532" s="22" t="s">
        <v>19</v>
      </c>
    </row>
    <row r="533" spans="1:17" x14ac:dyDescent="0.3">
      <c r="A533" s="27">
        <v>43</v>
      </c>
      <c r="B533" s="24">
        <v>100</v>
      </c>
      <c r="C533" s="25">
        <f>Sales!$B533*Sales!$A533</f>
        <v>4300</v>
      </c>
      <c r="D533" s="26">
        <v>37911</v>
      </c>
      <c r="E533" s="27" t="s">
        <v>9</v>
      </c>
      <c r="F533" s="27">
        <v>4</v>
      </c>
      <c r="G533" s="27">
        <v>10</v>
      </c>
      <c r="H533" s="27">
        <v>2003</v>
      </c>
      <c r="I533" s="27" t="s">
        <v>47</v>
      </c>
      <c r="J533" s="25">
        <v>124</v>
      </c>
      <c r="K533" s="25">
        <f>Sales!$B533-Sales!$J533</f>
        <v>-24</v>
      </c>
      <c r="L533" s="28">
        <f>(Sales!$J533-Sales!$B533)/Sales!$J533</f>
        <v>0.19354838709677419</v>
      </c>
      <c r="M533" s="28" t="str">
        <f t="shared" si="8"/>
        <v>15%-20%</v>
      </c>
      <c r="N533" s="27" t="s">
        <v>103</v>
      </c>
      <c r="O533" s="27" t="s">
        <v>73</v>
      </c>
      <c r="P533" s="27" t="s">
        <v>17</v>
      </c>
      <c r="Q533" s="27" t="s">
        <v>19</v>
      </c>
    </row>
    <row r="534" spans="1:17" x14ac:dyDescent="0.3">
      <c r="A534" s="22">
        <v>42</v>
      </c>
      <c r="B534" s="19">
        <v>100</v>
      </c>
      <c r="C534" s="20">
        <f>Sales!$B534*Sales!$A534</f>
        <v>4200</v>
      </c>
      <c r="D534" s="21">
        <v>37930</v>
      </c>
      <c r="E534" s="22" t="s">
        <v>9</v>
      </c>
      <c r="F534" s="22">
        <v>4</v>
      </c>
      <c r="G534" s="22">
        <v>11</v>
      </c>
      <c r="H534" s="22">
        <v>2003</v>
      </c>
      <c r="I534" s="22" t="s">
        <v>47</v>
      </c>
      <c r="J534" s="20">
        <v>124</v>
      </c>
      <c r="K534" s="20">
        <f>Sales!$B534-Sales!$J534</f>
        <v>-24</v>
      </c>
      <c r="L534" s="23">
        <f>(Sales!$J534-Sales!$B534)/Sales!$J534</f>
        <v>0.19354838709677419</v>
      </c>
      <c r="M534" s="23" t="str">
        <f t="shared" si="8"/>
        <v>15%-20%</v>
      </c>
      <c r="N534" s="22" t="s">
        <v>30</v>
      </c>
      <c r="O534" s="22" t="s">
        <v>12</v>
      </c>
      <c r="P534" s="22" t="s">
        <v>13</v>
      </c>
      <c r="Q534" s="22" t="s">
        <v>19</v>
      </c>
    </row>
    <row r="535" spans="1:17" x14ac:dyDescent="0.3">
      <c r="A535" s="27">
        <v>42</v>
      </c>
      <c r="B535" s="24">
        <v>100</v>
      </c>
      <c r="C535" s="25">
        <f>Sales!$B535*Sales!$A535</f>
        <v>4200</v>
      </c>
      <c r="D535" s="26">
        <v>37937</v>
      </c>
      <c r="E535" s="27" t="s">
        <v>9</v>
      </c>
      <c r="F535" s="27">
        <v>4</v>
      </c>
      <c r="G535" s="27">
        <v>11</v>
      </c>
      <c r="H535" s="27">
        <v>2003</v>
      </c>
      <c r="I535" s="27" t="s">
        <v>47</v>
      </c>
      <c r="J535" s="25">
        <v>124</v>
      </c>
      <c r="K535" s="25">
        <f>Sales!$B535-Sales!$J535</f>
        <v>-24</v>
      </c>
      <c r="L535" s="28">
        <f>(Sales!$J535-Sales!$B535)/Sales!$J535</f>
        <v>0.19354838709677419</v>
      </c>
      <c r="M535" s="28" t="str">
        <f t="shared" si="8"/>
        <v>15%-20%</v>
      </c>
      <c r="N535" s="27" t="s">
        <v>24</v>
      </c>
      <c r="O535" s="27" t="s">
        <v>25</v>
      </c>
      <c r="P535" s="27" t="s">
        <v>17</v>
      </c>
      <c r="Q535" s="27" t="s">
        <v>19</v>
      </c>
    </row>
    <row r="536" spans="1:17" x14ac:dyDescent="0.3">
      <c r="A536" s="22">
        <v>29</v>
      </c>
      <c r="B536" s="19">
        <v>100</v>
      </c>
      <c r="C536" s="20">
        <f>Sales!$B536*Sales!$A536</f>
        <v>2900</v>
      </c>
      <c r="D536" s="21">
        <v>37945</v>
      </c>
      <c r="E536" s="22" t="s">
        <v>9</v>
      </c>
      <c r="F536" s="22">
        <v>4</v>
      </c>
      <c r="G536" s="22">
        <v>11</v>
      </c>
      <c r="H536" s="22">
        <v>2003</v>
      </c>
      <c r="I536" s="22" t="s">
        <v>47</v>
      </c>
      <c r="J536" s="20">
        <v>124</v>
      </c>
      <c r="K536" s="20">
        <f>Sales!$B536-Sales!$J536</f>
        <v>-24</v>
      </c>
      <c r="L536" s="23">
        <f>(Sales!$J536-Sales!$B536)/Sales!$J536</f>
        <v>0.19354838709677419</v>
      </c>
      <c r="M536" s="23" t="str">
        <f t="shared" si="8"/>
        <v>15%-20%</v>
      </c>
      <c r="N536" s="22" t="s">
        <v>65</v>
      </c>
      <c r="O536" s="22" t="s">
        <v>12</v>
      </c>
      <c r="P536" s="22" t="s">
        <v>13</v>
      </c>
      <c r="Q536" s="22" t="s">
        <v>19</v>
      </c>
    </row>
    <row r="537" spans="1:17" x14ac:dyDescent="0.3">
      <c r="A537" s="27">
        <v>40</v>
      </c>
      <c r="B537" s="24">
        <v>100</v>
      </c>
      <c r="C537" s="25">
        <f>Sales!$B537*Sales!$A537</f>
        <v>4000</v>
      </c>
      <c r="D537" s="26">
        <v>37957</v>
      </c>
      <c r="E537" s="27" t="s">
        <v>9</v>
      </c>
      <c r="F537" s="27">
        <v>4</v>
      </c>
      <c r="G537" s="27">
        <v>12</v>
      </c>
      <c r="H537" s="27">
        <v>2003</v>
      </c>
      <c r="I537" s="27" t="s">
        <v>47</v>
      </c>
      <c r="J537" s="25">
        <v>124</v>
      </c>
      <c r="K537" s="25">
        <f>Sales!$B537-Sales!$J537</f>
        <v>-24</v>
      </c>
      <c r="L537" s="28">
        <f>(Sales!$J537-Sales!$B537)/Sales!$J537</f>
        <v>0.19354838709677419</v>
      </c>
      <c r="M537" s="28" t="str">
        <f t="shared" si="8"/>
        <v>15%-20%</v>
      </c>
      <c r="N537" s="27" t="s">
        <v>11</v>
      </c>
      <c r="O537" s="27" t="s">
        <v>12</v>
      </c>
      <c r="P537" s="27" t="s">
        <v>13</v>
      </c>
      <c r="Q537" s="27" t="s">
        <v>19</v>
      </c>
    </row>
    <row r="538" spans="1:17" x14ac:dyDescent="0.3">
      <c r="A538" s="22">
        <v>38</v>
      </c>
      <c r="B538" s="19">
        <v>100</v>
      </c>
      <c r="C538" s="20">
        <f>Sales!$B538*Sales!$A538</f>
        <v>3800</v>
      </c>
      <c r="D538" s="21">
        <v>38002</v>
      </c>
      <c r="E538" s="22" t="s">
        <v>9</v>
      </c>
      <c r="F538" s="22">
        <v>1</v>
      </c>
      <c r="G538" s="22">
        <v>1</v>
      </c>
      <c r="H538" s="22">
        <v>2004</v>
      </c>
      <c r="I538" s="22" t="s">
        <v>47</v>
      </c>
      <c r="J538" s="20">
        <v>124</v>
      </c>
      <c r="K538" s="20">
        <f>Sales!$B538-Sales!$J538</f>
        <v>-24</v>
      </c>
      <c r="L538" s="23">
        <f>(Sales!$J538-Sales!$B538)/Sales!$J538</f>
        <v>0.19354838709677419</v>
      </c>
      <c r="M538" s="23" t="str">
        <f t="shared" si="8"/>
        <v>15%-20%</v>
      </c>
      <c r="N538" s="22" t="s">
        <v>45</v>
      </c>
      <c r="O538" s="22" t="s">
        <v>46</v>
      </c>
      <c r="P538" s="22" t="s">
        <v>17</v>
      </c>
      <c r="Q538" s="22" t="s">
        <v>19</v>
      </c>
    </row>
    <row r="539" spans="1:17" x14ac:dyDescent="0.3">
      <c r="A539" s="27">
        <v>38</v>
      </c>
      <c r="B539" s="24">
        <v>100</v>
      </c>
      <c r="C539" s="25">
        <f>Sales!$B539*Sales!$A539</f>
        <v>3800</v>
      </c>
      <c r="D539" s="26">
        <v>38043</v>
      </c>
      <c r="E539" s="27" t="s">
        <v>9</v>
      </c>
      <c r="F539" s="27">
        <v>1</v>
      </c>
      <c r="G539" s="27">
        <v>2</v>
      </c>
      <c r="H539" s="27">
        <v>2004</v>
      </c>
      <c r="I539" s="27" t="s">
        <v>47</v>
      </c>
      <c r="J539" s="25">
        <v>124</v>
      </c>
      <c r="K539" s="25">
        <f>Sales!$B539-Sales!$J539</f>
        <v>-24</v>
      </c>
      <c r="L539" s="28">
        <f>(Sales!$J539-Sales!$B539)/Sales!$J539</f>
        <v>0.19354838709677419</v>
      </c>
      <c r="M539" s="28" t="str">
        <f t="shared" si="8"/>
        <v>15%-20%</v>
      </c>
      <c r="N539" s="27" t="s">
        <v>79</v>
      </c>
      <c r="O539" s="27" t="s">
        <v>12</v>
      </c>
      <c r="P539" s="27" t="s">
        <v>13</v>
      </c>
      <c r="Q539" s="27" t="s">
        <v>19</v>
      </c>
    </row>
    <row r="540" spans="1:17" x14ac:dyDescent="0.3">
      <c r="A540" s="22">
        <v>21</v>
      </c>
      <c r="B540" s="19">
        <v>100</v>
      </c>
      <c r="C540" s="20">
        <f>Sales!$B540*Sales!$A540</f>
        <v>2100</v>
      </c>
      <c r="D540" s="21">
        <v>38090</v>
      </c>
      <c r="E540" s="22" t="s">
        <v>9</v>
      </c>
      <c r="F540" s="22">
        <v>2</v>
      </c>
      <c r="G540" s="22">
        <v>4</v>
      </c>
      <c r="H540" s="22">
        <v>2004</v>
      </c>
      <c r="I540" s="22" t="s">
        <v>47</v>
      </c>
      <c r="J540" s="20">
        <v>124</v>
      </c>
      <c r="K540" s="20">
        <f>Sales!$B540-Sales!$J540</f>
        <v>-24</v>
      </c>
      <c r="L540" s="23">
        <f>(Sales!$J540-Sales!$B540)/Sales!$J540</f>
        <v>0.19354838709677419</v>
      </c>
      <c r="M540" s="23" t="str">
        <f t="shared" si="8"/>
        <v>15%-20%</v>
      </c>
      <c r="N540" s="22" t="s">
        <v>108</v>
      </c>
      <c r="O540" s="22" t="s">
        <v>16</v>
      </c>
      <c r="P540" s="22" t="s">
        <v>17</v>
      </c>
      <c r="Q540" s="22" t="s">
        <v>14</v>
      </c>
    </row>
    <row r="541" spans="1:17" x14ac:dyDescent="0.3">
      <c r="A541" s="27">
        <v>24</v>
      </c>
      <c r="B541" s="24">
        <v>100</v>
      </c>
      <c r="C541" s="25">
        <f>Sales!$B541*Sales!$A541</f>
        <v>2400</v>
      </c>
      <c r="D541" s="26">
        <v>38139</v>
      </c>
      <c r="E541" s="27" t="s">
        <v>75</v>
      </c>
      <c r="F541" s="27">
        <v>2</v>
      </c>
      <c r="G541" s="27">
        <v>6</v>
      </c>
      <c r="H541" s="27">
        <v>2004</v>
      </c>
      <c r="I541" s="27" t="s">
        <v>47</v>
      </c>
      <c r="J541" s="25">
        <v>124</v>
      </c>
      <c r="K541" s="25">
        <f>Sales!$B541-Sales!$J541</f>
        <v>-24</v>
      </c>
      <c r="L541" s="28">
        <f>(Sales!$J541-Sales!$B541)/Sales!$J541</f>
        <v>0.19354838709677419</v>
      </c>
      <c r="M541" s="28" t="str">
        <f t="shared" si="8"/>
        <v>15%-20%</v>
      </c>
      <c r="N541" s="27" t="s">
        <v>42</v>
      </c>
      <c r="O541" s="27" t="s">
        <v>43</v>
      </c>
      <c r="P541" s="27" t="s">
        <v>17</v>
      </c>
      <c r="Q541" s="27" t="s">
        <v>19</v>
      </c>
    </row>
    <row r="542" spans="1:17" x14ac:dyDescent="0.3">
      <c r="A542" s="22">
        <v>36</v>
      </c>
      <c r="B542" s="19">
        <v>100</v>
      </c>
      <c r="C542" s="20">
        <f>Sales!$B542*Sales!$A542</f>
        <v>3600</v>
      </c>
      <c r="D542" s="21">
        <v>38174</v>
      </c>
      <c r="E542" s="22" t="s">
        <v>9</v>
      </c>
      <c r="F542" s="22">
        <v>3</v>
      </c>
      <c r="G542" s="22">
        <v>7</v>
      </c>
      <c r="H542" s="22">
        <v>2004</v>
      </c>
      <c r="I542" s="22" t="s">
        <v>47</v>
      </c>
      <c r="J542" s="20">
        <v>124</v>
      </c>
      <c r="K542" s="20">
        <f>Sales!$B542-Sales!$J542</f>
        <v>-24</v>
      </c>
      <c r="L542" s="23">
        <f>(Sales!$J542-Sales!$B542)/Sales!$J542</f>
        <v>0.19354838709677419</v>
      </c>
      <c r="M542" s="23" t="str">
        <f t="shared" si="8"/>
        <v>15%-20%</v>
      </c>
      <c r="N542" s="22" t="s">
        <v>97</v>
      </c>
      <c r="O542" s="22" t="s">
        <v>61</v>
      </c>
      <c r="P542" s="22" t="s">
        <v>17</v>
      </c>
      <c r="Q542" s="22" t="s">
        <v>19</v>
      </c>
    </row>
    <row r="543" spans="1:17" x14ac:dyDescent="0.3">
      <c r="A543" s="27">
        <v>23</v>
      </c>
      <c r="B543" s="24">
        <v>100</v>
      </c>
      <c r="C543" s="25">
        <f>Sales!$B543*Sales!$A543</f>
        <v>2300</v>
      </c>
      <c r="D543" s="26">
        <v>38205</v>
      </c>
      <c r="E543" s="27" t="s">
        <v>9</v>
      </c>
      <c r="F543" s="27">
        <v>3</v>
      </c>
      <c r="G543" s="27">
        <v>8</v>
      </c>
      <c r="H543" s="27">
        <v>2004</v>
      </c>
      <c r="I543" s="27" t="s">
        <v>47</v>
      </c>
      <c r="J543" s="25">
        <v>124</v>
      </c>
      <c r="K543" s="25">
        <f>Sales!$B543-Sales!$J543</f>
        <v>-24</v>
      </c>
      <c r="L543" s="28">
        <f>(Sales!$J543-Sales!$B543)/Sales!$J543</f>
        <v>0.19354838709677419</v>
      </c>
      <c r="M543" s="28" t="str">
        <f t="shared" si="8"/>
        <v>15%-20%</v>
      </c>
      <c r="N543" s="27" t="s">
        <v>109</v>
      </c>
      <c r="O543" s="27" t="s">
        <v>12</v>
      </c>
      <c r="P543" s="27" t="s">
        <v>13</v>
      </c>
      <c r="Q543" s="27" t="s">
        <v>14</v>
      </c>
    </row>
    <row r="544" spans="1:17" x14ac:dyDescent="0.3">
      <c r="A544" s="22">
        <v>20</v>
      </c>
      <c r="B544" s="19">
        <v>100</v>
      </c>
      <c r="C544" s="20">
        <f>Sales!$B544*Sales!$A544</f>
        <v>2000</v>
      </c>
      <c r="D544" s="21">
        <v>38231</v>
      </c>
      <c r="E544" s="22" t="s">
        <v>9</v>
      </c>
      <c r="F544" s="22">
        <v>3</v>
      </c>
      <c r="G544" s="22">
        <v>9</v>
      </c>
      <c r="H544" s="22">
        <v>2004</v>
      </c>
      <c r="I544" s="22" t="s">
        <v>47</v>
      </c>
      <c r="J544" s="20">
        <v>124</v>
      </c>
      <c r="K544" s="20">
        <f>Sales!$B544-Sales!$J544</f>
        <v>-24</v>
      </c>
      <c r="L544" s="23">
        <f>(Sales!$J544-Sales!$B544)/Sales!$J544</f>
        <v>0.19354838709677419</v>
      </c>
      <c r="M544" s="23" t="str">
        <f t="shared" si="8"/>
        <v>15%-20%</v>
      </c>
      <c r="N544" s="22" t="s">
        <v>50</v>
      </c>
      <c r="O544" s="22" t="s">
        <v>50</v>
      </c>
      <c r="P544" s="22" t="s">
        <v>28</v>
      </c>
      <c r="Q544" s="22" t="s">
        <v>14</v>
      </c>
    </row>
    <row r="545" spans="1:17" x14ac:dyDescent="0.3">
      <c r="A545" s="27">
        <v>32</v>
      </c>
      <c r="B545" s="24">
        <v>100</v>
      </c>
      <c r="C545" s="25">
        <f>Sales!$B545*Sales!$A545</f>
        <v>3200</v>
      </c>
      <c r="D545" s="26">
        <v>37899</v>
      </c>
      <c r="E545" s="27" t="s">
        <v>9</v>
      </c>
      <c r="F545" s="27">
        <v>4</v>
      </c>
      <c r="G545" s="27">
        <v>10</v>
      </c>
      <c r="H545" s="27">
        <v>2003</v>
      </c>
      <c r="I545" s="27" t="s">
        <v>47</v>
      </c>
      <c r="J545" s="25">
        <v>124</v>
      </c>
      <c r="K545" s="25">
        <f>Sales!$B545-Sales!$J545</f>
        <v>-24</v>
      </c>
      <c r="L545" s="28">
        <f>(Sales!$J545-Sales!$B545)/Sales!$J545</f>
        <v>0.19354838709677419</v>
      </c>
      <c r="M545" s="28" t="str">
        <f t="shared" si="8"/>
        <v>15%-20%</v>
      </c>
      <c r="N545" s="27" t="s">
        <v>110</v>
      </c>
      <c r="O545" s="27" t="s">
        <v>25</v>
      </c>
      <c r="P545" s="27" t="s">
        <v>17</v>
      </c>
      <c r="Q545" s="27" t="s">
        <v>19</v>
      </c>
    </row>
    <row r="546" spans="1:17" x14ac:dyDescent="0.3">
      <c r="A546" s="22">
        <v>29</v>
      </c>
      <c r="B546" s="19">
        <v>100</v>
      </c>
      <c r="C546" s="20">
        <f>Sales!$B546*Sales!$A546</f>
        <v>2900</v>
      </c>
      <c r="D546" s="21">
        <v>38276</v>
      </c>
      <c r="E546" s="22" t="s">
        <v>9</v>
      </c>
      <c r="F546" s="22">
        <v>4</v>
      </c>
      <c r="G546" s="22">
        <v>10</v>
      </c>
      <c r="H546" s="22">
        <v>2004</v>
      </c>
      <c r="I546" s="22" t="s">
        <v>47</v>
      </c>
      <c r="J546" s="20">
        <v>124</v>
      </c>
      <c r="K546" s="20">
        <f>Sales!$B546-Sales!$J546</f>
        <v>-24</v>
      </c>
      <c r="L546" s="23">
        <f>(Sales!$J546-Sales!$B546)/Sales!$J546</f>
        <v>0.19354838709677419</v>
      </c>
      <c r="M546" s="23" t="str">
        <f t="shared" si="8"/>
        <v>15%-20%</v>
      </c>
      <c r="N546" s="22" t="s">
        <v>45</v>
      </c>
      <c r="O546" s="22" t="s">
        <v>46</v>
      </c>
      <c r="P546" s="22" t="s">
        <v>17</v>
      </c>
      <c r="Q546" s="22" t="s">
        <v>14</v>
      </c>
    </row>
    <row r="547" spans="1:17" x14ac:dyDescent="0.3">
      <c r="A547" s="27">
        <v>44</v>
      </c>
      <c r="B547" s="24">
        <v>100</v>
      </c>
      <c r="C547" s="25">
        <f>Sales!$B547*Sales!$A547</f>
        <v>4400</v>
      </c>
      <c r="D547" s="26">
        <v>38295</v>
      </c>
      <c r="E547" s="27" t="s">
        <v>9</v>
      </c>
      <c r="F547" s="27">
        <v>4</v>
      </c>
      <c r="G547" s="27">
        <v>11</v>
      </c>
      <c r="H547" s="27">
        <v>2004</v>
      </c>
      <c r="I547" s="27" t="s">
        <v>47</v>
      </c>
      <c r="J547" s="25">
        <v>124</v>
      </c>
      <c r="K547" s="25">
        <f>Sales!$B547-Sales!$J547</f>
        <v>-24</v>
      </c>
      <c r="L547" s="28">
        <f>(Sales!$J547-Sales!$B547)/Sales!$J547</f>
        <v>0.19354838709677419</v>
      </c>
      <c r="M547" s="28" t="str">
        <f t="shared" si="8"/>
        <v>15%-20%</v>
      </c>
      <c r="N547" s="27" t="s">
        <v>41</v>
      </c>
      <c r="O547" s="27" t="s">
        <v>12</v>
      </c>
      <c r="P547" s="27" t="s">
        <v>13</v>
      </c>
      <c r="Q547" s="27" t="s">
        <v>19</v>
      </c>
    </row>
    <row r="548" spans="1:17" x14ac:dyDescent="0.3">
      <c r="A548" s="22">
        <v>44</v>
      </c>
      <c r="B548" s="19">
        <v>100</v>
      </c>
      <c r="C548" s="20">
        <f>Sales!$B548*Sales!$A548</f>
        <v>4400</v>
      </c>
      <c r="D548" s="21">
        <v>38308</v>
      </c>
      <c r="E548" s="22" t="s">
        <v>9</v>
      </c>
      <c r="F548" s="22">
        <v>4</v>
      </c>
      <c r="G548" s="22">
        <v>11</v>
      </c>
      <c r="H548" s="22">
        <v>2004</v>
      </c>
      <c r="I548" s="22" t="s">
        <v>47</v>
      </c>
      <c r="J548" s="20">
        <v>124</v>
      </c>
      <c r="K548" s="20">
        <f>Sales!$B548-Sales!$J548</f>
        <v>-24</v>
      </c>
      <c r="L548" s="23">
        <f>(Sales!$J548-Sales!$B548)/Sales!$J548</f>
        <v>0.19354838709677419</v>
      </c>
      <c r="M548" s="23" t="str">
        <f t="shared" si="8"/>
        <v>15%-20%</v>
      </c>
      <c r="N548" s="22" t="s">
        <v>53</v>
      </c>
      <c r="O548" s="22" t="s">
        <v>12</v>
      </c>
      <c r="P548" s="22" t="s">
        <v>13</v>
      </c>
      <c r="Q548" s="22" t="s">
        <v>19</v>
      </c>
    </row>
    <row r="549" spans="1:17" x14ac:dyDescent="0.3">
      <c r="A549" s="27">
        <v>36</v>
      </c>
      <c r="B549" s="24">
        <v>100</v>
      </c>
      <c r="C549" s="25">
        <f>Sales!$B549*Sales!$A549</f>
        <v>3600</v>
      </c>
      <c r="D549" s="26">
        <v>38315</v>
      </c>
      <c r="E549" s="27" t="s">
        <v>9</v>
      </c>
      <c r="F549" s="27">
        <v>4</v>
      </c>
      <c r="G549" s="27">
        <v>11</v>
      </c>
      <c r="H549" s="27">
        <v>2004</v>
      </c>
      <c r="I549" s="27" t="s">
        <v>47</v>
      </c>
      <c r="J549" s="25">
        <v>124</v>
      </c>
      <c r="K549" s="25">
        <f>Sales!$B549-Sales!$J549</f>
        <v>-24</v>
      </c>
      <c r="L549" s="28">
        <f>(Sales!$J549-Sales!$B549)/Sales!$J549</f>
        <v>0.19354838709677419</v>
      </c>
      <c r="M549" s="28" t="str">
        <f t="shared" si="8"/>
        <v>15%-20%</v>
      </c>
      <c r="N549" s="27" t="s">
        <v>15</v>
      </c>
      <c r="O549" s="27" t="s">
        <v>16</v>
      </c>
      <c r="P549" s="27" t="s">
        <v>17</v>
      </c>
      <c r="Q549" s="27" t="s">
        <v>19</v>
      </c>
    </row>
    <row r="550" spans="1:17" x14ac:dyDescent="0.3">
      <c r="A550" s="22">
        <v>49</v>
      </c>
      <c r="B550" s="19">
        <v>56.3</v>
      </c>
      <c r="C550" s="20">
        <f>Sales!$B550*Sales!$A550</f>
        <v>2758.7</v>
      </c>
      <c r="D550" s="21">
        <v>38364</v>
      </c>
      <c r="E550" s="22" t="s">
        <v>88</v>
      </c>
      <c r="F550" s="22">
        <v>1</v>
      </c>
      <c r="G550" s="22">
        <v>1</v>
      </c>
      <c r="H550" s="22">
        <v>2005</v>
      </c>
      <c r="I550" s="22" t="s">
        <v>47</v>
      </c>
      <c r="J550" s="20">
        <v>124</v>
      </c>
      <c r="K550" s="20">
        <f>Sales!$B550-Sales!$J550</f>
        <v>-67.7</v>
      </c>
      <c r="L550" s="23">
        <f>(Sales!$J550-Sales!$B550)/Sales!$J550</f>
        <v>0.54596774193548392</v>
      </c>
      <c r="M550" s="23" t="str">
        <f t="shared" si="8"/>
        <v>+20%</v>
      </c>
      <c r="N550" s="22" t="s">
        <v>20</v>
      </c>
      <c r="O550" s="22" t="s">
        <v>12</v>
      </c>
      <c r="P550" s="22" t="s">
        <v>13</v>
      </c>
      <c r="Q550" s="22" t="s">
        <v>14</v>
      </c>
    </row>
    <row r="551" spans="1:17" x14ac:dyDescent="0.3">
      <c r="A551" s="27">
        <v>34</v>
      </c>
      <c r="B551" s="24">
        <v>42.64</v>
      </c>
      <c r="C551" s="25">
        <f>Sales!$B551*Sales!$A551</f>
        <v>1449.76</v>
      </c>
      <c r="D551" s="26">
        <v>38393</v>
      </c>
      <c r="E551" s="27" t="s">
        <v>9</v>
      </c>
      <c r="F551" s="27">
        <v>1</v>
      </c>
      <c r="G551" s="27">
        <v>2</v>
      </c>
      <c r="H551" s="27">
        <v>2005</v>
      </c>
      <c r="I551" s="27" t="s">
        <v>47</v>
      </c>
      <c r="J551" s="25">
        <v>124</v>
      </c>
      <c r="K551" s="25">
        <f>Sales!$B551-Sales!$J551</f>
        <v>-81.36</v>
      </c>
      <c r="L551" s="28">
        <f>(Sales!$J551-Sales!$B551)/Sales!$J551</f>
        <v>0.65612903225806452</v>
      </c>
      <c r="M551" s="28" t="str">
        <f t="shared" si="8"/>
        <v>+20%</v>
      </c>
      <c r="N551" s="27" t="s">
        <v>45</v>
      </c>
      <c r="O551" s="27" t="s">
        <v>46</v>
      </c>
      <c r="P551" s="27" t="s">
        <v>17</v>
      </c>
      <c r="Q551" s="27" t="s">
        <v>14</v>
      </c>
    </row>
    <row r="552" spans="1:17" x14ac:dyDescent="0.3">
      <c r="A552" s="22">
        <v>59</v>
      </c>
      <c r="B552" s="19">
        <v>100</v>
      </c>
      <c r="C552" s="20">
        <f>Sales!$B552*Sales!$A552</f>
        <v>5900</v>
      </c>
      <c r="D552" s="21">
        <v>38464</v>
      </c>
      <c r="E552" s="22" t="s">
        <v>87</v>
      </c>
      <c r="F552" s="22">
        <v>2</v>
      </c>
      <c r="G552" s="22">
        <v>4</v>
      </c>
      <c r="H552" s="22">
        <v>2005</v>
      </c>
      <c r="I552" s="22" t="s">
        <v>47</v>
      </c>
      <c r="J552" s="20">
        <v>124</v>
      </c>
      <c r="K552" s="20">
        <f>Sales!$B552-Sales!$J552</f>
        <v>-24</v>
      </c>
      <c r="L552" s="23">
        <f>(Sales!$J552-Sales!$B552)/Sales!$J552</f>
        <v>0.19354838709677419</v>
      </c>
      <c r="M552" s="23" t="str">
        <f t="shared" si="8"/>
        <v>15%-20%</v>
      </c>
      <c r="N552" s="22" t="s">
        <v>86</v>
      </c>
      <c r="O552" s="22" t="s">
        <v>12</v>
      </c>
      <c r="P552" s="22" t="s">
        <v>13</v>
      </c>
      <c r="Q552" s="22" t="s">
        <v>39</v>
      </c>
    </row>
    <row r="553" spans="1:17" x14ac:dyDescent="0.3">
      <c r="A553" s="27">
        <v>37</v>
      </c>
      <c r="B553" s="24">
        <v>100</v>
      </c>
      <c r="C553" s="25">
        <f>Sales!$B553*Sales!$A553</f>
        <v>3700</v>
      </c>
      <c r="D553" s="26">
        <v>38489</v>
      </c>
      <c r="E553" s="27" t="s">
        <v>9</v>
      </c>
      <c r="F553" s="27">
        <v>2</v>
      </c>
      <c r="G553" s="27">
        <v>5</v>
      </c>
      <c r="H553" s="27">
        <v>2005</v>
      </c>
      <c r="I553" s="27" t="s">
        <v>47</v>
      </c>
      <c r="J553" s="25">
        <v>124</v>
      </c>
      <c r="K553" s="25">
        <f>Sales!$B553-Sales!$J553</f>
        <v>-24</v>
      </c>
      <c r="L553" s="28">
        <f>(Sales!$J553-Sales!$B553)/Sales!$J553</f>
        <v>0.19354838709677419</v>
      </c>
      <c r="M553" s="28" t="str">
        <f t="shared" si="8"/>
        <v>15%-20%</v>
      </c>
      <c r="N553" s="27" t="s">
        <v>37</v>
      </c>
      <c r="O553" s="27" t="s">
        <v>38</v>
      </c>
      <c r="P553" s="27" t="s">
        <v>17</v>
      </c>
      <c r="Q553" s="27" t="s">
        <v>19</v>
      </c>
    </row>
    <row r="554" spans="1:17" x14ac:dyDescent="0.3">
      <c r="A554" s="22">
        <v>36</v>
      </c>
      <c r="B554" s="19">
        <v>100</v>
      </c>
      <c r="C554" s="20">
        <f>Sales!$B554*Sales!$A554</f>
        <v>3600</v>
      </c>
      <c r="D554" s="21">
        <v>37669</v>
      </c>
      <c r="E554" s="22" t="s">
        <v>9</v>
      </c>
      <c r="F554" s="22">
        <v>1</v>
      </c>
      <c r="G554" s="22">
        <v>2</v>
      </c>
      <c r="H554" s="22">
        <v>2003</v>
      </c>
      <c r="I554" s="22" t="s">
        <v>115</v>
      </c>
      <c r="J554" s="20">
        <v>157</v>
      </c>
      <c r="K554" s="20">
        <f>Sales!$B554-Sales!$J554</f>
        <v>-57</v>
      </c>
      <c r="L554" s="23">
        <f>(Sales!$J554-Sales!$B554)/Sales!$J554</f>
        <v>0.36305732484076431</v>
      </c>
      <c r="M554" s="23" t="str">
        <f t="shared" si="8"/>
        <v>+20%</v>
      </c>
      <c r="N554" s="22" t="s">
        <v>113</v>
      </c>
      <c r="O554" s="22" t="s">
        <v>61</v>
      </c>
      <c r="P554" s="22" t="s">
        <v>17</v>
      </c>
      <c r="Q554" s="22" t="s">
        <v>19</v>
      </c>
    </row>
    <row r="555" spans="1:17" x14ac:dyDescent="0.3">
      <c r="A555" s="27">
        <v>43</v>
      </c>
      <c r="B555" s="24">
        <v>100</v>
      </c>
      <c r="C555" s="25">
        <f>Sales!$B555*Sales!$A555</f>
        <v>4300</v>
      </c>
      <c r="D555" s="26">
        <v>37739</v>
      </c>
      <c r="E555" s="27" t="s">
        <v>9</v>
      </c>
      <c r="F555" s="27">
        <v>2</v>
      </c>
      <c r="G555" s="27">
        <v>4</v>
      </c>
      <c r="H555" s="27">
        <v>2003</v>
      </c>
      <c r="I555" s="27" t="s">
        <v>115</v>
      </c>
      <c r="J555" s="25">
        <v>157</v>
      </c>
      <c r="K555" s="25">
        <f>Sales!$B555-Sales!$J555</f>
        <v>-57</v>
      </c>
      <c r="L555" s="28">
        <f>(Sales!$J555-Sales!$B555)/Sales!$J555</f>
        <v>0.36305732484076431</v>
      </c>
      <c r="M555" s="28" t="str">
        <f t="shared" si="8"/>
        <v>+20%</v>
      </c>
      <c r="N555" s="27" t="s">
        <v>37</v>
      </c>
      <c r="O555" s="27" t="s">
        <v>38</v>
      </c>
      <c r="P555" s="27" t="s">
        <v>17</v>
      </c>
      <c r="Q555" s="27" t="s">
        <v>19</v>
      </c>
    </row>
    <row r="556" spans="1:17" x14ac:dyDescent="0.3">
      <c r="A556" s="22">
        <v>21</v>
      </c>
      <c r="B556" s="19">
        <v>100</v>
      </c>
      <c r="C556" s="20">
        <f>Sales!$B556*Sales!$A556</f>
        <v>2100</v>
      </c>
      <c r="D556" s="21">
        <v>37788</v>
      </c>
      <c r="E556" s="22" t="s">
        <v>9</v>
      </c>
      <c r="F556" s="22">
        <v>2</v>
      </c>
      <c r="G556" s="22">
        <v>6</v>
      </c>
      <c r="H556" s="22">
        <v>2003</v>
      </c>
      <c r="I556" s="22" t="s">
        <v>115</v>
      </c>
      <c r="J556" s="20">
        <v>157</v>
      </c>
      <c r="K556" s="20">
        <f>Sales!$B556-Sales!$J556</f>
        <v>-57</v>
      </c>
      <c r="L556" s="23">
        <f>(Sales!$J556-Sales!$B556)/Sales!$J556</f>
        <v>0.36305732484076431</v>
      </c>
      <c r="M556" s="23" t="str">
        <f t="shared" si="8"/>
        <v>+20%</v>
      </c>
      <c r="N556" s="22" t="s">
        <v>105</v>
      </c>
      <c r="O556" s="22" t="s">
        <v>12</v>
      </c>
      <c r="P556" s="22" t="s">
        <v>13</v>
      </c>
      <c r="Q556" s="22" t="s">
        <v>14</v>
      </c>
    </row>
    <row r="557" spans="1:17" x14ac:dyDescent="0.3">
      <c r="A557" s="27">
        <v>32</v>
      </c>
      <c r="B557" s="24">
        <v>100</v>
      </c>
      <c r="C557" s="25">
        <f>Sales!$B557*Sales!$A557</f>
        <v>3200</v>
      </c>
      <c r="D557" s="26">
        <v>37843</v>
      </c>
      <c r="E557" s="27" t="s">
        <v>9</v>
      </c>
      <c r="F557" s="27">
        <v>3</v>
      </c>
      <c r="G557" s="27">
        <v>8</v>
      </c>
      <c r="H557" s="27">
        <v>2003</v>
      </c>
      <c r="I557" s="27" t="s">
        <v>115</v>
      </c>
      <c r="J557" s="25">
        <v>157</v>
      </c>
      <c r="K557" s="25">
        <f>Sales!$B557-Sales!$J557</f>
        <v>-57</v>
      </c>
      <c r="L557" s="28">
        <f>(Sales!$J557-Sales!$B557)/Sales!$J557</f>
        <v>0.36305732484076431</v>
      </c>
      <c r="M557" s="28" t="str">
        <f t="shared" si="8"/>
        <v>+20%</v>
      </c>
      <c r="N557" s="27" t="s">
        <v>41</v>
      </c>
      <c r="O557" s="27" t="s">
        <v>12</v>
      </c>
      <c r="P557" s="27" t="s">
        <v>13</v>
      </c>
      <c r="Q557" s="27" t="s">
        <v>19</v>
      </c>
    </row>
    <row r="558" spans="1:17" x14ac:dyDescent="0.3">
      <c r="A558" s="22">
        <v>38</v>
      </c>
      <c r="B558" s="19">
        <v>100</v>
      </c>
      <c r="C558" s="20">
        <f>Sales!$B558*Sales!$A558</f>
        <v>3800</v>
      </c>
      <c r="D558" s="21">
        <v>37900</v>
      </c>
      <c r="E558" s="22" t="s">
        <v>9</v>
      </c>
      <c r="F558" s="22">
        <v>4</v>
      </c>
      <c r="G558" s="22">
        <v>10</v>
      </c>
      <c r="H558" s="22">
        <v>2003</v>
      </c>
      <c r="I558" s="22" t="s">
        <v>115</v>
      </c>
      <c r="J558" s="20">
        <v>157</v>
      </c>
      <c r="K558" s="20">
        <f>Sales!$B558-Sales!$J558</f>
        <v>-57</v>
      </c>
      <c r="L558" s="23">
        <f>(Sales!$J558-Sales!$B558)/Sales!$J558</f>
        <v>0.36305732484076431</v>
      </c>
      <c r="M558" s="23" t="str">
        <f t="shared" si="8"/>
        <v>+20%</v>
      </c>
      <c r="N558" s="22" t="s">
        <v>33</v>
      </c>
      <c r="O558" s="22" t="s">
        <v>34</v>
      </c>
      <c r="P558" s="22" t="s">
        <v>17</v>
      </c>
      <c r="Q558" s="22" t="s">
        <v>19</v>
      </c>
    </row>
    <row r="559" spans="1:17" x14ac:dyDescent="0.3">
      <c r="A559" s="27">
        <v>43</v>
      </c>
      <c r="B559" s="24">
        <v>100</v>
      </c>
      <c r="C559" s="25">
        <f>Sales!$B559*Sales!$A559</f>
        <v>4300</v>
      </c>
      <c r="D559" s="26">
        <v>37917</v>
      </c>
      <c r="E559" s="27" t="s">
        <v>75</v>
      </c>
      <c r="F559" s="27">
        <v>4</v>
      </c>
      <c r="G559" s="27">
        <v>10</v>
      </c>
      <c r="H559" s="27">
        <v>2003</v>
      </c>
      <c r="I559" s="27" t="s">
        <v>115</v>
      </c>
      <c r="J559" s="25">
        <v>157</v>
      </c>
      <c r="K559" s="25">
        <f>Sales!$B559-Sales!$J559</f>
        <v>-57</v>
      </c>
      <c r="L559" s="28">
        <f>(Sales!$J559-Sales!$B559)/Sales!$J559</f>
        <v>0.36305732484076431</v>
      </c>
      <c r="M559" s="28" t="str">
        <f t="shared" si="8"/>
        <v>+20%</v>
      </c>
      <c r="N559" s="27" t="s">
        <v>62</v>
      </c>
      <c r="O559" s="27" t="s">
        <v>49</v>
      </c>
      <c r="P559" s="27" t="s">
        <v>17</v>
      </c>
      <c r="Q559" s="27" t="s">
        <v>19</v>
      </c>
    </row>
    <row r="560" spans="1:17" x14ac:dyDescent="0.3">
      <c r="A560" s="22">
        <v>42</v>
      </c>
      <c r="B560" s="19">
        <v>100</v>
      </c>
      <c r="C560" s="20">
        <f>Sales!$B560*Sales!$A560</f>
        <v>4200</v>
      </c>
      <c r="D560" s="21">
        <v>37933</v>
      </c>
      <c r="E560" s="22" t="s">
        <v>9</v>
      </c>
      <c r="F560" s="22">
        <v>4</v>
      </c>
      <c r="G560" s="22">
        <v>11</v>
      </c>
      <c r="H560" s="22">
        <v>2003</v>
      </c>
      <c r="I560" s="22" t="s">
        <v>115</v>
      </c>
      <c r="J560" s="20">
        <v>157</v>
      </c>
      <c r="K560" s="20">
        <f>Sales!$B560-Sales!$J560</f>
        <v>-57</v>
      </c>
      <c r="L560" s="23">
        <f>(Sales!$J560-Sales!$B560)/Sales!$J560</f>
        <v>0.36305732484076431</v>
      </c>
      <c r="M560" s="23" t="str">
        <f t="shared" si="8"/>
        <v>+20%</v>
      </c>
      <c r="N560" s="22" t="s">
        <v>76</v>
      </c>
      <c r="O560" s="22" t="s">
        <v>16</v>
      </c>
      <c r="P560" s="22" t="s">
        <v>17</v>
      </c>
      <c r="Q560" s="22" t="s">
        <v>19</v>
      </c>
    </row>
    <row r="561" spans="1:17" x14ac:dyDescent="0.3">
      <c r="A561" s="27">
        <v>32</v>
      </c>
      <c r="B561" s="24">
        <v>100</v>
      </c>
      <c r="C561" s="25">
        <f>Sales!$B561*Sales!$A561</f>
        <v>3200</v>
      </c>
      <c r="D561" s="26">
        <v>37939</v>
      </c>
      <c r="E561" s="27" t="s">
        <v>9</v>
      </c>
      <c r="F561" s="27">
        <v>4</v>
      </c>
      <c r="G561" s="27">
        <v>11</v>
      </c>
      <c r="H561" s="27">
        <v>2003</v>
      </c>
      <c r="I561" s="27" t="s">
        <v>115</v>
      </c>
      <c r="J561" s="25">
        <v>157</v>
      </c>
      <c r="K561" s="25">
        <f>Sales!$B561-Sales!$J561</f>
        <v>-57</v>
      </c>
      <c r="L561" s="28">
        <f>(Sales!$J561-Sales!$B561)/Sales!$J561</f>
        <v>0.36305732484076431</v>
      </c>
      <c r="M561" s="28" t="str">
        <f t="shared" si="8"/>
        <v>+20%</v>
      </c>
      <c r="N561" s="27" t="s">
        <v>74</v>
      </c>
      <c r="O561" s="27" t="s">
        <v>43</v>
      </c>
      <c r="P561" s="27" t="s">
        <v>17</v>
      </c>
      <c r="Q561" s="27" t="s">
        <v>19</v>
      </c>
    </row>
    <row r="562" spans="1:17" x14ac:dyDescent="0.3">
      <c r="A562" s="22">
        <v>42</v>
      </c>
      <c r="B562" s="19">
        <v>100</v>
      </c>
      <c r="C562" s="20">
        <f>Sales!$B562*Sales!$A562</f>
        <v>4200</v>
      </c>
      <c r="D562" s="21">
        <v>37952</v>
      </c>
      <c r="E562" s="22" t="s">
        <v>9</v>
      </c>
      <c r="F562" s="22">
        <v>4</v>
      </c>
      <c r="G562" s="22">
        <v>11</v>
      </c>
      <c r="H562" s="22">
        <v>2003</v>
      </c>
      <c r="I562" s="22" t="s">
        <v>115</v>
      </c>
      <c r="J562" s="20">
        <v>157</v>
      </c>
      <c r="K562" s="20">
        <f>Sales!$B562-Sales!$J562</f>
        <v>-57</v>
      </c>
      <c r="L562" s="23">
        <f>(Sales!$J562-Sales!$B562)/Sales!$J562</f>
        <v>0.36305732484076431</v>
      </c>
      <c r="M562" s="23" t="str">
        <f t="shared" si="8"/>
        <v>+20%</v>
      </c>
      <c r="N562" s="22" t="s">
        <v>90</v>
      </c>
      <c r="O562" s="22" t="s">
        <v>91</v>
      </c>
      <c r="P562" s="22" t="s">
        <v>28</v>
      </c>
      <c r="Q562" s="22" t="s">
        <v>39</v>
      </c>
    </row>
    <row r="563" spans="1:17" x14ac:dyDescent="0.3">
      <c r="A563" s="27">
        <v>31</v>
      </c>
      <c r="B563" s="24">
        <v>100</v>
      </c>
      <c r="C563" s="25">
        <f>Sales!$B563*Sales!$A563</f>
        <v>3100</v>
      </c>
      <c r="D563" s="26">
        <v>37998</v>
      </c>
      <c r="E563" s="27" t="s">
        <v>9</v>
      </c>
      <c r="F563" s="27">
        <v>1</v>
      </c>
      <c r="G563" s="27">
        <v>1</v>
      </c>
      <c r="H563" s="27">
        <v>2004</v>
      </c>
      <c r="I563" s="27" t="s">
        <v>115</v>
      </c>
      <c r="J563" s="25">
        <v>157</v>
      </c>
      <c r="K563" s="25">
        <f>Sales!$B563-Sales!$J563</f>
        <v>-57</v>
      </c>
      <c r="L563" s="28">
        <f>(Sales!$J563-Sales!$B563)/Sales!$J563</f>
        <v>0.36305732484076431</v>
      </c>
      <c r="M563" s="28" t="str">
        <f t="shared" si="8"/>
        <v>+20%</v>
      </c>
      <c r="N563" s="27" t="s">
        <v>70</v>
      </c>
      <c r="O563" s="27" t="s">
        <v>51</v>
      </c>
      <c r="P563" s="27" t="s">
        <v>51</v>
      </c>
      <c r="Q563" s="27" t="s">
        <v>19</v>
      </c>
    </row>
    <row r="564" spans="1:17" x14ac:dyDescent="0.3">
      <c r="A564" s="22">
        <v>49</v>
      </c>
      <c r="B564" s="19">
        <v>100</v>
      </c>
      <c r="C564" s="20">
        <f>Sales!$B564*Sales!$A564</f>
        <v>4900</v>
      </c>
      <c r="D564" s="21">
        <v>38036</v>
      </c>
      <c r="E564" s="22" t="s">
        <v>9</v>
      </c>
      <c r="F564" s="22">
        <v>1</v>
      </c>
      <c r="G564" s="22">
        <v>2</v>
      </c>
      <c r="H564" s="22">
        <v>2004</v>
      </c>
      <c r="I564" s="22" t="s">
        <v>115</v>
      </c>
      <c r="J564" s="20">
        <v>157</v>
      </c>
      <c r="K564" s="20">
        <f>Sales!$B564-Sales!$J564</f>
        <v>-57</v>
      </c>
      <c r="L564" s="23">
        <f>(Sales!$J564-Sales!$B564)/Sales!$J564</f>
        <v>0.36305732484076431</v>
      </c>
      <c r="M564" s="23" t="str">
        <f t="shared" si="8"/>
        <v>+20%</v>
      </c>
      <c r="N564" s="22" t="s">
        <v>79</v>
      </c>
      <c r="O564" s="22" t="s">
        <v>12</v>
      </c>
      <c r="P564" s="22" t="s">
        <v>13</v>
      </c>
      <c r="Q564" s="22" t="s">
        <v>19</v>
      </c>
    </row>
    <row r="565" spans="1:17" x14ac:dyDescent="0.3">
      <c r="A565" s="27">
        <v>45</v>
      </c>
      <c r="B565" s="24">
        <v>100</v>
      </c>
      <c r="C565" s="25">
        <f>Sales!$B565*Sales!$A565</f>
        <v>4500</v>
      </c>
      <c r="D565" s="26">
        <v>38118</v>
      </c>
      <c r="E565" s="27" t="s">
        <v>9</v>
      </c>
      <c r="F565" s="27">
        <v>2</v>
      </c>
      <c r="G565" s="27">
        <v>5</v>
      </c>
      <c r="H565" s="27">
        <v>2004</v>
      </c>
      <c r="I565" s="27" t="s">
        <v>115</v>
      </c>
      <c r="J565" s="25">
        <v>157</v>
      </c>
      <c r="K565" s="25">
        <f>Sales!$B565-Sales!$J565</f>
        <v>-57</v>
      </c>
      <c r="L565" s="28">
        <f>(Sales!$J565-Sales!$B565)/Sales!$J565</f>
        <v>0.36305732484076431</v>
      </c>
      <c r="M565" s="28" t="str">
        <f t="shared" si="8"/>
        <v>+20%</v>
      </c>
      <c r="N565" s="27" t="s">
        <v>86</v>
      </c>
      <c r="O565" s="27" t="s">
        <v>12</v>
      </c>
      <c r="P565" s="27" t="s">
        <v>13</v>
      </c>
      <c r="Q565" s="27" t="s">
        <v>39</v>
      </c>
    </row>
    <row r="566" spans="1:17" x14ac:dyDescent="0.3">
      <c r="A566" s="22">
        <v>49</v>
      </c>
      <c r="B566" s="19">
        <v>100</v>
      </c>
      <c r="C566" s="20">
        <f>Sales!$B566*Sales!$A566</f>
        <v>4900</v>
      </c>
      <c r="D566" s="21">
        <v>38162</v>
      </c>
      <c r="E566" s="22" t="s">
        <v>75</v>
      </c>
      <c r="F566" s="22">
        <v>2</v>
      </c>
      <c r="G566" s="22">
        <v>6</v>
      </c>
      <c r="H566" s="22">
        <v>2004</v>
      </c>
      <c r="I566" s="22" t="s">
        <v>115</v>
      </c>
      <c r="J566" s="20">
        <v>157</v>
      </c>
      <c r="K566" s="20">
        <f>Sales!$B566-Sales!$J566</f>
        <v>-57</v>
      </c>
      <c r="L566" s="23">
        <f>(Sales!$J566-Sales!$B566)/Sales!$J566</f>
        <v>0.36305732484076431</v>
      </c>
      <c r="M566" s="23" t="str">
        <f t="shared" si="8"/>
        <v>+20%</v>
      </c>
      <c r="N566" s="22" t="s">
        <v>45</v>
      </c>
      <c r="O566" s="22" t="s">
        <v>46</v>
      </c>
      <c r="P566" s="22" t="s">
        <v>17</v>
      </c>
      <c r="Q566" s="22" t="s">
        <v>19</v>
      </c>
    </row>
    <row r="567" spans="1:17" x14ac:dyDescent="0.3">
      <c r="A567" s="27">
        <v>41</v>
      </c>
      <c r="B567" s="24">
        <v>100</v>
      </c>
      <c r="C567" s="25">
        <f>Sales!$B567*Sales!$A567</f>
        <v>4100</v>
      </c>
      <c r="D567" s="26">
        <v>38189</v>
      </c>
      <c r="E567" s="27" t="s">
        <v>9</v>
      </c>
      <c r="F567" s="27">
        <v>3</v>
      </c>
      <c r="G567" s="27">
        <v>7</v>
      </c>
      <c r="H567" s="27">
        <v>2004</v>
      </c>
      <c r="I567" s="27" t="s">
        <v>115</v>
      </c>
      <c r="J567" s="25">
        <v>157</v>
      </c>
      <c r="K567" s="25">
        <f>Sales!$B567-Sales!$J567</f>
        <v>-57</v>
      </c>
      <c r="L567" s="28">
        <f>(Sales!$J567-Sales!$B567)/Sales!$J567</f>
        <v>0.36305732484076431</v>
      </c>
      <c r="M567" s="28" t="str">
        <f t="shared" si="8"/>
        <v>+20%</v>
      </c>
      <c r="N567" s="27" t="s">
        <v>66</v>
      </c>
      <c r="O567" s="27" t="s">
        <v>12</v>
      </c>
      <c r="P567" s="27" t="s">
        <v>13</v>
      </c>
      <c r="Q567" s="27" t="s">
        <v>19</v>
      </c>
    </row>
    <row r="568" spans="1:17" x14ac:dyDescent="0.3">
      <c r="A568" s="22">
        <v>45</v>
      </c>
      <c r="B568" s="19">
        <v>100</v>
      </c>
      <c r="C568" s="20">
        <f>Sales!$B568*Sales!$A568</f>
        <v>4500</v>
      </c>
      <c r="D568" s="21">
        <v>38220</v>
      </c>
      <c r="E568" s="22" t="s">
        <v>9</v>
      </c>
      <c r="F568" s="22">
        <v>3</v>
      </c>
      <c r="G568" s="22">
        <v>8</v>
      </c>
      <c r="H568" s="22">
        <v>2004</v>
      </c>
      <c r="I568" s="22" t="s">
        <v>115</v>
      </c>
      <c r="J568" s="20">
        <v>157</v>
      </c>
      <c r="K568" s="20">
        <f>Sales!$B568-Sales!$J568</f>
        <v>-57</v>
      </c>
      <c r="L568" s="23">
        <f>(Sales!$J568-Sales!$B568)/Sales!$J568</f>
        <v>0.36305732484076431</v>
      </c>
      <c r="M568" s="23" t="str">
        <f t="shared" si="8"/>
        <v>+20%</v>
      </c>
      <c r="N568" s="22" t="s">
        <v>110</v>
      </c>
      <c r="O568" s="22" t="s">
        <v>25</v>
      </c>
      <c r="P568" s="22" t="s">
        <v>17</v>
      </c>
      <c r="Q568" s="22" t="s">
        <v>19</v>
      </c>
    </row>
    <row r="569" spans="1:17" x14ac:dyDescent="0.3">
      <c r="A569" s="27">
        <v>36</v>
      </c>
      <c r="B569" s="24">
        <v>100</v>
      </c>
      <c r="C569" s="25">
        <f>Sales!$B569*Sales!$A569</f>
        <v>3600</v>
      </c>
      <c r="D569" s="26">
        <v>38245</v>
      </c>
      <c r="E569" s="27" t="s">
        <v>9</v>
      </c>
      <c r="F569" s="27">
        <v>3</v>
      </c>
      <c r="G569" s="27">
        <v>9</v>
      </c>
      <c r="H569" s="27">
        <v>2004</v>
      </c>
      <c r="I569" s="27" t="s">
        <v>115</v>
      </c>
      <c r="J569" s="25">
        <v>157</v>
      </c>
      <c r="K569" s="25">
        <f>Sales!$B569-Sales!$J569</f>
        <v>-57</v>
      </c>
      <c r="L569" s="28">
        <f>(Sales!$J569-Sales!$B569)/Sales!$J569</f>
        <v>0.36305732484076431</v>
      </c>
      <c r="M569" s="28" t="str">
        <f t="shared" si="8"/>
        <v>+20%</v>
      </c>
      <c r="N569" s="27" t="s">
        <v>116</v>
      </c>
      <c r="O569" s="27" t="s">
        <v>94</v>
      </c>
      <c r="P569" s="27" t="s">
        <v>17</v>
      </c>
      <c r="Q569" s="27" t="s">
        <v>19</v>
      </c>
    </row>
    <row r="570" spans="1:17" x14ac:dyDescent="0.3">
      <c r="A570" s="22">
        <v>39</v>
      </c>
      <c r="B570" s="19">
        <v>100</v>
      </c>
      <c r="C570" s="20">
        <f>Sales!$B570*Sales!$A570</f>
        <v>3900</v>
      </c>
      <c r="D570" s="21">
        <v>38274</v>
      </c>
      <c r="E570" s="22" t="s">
        <v>9</v>
      </c>
      <c r="F570" s="22">
        <v>4</v>
      </c>
      <c r="G570" s="22">
        <v>10</v>
      </c>
      <c r="H570" s="22">
        <v>2004</v>
      </c>
      <c r="I570" s="22" t="s">
        <v>115</v>
      </c>
      <c r="J570" s="20">
        <v>157</v>
      </c>
      <c r="K570" s="20">
        <f>Sales!$B570-Sales!$J570</f>
        <v>-57</v>
      </c>
      <c r="L570" s="23">
        <f>(Sales!$J570-Sales!$B570)/Sales!$J570</f>
        <v>0.36305732484076431</v>
      </c>
      <c r="M570" s="23" t="str">
        <f t="shared" si="8"/>
        <v>+20%</v>
      </c>
      <c r="N570" s="22" t="s">
        <v>53</v>
      </c>
      <c r="O570" s="22" t="s">
        <v>12</v>
      </c>
      <c r="P570" s="22" t="s">
        <v>13</v>
      </c>
      <c r="Q570" s="22" t="s">
        <v>39</v>
      </c>
    </row>
    <row r="571" spans="1:17" x14ac:dyDescent="0.3">
      <c r="A571" s="27">
        <v>27</v>
      </c>
      <c r="B571" s="24">
        <v>100</v>
      </c>
      <c r="C571" s="25">
        <f>Sales!$B571*Sales!$A571</f>
        <v>2700</v>
      </c>
      <c r="D571" s="26">
        <v>38292</v>
      </c>
      <c r="E571" s="27" t="s">
        <v>9</v>
      </c>
      <c r="F571" s="27">
        <v>4</v>
      </c>
      <c r="G571" s="27">
        <v>11</v>
      </c>
      <c r="H571" s="27">
        <v>2004</v>
      </c>
      <c r="I571" s="27" t="s">
        <v>115</v>
      </c>
      <c r="J571" s="25">
        <v>157</v>
      </c>
      <c r="K571" s="25">
        <f>Sales!$B571-Sales!$J571</f>
        <v>-57</v>
      </c>
      <c r="L571" s="28">
        <f>(Sales!$J571-Sales!$B571)/Sales!$J571</f>
        <v>0.36305732484076431</v>
      </c>
      <c r="M571" s="28" t="str">
        <f t="shared" si="8"/>
        <v>+20%</v>
      </c>
      <c r="N571" s="27" t="s">
        <v>84</v>
      </c>
      <c r="O571" s="27" t="s">
        <v>43</v>
      </c>
      <c r="P571" s="27" t="s">
        <v>17</v>
      </c>
      <c r="Q571" s="27" t="s">
        <v>19</v>
      </c>
    </row>
    <row r="572" spans="1:17" x14ac:dyDescent="0.3">
      <c r="A572" s="22">
        <v>25</v>
      </c>
      <c r="B572" s="19">
        <v>100</v>
      </c>
      <c r="C572" s="20">
        <f>Sales!$B572*Sales!$A572</f>
        <v>2500</v>
      </c>
      <c r="D572" s="21">
        <v>38301</v>
      </c>
      <c r="E572" s="22" t="s">
        <v>88</v>
      </c>
      <c r="F572" s="22">
        <v>4</v>
      </c>
      <c r="G572" s="22">
        <v>11</v>
      </c>
      <c r="H572" s="22">
        <v>2004</v>
      </c>
      <c r="I572" s="22" t="s">
        <v>115</v>
      </c>
      <c r="J572" s="20">
        <v>157</v>
      </c>
      <c r="K572" s="20">
        <f>Sales!$B572-Sales!$J572</f>
        <v>-57</v>
      </c>
      <c r="L572" s="23">
        <f>(Sales!$J572-Sales!$B572)/Sales!$J572</f>
        <v>0.36305732484076431</v>
      </c>
      <c r="M572" s="23" t="str">
        <f t="shared" si="8"/>
        <v>+20%</v>
      </c>
      <c r="N572" s="22" t="s">
        <v>72</v>
      </c>
      <c r="O572" s="22" t="s">
        <v>73</v>
      </c>
      <c r="P572" s="22" t="s">
        <v>17</v>
      </c>
      <c r="Q572" s="22" t="s">
        <v>14</v>
      </c>
    </row>
    <row r="573" spans="1:17" x14ac:dyDescent="0.3">
      <c r="A573" s="27">
        <v>41</v>
      </c>
      <c r="B573" s="24">
        <v>100</v>
      </c>
      <c r="C573" s="25">
        <f>Sales!$B573*Sales!$A573</f>
        <v>4100</v>
      </c>
      <c r="D573" s="26">
        <v>38313</v>
      </c>
      <c r="E573" s="27" t="s">
        <v>9</v>
      </c>
      <c r="F573" s="27">
        <v>4</v>
      </c>
      <c r="G573" s="27">
        <v>11</v>
      </c>
      <c r="H573" s="27">
        <v>2004</v>
      </c>
      <c r="I573" s="27" t="s">
        <v>115</v>
      </c>
      <c r="J573" s="25">
        <v>157</v>
      </c>
      <c r="K573" s="25">
        <f>Sales!$B573-Sales!$J573</f>
        <v>-57</v>
      </c>
      <c r="L573" s="28">
        <f>(Sales!$J573-Sales!$B573)/Sales!$J573</f>
        <v>0.36305732484076431</v>
      </c>
      <c r="M573" s="28" t="str">
        <f t="shared" si="8"/>
        <v>+20%</v>
      </c>
      <c r="N573" s="27" t="s">
        <v>117</v>
      </c>
      <c r="O573" s="27" t="s">
        <v>81</v>
      </c>
      <c r="P573" s="27" t="s">
        <v>17</v>
      </c>
      <c r="Q573" s="27" t="s">
        <v>19</v>
      </c>
    </row>
    <row r="574" spans="1:17" x14ac:dyDescent="0.3">
      <c r="A574" s="22">
        <v>39</v>
      </c>
      <c r="B574" s="19">
        <v>99.52</v>
      </c>
      <c r="C574" s="20">
        <f>Sales!$B574*Sales!$A574</f>
        <v>3881.2799999999997</v>
      </c>
      <c r="D574" s="21">
        <v>38324</v>
      </c>
      <c r="E574" s="22" t="s">
        <v>9</v>
      </c>
      <c r="F574" s="22">
        <v>4</v>
      </c>
      <c r="G574" s="22">
        <v>12</v>
      </c>
      <c r="H574" s="22">
        <v>2004</v>
      </c>
      <c r="I574" s="22" t="s">
        <v>115</v>
      </c>
      <c r="J574" s="20">
        <v>157</v>
      </c>
      <c r="K574" s="20">
        <f>Sales!$B574-Sales!$J574</f>
        <v>-57.480000000000004</v>
      </c>
      <c r="L574" s="23">
        <f>(Sales!$J574-Sales!$B574)/Sales!$J574</f>
        <v>0.36611464968152868</v>
      </c>
      <c r="M574" s="23" t="str">
        <f t="shared" si="8"/>
        <v>+20%</v>
      </c>
      <c r="N574" s="22" t="s">
        <v>74</v>
      </c>
      <c r="O574" s="22" t="s">
        <v>43</v>
      </c>
      <c r="P574" s="22" t="s">
        <v>17</v>
      </c>
      <c r="Q574" s="22" t="s">
        <v>19</v>
      </c>
    </row>
    <row r="575" spans="1:17" x14ac:dyDescent="0.3">
      <c r="A575" s="27">
        <v>28</v>
      </c>
      <c r="B575" s="24">
        <v>57.55</v>
      </c>
      <c r="C575" s="25">
        <f>Sales!$B575*Sales!$A575</f>
        <v>1611.3999999999999</v>
      </c>
      <c r="D575" s="26">
        <v>38383</v>
      </c>
      <c r="E575" s="27" t="s">
        <v>9</v>
      </c>
      <c r="F575" s="27">
        <v>1</v>
      </c>
      <c r="G575" s="27">
        <v>1</v>
      </c>
      <c r="H575" s="27">
        <v>2005</v>
      </c>
      <c r="I575" s="27" t="s">
        <v>115</v>
      </c>
      <c r="J575" s="25">
        <v>157</v>
      </c>
      <c r="K575" s="25">
        <f>Sales!$B575-Sales!$J575</f>
        <v>-99.45</v>
      </c>
      <c r="L575" s="28">
        <f>(Sales!$J575-Sales!$B575)/Sales!$J575</f>
        <v>0.6334394904458599</v>
      </c>
      <c r="M575" s="28" t="str">
        <f t="shared" si="8"/>
        <v>+20%</v>
      </c>
      <c r="N575" s="27" t="s">
        <v>85</v>
      </c>
      <c r="O575" s="27" t="s">
        <v>34</v>
      </c>
      <c r="P575" s="27" t="s">
        <v>17</v>
      </c>
      <c r="Q575" s="27" t="s">
        <v>14</v>
      </c>
    </row>
    <row r="576" spans="1:17" x14ac:dyDescent="0.3">
      <c r="A576" s="22">
        <v>25</v>
      </c>
      <c r="B576" s="19">
        <v>54.57</v>
      </c>
      <c r="C576" s="20">
        <f>Sales!$B576*Sales!$A576</f>
        <v>1364.25</v>
      </c>
      <c r="D576" s="21">
        <v>38412</v>
      </c>
      <c r="E576" s="22" t="s">
        <v>88</v>
      </c>
      <c r="F576" s="22">
        <v>1</v>
      </c>
      <c r="G576" s="22">
        <v>3</v>
      </c>
      <c r="H576" s="22">
        <v>2005</v>
      </c>
      <c r="I576" s="22" t="s">
        <v>115</v>
      </c>
      <c r="J576" s="20">
        <v>157</v>
      </c>
      <c r="K576" s="20">
        <f>Sales!$B576-Sales!$J576</f>
        <v>-102.43</v>
      </c>
      <c r="L576" s="23">
        <f>(Sales!$J576-Sales!$B576)/Sales!$J576</f>
        <v>0.65242038216560516</v>
      </c>
      <c r="M576" s="23" t="str">
        <f t="shared" si="8"/>
        <v>+20%</v>
      </c>
      <c r="N576" s="22" t="s">
        <v>45</v>
      </c>
      <c r="O576" s="22" t="s">
        <v>46</v>
      </c>
      <c r="P576" s="22" t="s">
        <v>17</v>
      </c>
      <c r="Q576" s="22" t="s">
        <v>14</v>
      </c>
    </row>
    <row r="577" spans="1:17" x14ac:dyDescent="0.3">
      <c r="A577" s="27">
        <v>33</v>
      </c>
      <c r="B577" s="24">
        <v>100</v>
      </c>
      <c r="C577" s="25">
        <f>Sales!$B577*Sales!$A577</f>
        <v>3300</v>
      </c>
      <c r="D577" s="26">
        <v>38441</v>
      </c>
      <c r="E577" s="27" t="s">
        <v>9</v>
      </c>
      <c r="F577" s="27">
        <v>1</v>
      </c>
      <c r="G577" s="27">
        <v>3</v>
      </c>
      <c r="H577" s="27">
        <v>2005</v>
      </c>
      <c r="I577" s="27" t="s">
        <v>115</v>
      </c>
      <c r="J577" s="25">
        <v>157</v>
      </c>
      <c r="K577" s="25">
        <f>Sales!$B577-Sales!$J577</f>
        <v>-57</v>
      </c>
      <c r="L577" s="28">
        <f>(Sales!$J577-Sales!$B577)/Sales!$J577</f>
        <v>0.36305732484076431</v>
      </c>
      <c r="M577" s="28" t="str">
        <f t="shared" si="8"/>
        <v>+20%</v>
      </c>
      <c r="N577" s="27" t="s">
        <v>15</v>
      </c>
      <c r="O577" s="27" t="s">
        <v>16</v>
      </c>
      <c r="P577" s="27" t="s">
        <v>17</v>
      </c>
      <c r="Q577" s="27" t="s">
        <v>19</v>
      </c>
    </row>
    <row r="578" spans="1:17" x14ac:dyDescent="0.3">
      <c r="A578" s="22">
        <v>34</v>
      </c>
      <c r="B578" s="19">
        <v>100</v>
      </c>
      <c r="C578" s="20">
        <f>Sales!$B578*Sales!$A578</f>
        <v>3400</v>
      </c>
      <c r="D578" s="21">
        <v>38443</v>
      </c>
      <c r="E578" s="22" t="s">
        <v>9</v>
      </c>
      <c r="F578" s="22">
        <v>2</v>
      </c>
      <c r="G578" s="22">
        <v>4</v>
      </c>
      <c r="H578" s="22">
        <v>2005</v>
      </c>
      <c r="I578" s="22" t="s">
        <v>115</v>
      </c>
      <c r="J578" s="20">
        <v>157</v>
      </c>
      <c r="K578" s="20">
        <f>Sales!$B578-Sales!$J578</f>
        <v>-57</v>
      </c>
      <c r="L578" s="23">
        <f>(Sales!$J578-Sales!$B578)/Sales!$J578</f>
        <v>0.36305732484076431</v>
      </c>
      <c r="M578" s="23" t="str">
        <f t="shared" si="8"/>
        <v>+20%</v>
      </c>
      <c r="N578" s="22" t="s">
        <v>86</v>
      </c>
      <c r="O578" s="22" t="s">
        <v>12</v>
      </c>
      <c r="P578" s="22" t="s">
        <v>13</v>
      </c>
      <c r="Q578" s="22" t="s">
        <v>19</v>
      </c>
    </row>
    <row r="579" spans="1:17" x14ac:dyDescent="0.3">
      <c r="A579" s="27">
        <v>24</v>
      </c>
      <c r="B579" s="24">
        <v>100</v>
      </c>
      <c r="C579" s="25">
        <f>Sales!$B579*Sales!$A579</f>
        <v>2400</v>
      </c>
      <c r="D579" s="26">
        <v>38482</v>
      </c>
      <c r="E579" s="27" t="s">
        <v>9</v>
      </c>
      <c r="F579" s="27">
        <v>2</v>
      </c>
      <c r="G579" s="27">
        <v>5</v>
      </c>
      <c r="H579" s="27">
        <v>2005</v>
      </c>
      <c r="I579" s="27" t="s">
        <v>115</v>
      </c>
      <c r="J579" s="25">
        <v>157</v>
      </c>
      <c r="K579" s="25">
        <f>Sales!$B579-Sales!$J579</f>
        <v>-57</v>
      </c>
      <c r="L579" s="28">
        <f>(Sales!$J579-Sales!$B579)/Sales!$J579</f>
        <v>0.36305732484076431</v>
      </c>
      <c r="M579" s="28" t="str">
        <f t="shared" ref="M579:M642" si="9">IF(L579&lt;0%,"Below 0%",IF(L579=0%,"0%",IF(AND(L579&lt;=5%,L579&gt;0%),"0%-5%",IF(AND(L579&lt;=10%,L579&gt;5%),"5%-10%",IF(AND(L579&lt;=15%,L579&gt;10%),"10%-15%",IF(AND(L579&lt;=20%,L579&gt;15%),"15%-20%","+20%"))))))</f>
        <v>+20%</v>
      </c>
      <c r="N579" s="27" t="s">
        <v>97</v>
      </c>
      <c r="O579" s="27" t="s">
        <v>61</v>
      </c>
      <c r="P579" s="27" t="s">
        <v>17</v>
      </c>
      <c r="Q579" s="27" t="s">
        <v>19</v>
      </c>
    </row>
    <row r="580" spans="1:17" x14ac:dyDescent="0.3">
      <c r="A580" s="22">
        <v>30</v>
      </c>
      <c r="B580" s="19">
        <v>100</v>
      </c>
      <c r="C580" s="20">
        <f>Sales!$B580*Sales!$A580</f>
        <v>3000</v>
      </c>
      <c r="D580" s="21">
        <v>37627</v>
      </c>
      <c r="E580" s="22" t="s">
        <v>9</v>
      </c>
      <c r="F580" s="22">
        <v>1</v>
      </c>
      <c r="G580" s="22">
        <v>1</v>
      </c>
      <c r="H580" s="22">
        <v>2003</v>
      </c>
      <c r="I580" s="22" t="s">
        <v>112</v>
      </c>
      <c r="J580" s="20">
        <v>170</v>
      </c>
      <c r="K580" s="20">
        <f>Sales!$B580-Sales!$J580</f>
        <v>-70</v>
      </c>
      <c r="L580" s="23">
        <f>(Sales!$J580-Sales!$B580)/Sales!$J580</f>
        <v>0.41176470588235292</v>
      </c>
      <c r="M580" s="23" t="str">
        <f t="shared" si="9"/>
        <v>+20%</v>
      </c>
      <c r="N580" s="22" t="s">
        <v>65</v>
      </c>
      <c r="O580" s="22" t="s">
        <v>12</v>
      </c>
      <c r="P580" s="22" t="s">
        <v>13</v>
      </c>
      <c r="Q580" s="22" t="s">
        <v>19</v>
      </c>
    </row>
    <row r="581" spans="1:17" x14ac:dyDescent="0.3">
      <c r="A581" s="27">
        <v>42</v>
      </c>
      <c r="B581" s="24">
        <v>100</v>
      </c>
      <c r="C581" s="25">
        <f>Sales!$B581*Sales!$A581</f>
        <v>4200</v>
      </c>
      <c r="D581" s="26">
        <v>37698</v>
      </c>
      <c r="E581" s="27" t="s">
        <v>9</v>
      </c>
      <c r="F581" s="27">
        <v>1</v>
      </c>
      <c r="G581" s="27">
        <v>3</v>
      </c>
      <c r="H581" s="27">
        <v>2003</v>
      </c>
      <c r="I581" s="27" t="s">
        <v>112</v>
      </c>
      <c r="J581" s="25">
        <v>170</v>
      </c>
      <c r="K581" s="25">
        <f>Sales!$B581-Sales!$J581</f>
        <v>-70</v>
      </c>
      <c r="L581" s="28">
        <f>(Sales!$J581-Sales!$B581)/Sales!$J581</f>
        <v>0.41176470588235292</v>
      </c>
      <c r="M581" s="28" t="str">
        <f t="shared" si="9"/>
        <v>+20%</v>
      </c>
      <c r="N581" s="27" t="s">
        <v>102</v>
      </c>
      <c r="O581" s="27" t="s">
        <v>43</v>
      </c>
      <c r="P581" s="27" t="s">
        <v>17</v>
      </c>
      <c r="Q581" s="27" t="s">
        <v>19</v>
      </c>
    </row>
    <row r="582" spans="1:17" x14ac:dyDescent="0.3">
      <c r="A582" s="22">
        <v>21</v>
      </c>
      <c r="B582" s="19">
        <v>100</v>
      </c>
      <c r="C582" s="20">
        <f>Sales!$B582*Sales!$A582</f>
        <v>2100</v>
      </c>
      <c r="D582" s="21">
        <v>37762</v>
      </c>
      <c r="E582" s="22" t="s">
        <v>9</v>
      </c>
      <c r="F582" s="22">
        <v>2</v>
      </c>
      <c r="G582" s="22">
        <v>5</v>
      </c>
      <c r="H582" s="22">
        <v>2003</v>
      </c>
      <c r="I582" s="22" t="s">
        <v>112</v>
      </c>
      <c r="J582" s="20">
        <v>170</v>
      </c>
      <c r="K582" s="20">
        <f>Sales!$B582-Sales!$J582</f>
        <v>-70</v>
      </c>
      <c r="L582" s="23">
        <f>(Sales!$J582-Sales!$B582)/Sales!$J582</f>
        <v>0.41176470588235292</v>
      </c>
      <c r="M582" s="23" t="str">
        <f t="shared" si="9"/>
        <v>+20%</v>
      </c>
      <c r="N582" s="22" t="s">
        <v>109</v>
      </c>
      <c r="O582" s="22" t="s">
        <v>12</v>
      </c>
      <c r="P582" s="22" t="s">
        <v>13</v>
      </c>
      <c r="Q582" s="22" t="s">
        <v>14</v>
      </c>
    </row>
    <row r="583" spans="1:17" x14ac:dyDescent="0.3">
      <c r="A583" s="27">
        <v>34</v>
      </c>
      <c r="B583" s="24">
        <v>100</v>
      </c>
      <c r="C583" s="25">
        <f>Sales!$B583*Sales!$A583</f>
        <v>3400</v>
      </c>
      <c r="D583" s="26">
        <v>37876</v>
      </c>
      <c r="E583" s="27" t="s">
        <v>9</v>
      </c>
      <c r="F583" s="27">
        <v>3</v>
      </c>
      <c r="G583" s="27">
        <v>9</v>
      </c>
      <c r="H583" s="27">
        <v>2003</v>
      </c>
      <c r="I583" s="27" t="s">
        <v>112</v>
      </c>
      <c r="J583" s="25">
        <v>170</v>
      </c>
      <c r="K583" s="25">
        <f>Sales!$B583-Sales!$J583</f>
        <v>-70</v>
      </c>
      <c r="L583" s="28">
        <f>(Sales!$J583-Sales!$B583)/Sales!$J583</f>
        <v>0.41176470588235292</v>
      </c>
      <c r="M583" s="28" t="str">
        <f t="shared" si="9"/>
        <v>+20%</v>
      </c>
      <c r="N583" s="27" t="s">
        <v>107</v>
      </c>
      <c r="O583" s="27" t="s">
        <v>12</v>
      </c>
      <c r="P583" s="27" t="s">
        <v>13</v>
      </c>
      <c r="Q583" s="27" t="s">
        <v>19</v>
      </c>
    </row>
    <row r="584" spans="1:17" x14ac:dyDescent="0.3">
      <c r="A584" s="22">
        <v>29</v>
      </c>
      <c r="B584" s="19">
        <v>100</v>
      </c>
      <c r="C584" s="20">
        <f>Sales!$B584*Sales!$A584</f>
        <v>2900</v>
      </c>
      <c r="D584" s="21">
        <v>37912</v>
      </c>
      <c r="E584" s="22" t="s">
        <v>9</v>
      </c>
      <c r="F584" s="22">
        <v>4</v>
      </c>
      <c r="G584" s="22">
        <v>10</v>
      </c>
      <c r="H584" s="22">
        <v>2003</v>
      </c>
      <c r="I584" s="22" t="s">
        <v>112</v>
      </c>
      <c r="J584" s="20">
        <v>170</v>
      </c>
      <c r="K584" s="20">
        <f>Sales!$B584-Sales!$J584</f>
        <v>-70</v>
      </c>
      <c r="L584" s="23">
        <f>(Sales!$J584-Sales!$B584)/Sales!$J584</f>
        <v>0.41176470588235292</v>
      </c>
      <c r="M584" s="23" t="str">
        <f t="shared" si="9"/>
        <v>+20%</v>
      </c>
      <c r="N584" s="22" t="s">
        <v>21</v>
      </c>
      <c r="O584" s="22" t="s">
        <v>12</v>
      </c>
      <c r="P584" s="22" t="s">
        <v>13</v>
      </c>
      <c r="Q584" s="22" t="s">
        <v>19</v>
      </c>
    </row>
    <row r="585" spans="1:17" x14ac:dyDescent="0.3">
      <c r="A585" s="27">
        <v>24</v>
      </c>
      <c r="B585" s="24">
        <v>100</v>
      </c>
      <c r="C585" s="25">
        <f>Sales!$B585*Sales!$A585</f>
        <v>2400</v>
      </c>
      <c r="D585" s="26">
        <v>37930</v>
      </c>
      <c r="E585" s="27" t="s">
        <v>9</v>
      </c>
      <c r="F585" s="27">
        <v>4</v>
      </c>
      <c r="G585" s="27">
        <v>11</v>
      </c>
      <c r="H585" s="27">
        <v>2003</v>
      </c>
      <c r="I585" s="27" t="s">
        <v>112</v>
      </c>
      <c r="J585" s="25">
        <v>170</v>
      </c>
      <c r="K585" s="25">
        <f>Sales!$B585-Sales!$J585</f>
        <v>-70</v>
      </c>
      <c r="L585" s="28">
        <f>(Sales!$J585-Sales!$B585)/Sales!$J585</f>
        <v>0.41176470588235292</v>
      </c>
      <c r="M585" s="28" t="str">
        <f t="shared" si="9"/>
        <v>+20%</v>
      </c>
      <c r="N585" s="27" t="s">
        <v>113</v>
      </c>
      <c r="O585" s="27" t="s">
        <v>61</v>
      </c>
      <c r="P585" s="27" t="s">
        <v>17</v>
      </c>
      <c r="Q585" s="27" t="s">
        <v>19</v>
      </c>
    </row>
    <row r="586" spans="1:17" x14ac:dyDescent="0.3">
      <c r="A586" s="22">
        <v>44</v>
      </c>
      <c r="B586" s="19">
        <v>100</v>
      </c>
      <c r="C586" s="20">
        <f>Sales!$B586*Sales!$A586</f>
        <v>4400</v>
      </c>
      <c r="D586" s="21">
        <v>37937</v>
      </c>
      <c r="E586" s="22" t="s">
        <v>9</v>
      </c>
      <c r="F586" s="22">
        <v>4</v>
      </c>
      <c r="G586" s="22">
        <v>11</v>
      </c>
      <c r="H586" s="22">
        <v>2003</v>
      </c>
      <c r="I586" s="22" t="s">
        <v>112</v>
      </c>
      <c r="J586" s="20">
        <v>170</v>
      </c>
      <c r="K586" s="20">
        <f>Sales!$B586-Sales!$J586</f>
        <v>-70</v>
      </c>
      <c r="L586" s="23">
        <f>(Sales!$J586-Sales!$B586)/Sales!$J586</f>
        <v>0.41176470588235292</v>
      </c>
      <c r="M586" s="23" t="str">
        <f t="shared" si="9"/>
        <v>+20%</v>
      </c>
      <c r="N586" s="22" t="s">
        <v>64</v>
      </c>
      <c r="O586" s="22" t="s">
        <v>12</v>
      </c>
      <c r="P586" s="22" t="s">
        <v>13</v>
      </c>
      <c r="Q586" s="22" t="s">
        <v>39</v>
      </c>
    </row>
    <row r="587" spans="1:17" x14ac:dyDescent="0.3">
      <c r="A587" s="27">
        <v>21</v>
      </c>
      <c r="B587" s="24">
        <v>100</v>
      </c>
      <c r="C587" s="25">
        <f>Sales!$B587*Sales!$A587</f>
        <v>2100</v>
      </c>
      <c r="D587" s="26">
        <v>37946</v>
      </c>
      <c r="E587" s="27" t="s">
        <v>9</v>
      </c>
      <c r="F587" s="27">
        <v>4</v>
      </c>
      <c r="G587" s="27">
        <v>11</v>
      </c>
      <c r="H587" s="27">
        <v>2003</v>
      </c>
      <c r="I587" s="27" t="s">
        <v>112</v>
      </c>
      <c r="J587" s="25">
        <v>170</v>
      </c>
      <c r="K587" s="25">
        <f>Sales!$B587-Sales!$J587</f>
        <v>-70</v>
      </c>
      <c r="L587" s="28">
        <f>(Sales!$J587-Sales!$B587)/Sales!$J587</f>
        <v>0.41176470588235292</v>
      </c>
      <c r="M587" s="28" t="str">
        <f t="shared" si="9"/>
        <v>+20%</v>
      </c>
      <c r="N587" s="27" t="s">
        <v>114</v>
      </c>
      <c r="O587" s="27" t="s">
        <v>27</v>
      </c>
      <c r="P587" s="27" t="s">
        <v>28</v>
      </c>
      <c r="Q587" s="27" t="s">
        <v>19</v>
      </c>
    </row>
    <row r="588" spans="1:17" x14ac:dyDescent="0.3">
      <c r="A588" s="22">
        <v>33</v>
      </c>
      <c r="B588" s="19">
        <v>100</v>
      </c>
      <c r="C588" s="20">
        <f>Sales!$B588*Sales!$A588</f>
        <v>3300</v>
      </c>
      <c r="D588" s="21">
        <v>37957</v>
      </c>
      <c r="E588" s="22" t="s">
        <v>9</v>
      </c>
      <c r="F588" s="22">
        <v>4</v>
      </c>
      <c r="G588" s="22">
        <v>12</v>
      </c>
      <c r="H588" s="22">
        <v>2003</v>
      </c>
      <c r="I588" s="22" t="s">
        <v>112</v>
      </c>
      <c r="J588" s="20">
        <v>170</v>
      </c>
      <c r="K588" s="20">
        <f>Sales!$B588-Sales!$J588</f>
        <v>-70</v>
      </c>
      <c r="L588" s="23">
        <f>(Sales!$J588-Sales!$B588)/Sales!$J588</f>
        <v>0.41176470588235292</v>
      </c>
      <c r="M588" s="23" t="str">
        <f t="shared" si="9"/>
        <v>+20%</v>
      </c>
      <c r="N588" s="22" t="s">
        <v>11</v>
      </c>
      <c r="O588" s="22" t="s">
        <v>12</v>
      </c>
      <c r="P588" s="22" t="s">
        <v>13</v>
      </c>
      <c r="Q588" s="22" t="s">
        <v>19</v>
      </c>
    </row>
    <row r="589" spans="1:17" x14ac:dyDescent="0.3">
      <c r="A589" s="27">
        <v>30</v>
      </c>
      <c r="B589" s="24">
        <v>100</v>
      </c>
      <c r="C589" s="25">
        <f>Sales!$B589*Sales!$A589</f>
        <v>3000</v>
      </c>
      <c r="D589" s="26">
        <v>38012</v>
      </c>
      <c r="E589" s="27" t="s">
        <v>9</v>
      </c>
      <c r="F589" s="27">
        <v>1</v>
      </c>
      <c r="G589" s="27">
        <v>1</v>
      </c>
      <c r="H589" s="27">
        <v>2004</v>
      </c>
      <c r="I589" s="27" t="s">
        <v>112</v>
      </c>
      <c r="J589" s="25">
        <v>170</v>
      </c>
      <c r="K589" s="25">
        <f>Sales!$B589-Sales!$J589</f>
        <v>-70</v>
      </c>
      <c r="L589" s="28">
        <f>(Sales!$J589-Sales!$B589)/Sales!$J589</f>
        <v>0.41176470588235292</v>
      </c>
      <c r="M589" s="28" t="str">
        <f t="shared" si="9"/>
        <v>+20%</v>
      </c>
      <c r="N589" s="27" t="s">
        <v>45</v>
      </c>
      <c r="O589" s="27" t="s">
        <v>46</v>
      </c>
      <c r="P589" s="27" t="s">
        <v>17</v>
      </c>
      <c r="Q589" s="27" t="s">
        <v>19</v>
      </c>
    </row>
    <row r="590" spans="1:17" x14ac:dyDescent="0.3">
      <c r="A590" s="22">
        <v>26</v>
      </c>
      <c r="B590" s="19">
        <v>100</v>
      </c>
      <c r="C590" s="20">
        <f>Sales!$B590*Sales!$A590</f>
        <v>2600</v>
      </c>
      <c r="D590" s="21">
        <v>38048</v>
      </c>
      <c r="E590" s="22" t="s">
        <v>9</v>
      </c>
      <c r="F590" s="22">
        <v>1</v>
      </c>
      <c r="G590" s="22">
        <v>3</v>
      </c>
      <c r="H590" s="22">
        <v>2004</v>
      </c>
      <c r="I590" s="22" t="s">
        <v>112</v>
      </c>
      <c r="J590" s="20">
        <v>170</v>
      </c>
      <c r="K590" s="20">
        <f>Sales!$B590-Sales!$J590</f>
        <v>-70</v>
      </c>
      <c r="L590" s="23">
        <f>(Sales!$J590-Sales!$B590)/Sales!$J590</f>
        <v>0.41176470588235292</v>
      </c>
      <c r="M590" s="23" t="str">
        <f t="shared" si="9"/>
        <v>+20%</v>
      </c>
      <c r="N590" s="22" t="s">
        <v>54</v>
      </c>
      <c r="O590" s="22" t="s">
        <v>16</v>
      </c>
      <c r="P590" s="22" t="s">
        <v>17</v>
      </c>
      <c r="Q590" s="22" t="s">
        <v>19</v>
      </c>
    </row>
    <row r="591" spans="1:17" x14ac:dyDescent="0.3">
      <c r="A591" s="27">
        <v>41</v>
      </c>
      <c r="B591" s="24">
        <v>100</v>
      </c>
      <c r="C591" s="25">
        <f>Sales!$B591*Sales!$A591</f>
        <v>4100</v>
      </c>
      <c r="D591" s="26">
        <v>38090</v>
      </c>
      <c r="E591" s="27" t="s">
        <v>9</v>
      </c>
      <c r="F591" s="27">
        <v>2</v>
      </c>
      <c r="G591" s="27">
        <v>4</v>
      </c>
      <c r="H591" s="27">
        <v>2004</v>
      </c>
      <c r="I591" s="27" t="s">
        <v>112</v>
      </c>
      <c r="J591" s="25">
        <v>170</v>
      </c>
      <c r="K591" s="25">
        <f>Sales!$B591-Sales!$J591</f>
        <v>-70</v>
      </c>
      <c r="L591" s="28">
        <f>(Sales!$J591-Sales!$B591)/Sales!$J591</f>
        <v>0.41176470588235292</v>
      </c>
      <c r="M591" s="28" t="str">
        <f t="shared" si="9"/>
        <v>+20%</v>
      </c>
      <c r="N591" s="27" t="s">
        <v>108</v>
      </c>
      <c r="O591" s="27" t="s">
        <v>16</v>
      </c>
      <c r="P591" s="27" t="s">
        <v>17</v>
      </c>
      <c r="Q591" s="27" t="s">
        <v>39</v>
      </c>
    </row>
    <row r="592" spans="1:17" x14ac:dyDescent="0.3">
      <c r="A592" s="22">
        <v>26</v>
      </c>
      <c r="B592" s="19">
        <v>100</v>
      </c>
      <c r="C592" s="20">
        <f>Sales!$B592*Sales!$A592</f>
        <v>2600</v>
      </c>
      <c r="D592" s="21">
        <v>38216</v>
      </c>
      <c r="E592" s="22" t="s">
        <v>9</v>
      </c>
      <c r="F592" s="22">
        <v>3</v>
      </c>
      <c r="G592" s="22">
        <v>8</v>
      </c>
      <c r="H592" s="22">
        <v>2004</v>
      </c>
      <c r="I592" s="22" t="s">
        <v>112</v>
      </c>
      <c r="J592" s="20">
        <v>170</v>
      </c>
      <c r="K592" s="20">
        <f>Sales!$B592-Sales!$J592</f>
        <v>-70</v>
      </c>
      <c r="L592" s="23">
        <f>(Sales!$J592-Sales!$B592)/Sales!$J592</f>
        <v>0.41176470588235292</v>
      </c>
      <c r="M592" s="23" t="str">
        <f t="shared" si="9"/>
        <v>+20%</v>
      </c>
      <c r="N592" s="22" t="s">
        <v>60</v>
      </c>
      <c r="O592" s="22" t="s">
        <v>61</v>
      </c>
      <c r="P592" s="22" t="s">
        <v>17</v>
      </c>
      <c r="Q592" s="22" t="s">
        <v>19</v>
      </c>
    </row>
    <row r="593" spans="1:17" x14ac:dyDescent="0.3">
      <c r="A593" s="27">
        <v>32</v>
      </c>
      <c r="B593" s="24">
        <v>100</v>
      </c>
      <c r="C593" s="25">
        <f>Sales!$B593*Sales!$A593</f>
        <v>3200</v>
      </c>
      <c r="D593" s="26">
        <v>38231</v>
      </c>
      <c r="E593" s="27" t="s">
        <v>9</v>
      </c>
      <c r="F593" s="27">
        <v>3</v>
      </c>
      <c r="G593" s="27">
        <v>9</v>
      </c>
      <c r="H593" s="27">
        <v>2004</v>
      </c>
      <c r="I593" s="27" t="s">
        <v>112</v>
      </c>
      <c r="J593" s="25">
        <v>170</v>
      </c>
      <c r="K593" s="25">
        <f>Sales!$B593-Sales!$J593</f>
        <v>-70</v>
      </c>
      <c r="L593" s="28">
        <f>(Sales!$J593-Sales!$B593)/Sales!$J593</f>
        <v>0.41176470588235292</v>
      </c>
      <c r="M593" s="28" t="str">
        <f t="shared" si="9"/>
        <v>+20%</v>
      </c>
      <c r="N593" s="27" t="s">
        <v>50</v>
      </c>
      <c r="O593" s="27" t="s">
        <v>50</v>
      </c>
      <c r="P593" s="27" t="s">
        <v>28</v>
      </c>
      <c r="Q593" s="27" t="s">
        <v>19</v>
      </c>
    </row>
    <row r="594" spans="1:17" x14ac:dyDescent="0.3">
      <c r="A594" s="22">
        <v>43</v>
      </c>
      <c r="B594" s="19">
        <v>100</v>
      </c>
      <c r="C594" s="20">
        <f>Sales!$B594*Sales!$A594</f>
        <v>4300</v>
      </c>
      <c r="D594" s="21">
        <v>37900</v>
      </c>
      <c r="E594" s="22" t="s">
        <v>9</v>
      </c>
      <c r="F594" s="22">
        <v>4</v>
      </c>
      <c r="G594" s="22">
        <v>10</v>
      </c>
      <c r="H594" s="22">
        <v>2003</v>
      </c>
      <c r="I594" s="22" t="s">
        <v>112</v>
      </c>
      <c r="J594" s="20">
        <v>170</v>
      </c>
      <c r="K594" s="20">
        <f>Sales!$B594-Sales!$J594</f>
        <v>-70</v>
      </c>
      <c r="L594" s="23">
        <f>(Sales!$J594-Sales!$B594)/Sales!$J594</f>
        <v>0.41176470588235292</v>
      </c>
      <c r="M594" s="23" t="str">
        <f t="shared" si="9"/>
        <v>+20%</v>
      </c>
      <c r="N594" s="22" t="s">
        <v>42</v>
      </c>
      <c r="O594" s="22" t="s">
        <v>43</v>
      </c>
      <c r="P594" s="22" t="s">
        <v>17</v>
      </c>
      <c r="Q594" s="22" t="s">
        <v>39</v>
      </c>
    </row>
    <row r="595" spans="1:17" x14ac:dyDescent="0.3">
      <c r="A595" s="27">
        <v>48</v>
      </c>
      <c r="B595" s="24">
        <v>100</v>
      </c>
      <c r="C595" s="25">
        <f>Sales!$B595*Sales!$A595</f>
        <v>4800</v>
      </c>
      <c r="D595" s="26">
        <v>38281</v>
      </c>
      <c r="E595" s="27" t="s">
        <v>9</v>
      </c>
      <c r="F595" s="27">
        <v>4</v>
      </c>
      <c r="G595" s="27">
        <v>10</v>
      </c>
      <c r="H595" s="27">
        <v>2004</v>
      </c>
      <c r="I595" s="27" t="s">
        <v>112</v>
      </c>
      <c r="J595" s="25">
        <v>170</v>
      </c>
      <c r="K595" s="25">
        <f>Sales!$B595-Sales!$J595</f>
        <v>-70</v>
      </c>
      <c r="L595" s="28">
        <f>(Sales!$J595-Sales!$B595)/Sales!$J595</f>
        <v>0.41176470588235292</v>
      </c>
      <c r="M595" s="28" t="str">
        <f t="shared" si="9"/>
        <v>+20%</v>
      </c>
      <c r="N595" s="27" t="s">
        <v>64</v>
      </c>
      <c r="O595" s="27" t="s">
        <v>12</v>
      </c>
      <c r="P595" s="27" t="s">
        <v>13</v>
      </c>
      <c r="Q595" s="27" t="s">
        <v>39</v>
      </c>
    </row>
    <row r="596" spans="1:17" x14ac:dyDescent="0.3">
      <c r="A596" s="22">
        <v>44</v>
      </c>
      <c r="B596" s="19">
        <v>74.040000000000006</v>
      </c>
      <c r="C596" s="20">
        <f>Sales!$B596*Sales!$A596</f>
        <v>3257.76</v>
      </c>
      <c r="D596" s="21">
        <v>38308</v>
      </c>
      <c r="E596" s="22" t="s">
        <v>9</v>
      </c>
      <c r="F596" s="22">
        <v>4</v>
      </c>
      <c r="G596" s="22">
        <v>11</v>
      </c>
      <c r="H596" s="22">
        <v>2004</v>
      </c>
      <c r="I596" s="22" t="s">
        <v>112</v>
      </c>
      <c r="J596" s="20">
        <v>170</v>
      </c>
      <c r="K596" s="20">
        <f>Sales!$B596-Sales!$J596</f>
        <v>-95.96</v>
      </c>
      <c r="L596" s="23">
        <f>(Sales!$J596-Sales!$B596)/Sales!$J596</f>
        <v>0.56447058823529406</v>
      </c>
      <c r="M596" s="23" t="str">
        <f t="shared" si="9"/>
        <v>+20%</v>
      </c>
      <c r="N596" s="22" t="s">
        <v>53</v>
      </c>
      <c r="O596" s="22" t="s">
        <v>12</v>
      </c>
      <c r="P596" s="22" t="s">
        <v>13</v>
      </c>
      <c r="Q596" s="22" t="s">
        <v>19</v>
      </c>
    </row>
    <row r="597" spans="1:17" x14ac:dyDescent="0.3">
      <c r="A597" s="27">
        <v>45</v>
      </c>
      <c r="B597" s="24">
        <v>100</v>
      </c>
      <c r="C597" s="25">
        <f>Sales!$B597*Sales!$A597</f>
        <v>4500</v>
      </c>
      <c r="D597" s="26">
        <v>38316</v>
      </c>
      <c r="E597" s="27" t="s">
        <v>9</v>
      </c>
      <c r="F597" s="27">
        <v>4</v>
      </c>
      <c r="G597" s="27">
        <v>11</v>
      </c>
      <c r="H597" s="27">
        <v>2004</v>
      </c>
      <c r="I597" s="27" t="s">
        <v>112</v>
      </c>
      <c r="J597" s="25">
        <v>170</v>
      </c>
      <c r="K597" s="25">
        <f>Sales!$B597-Sales!$J597</f>
        <v>-70</v>
      </c>
      <c r="L597" s="28">
        <f>(Sales!$J597-Sales!$B597)/Sales!$J597</f>
        <v>0.41176470588235292</v>
      </c>
      <c r="M597" s="28" t="str">
        <f t="shared" si="9"/>
        <v>+20%</v>
      </c>
      <c r="N597" s="27" t="s">
        <v>92</v>
      </c>
      <c r="O597" s="27" t="s">
        <v>16</v>
      </c>
      <c r="P597" s="27" t="s">
        <v>17</v>
      </c>
      <c r="Q597" s="27" t="s">
        <v>39</v>
      </c>
    </row>
    <row r="598" spans="1:17" x14ac:dyDescent="0.3">
      <c r="A598" s="22">
        <v>37</v>
      </c>
      <c r="B598" s="19">
        <v>100</v>
      </c>
      <c r="C598" s="20">
        <f>Sales!$B598*Sales!$A598</f>
        <v>3700</v>
      </c>
      <c r="D598" s="21">
        <v>38364</v>
      </c>
      <c r="E598" s="22" t="s">
        <v>88</v>
      </c>
      <c r="F598" s="22">
        <v>1</v>
      </c>
      <c r="G598" s="22">
        <v>1</v>
      </c>
      <c r="H598" s="22">
        <v>2005</v>
      </c>
      <c r="I598" s="22" t="s">
        <v>112</v>
      </c>
      <c r="J598" s="20">
        <v>170</v>
      </c>
      <c r="K598" s="20">
        <f>Sales!$B598-Sales!$J598</f>
        <v>-70</v>
      </c>
      <c r="L598" s="23">
        <f>(Sales!$J598-Sales!$B598)/Sales!$J598</f>
        <v>0.41176470588235292</v>
      </c>
      <c r="M598" s="23" t="str">
        <f t="shared" si="9"/>
        <v>+20%</v>
      </c>
      <c r="N598" s="22" t="s">
        <v>20</v>
      </c>
      <c r="O598" s="22" t="s">
        <v>12</v>
      </c>
      <c r="P598" s="22" t="s">
        <v>13</v>
      </c>
      <c r="Q598" s="22" t="s">
        <v>19</v>
      </c>
    </row>
    <row r="599" spans="1:17" x14ac:dyDescent="0.3">
      <c r="A599" s="27">
        <v>39</v>
      </c>
      <c r="B599" s="24">
        <v>100</v>
      </c>
      <c r="C599" s="25">
        <f>Sales!$B599*Sales!$A599</f>
        <v>3900</v>
      </c>
      <c r="D599" s="26">
        <v>38393</v>
      </c>
      <c r="E599" s="27" t="s">
        <v>9</v>
      </c>
      <c r="F599" s="27">
        <v>1</v>
      </c>
      <c r="G599" s="27">
        <v>2</v>
      </c>
      <c r="H599" s="27">
        <v>2005</v>
      </c>
      <c r="I599" s="27" t="s">
        <v>112</v>
      </c>
      <c r="J599" s="25">
        <v>170</v>
      </c>
      <c r="K599" s="25">
        <f>Sales!$B599-Sales!$J599</f>
        <v>-70</v>
      </c>
      <c r="L599" s="28">
        <f>(Sales!$J599-Sales!$B599)/Sales!$J599</f>
        <v>0.41176470588235292</v>
      </c>
      <c r="M599" s="28" t="str">
        <f t="shared" si="9"/>
        <v>+20%</v>
      </c>
      <c r="N599" s="27" t="s">
        <v>45</v>
      </c>
      <c r="O599" s="27" t="s">
        <v>46</v>
      </c>
      <c r="P599" s="27" t="s">
        <v>17</v>
      </c>
      <c r="Q599" s="27" t="s">
        <v>19</v>
      </c>
    </row>
    <row r="600" spans="1:17" x14ac:dyDescent="0.3">
      <c r="A600" s="22">
        <v>76</v>
      </c>
      <c r="B600" s="19">
        <v>100</v>
      </c>
      <c r="C600" s="20">
        <f>Sales!$B600*Sales!$A600</f>
        <v>7600</v>
      </c>
      <c r="D600" s="21">
        <v>38464</v>
      </c>
      <c r="E600" s="22" t="s">
        <v>87</v>
      </c>
      <c r="F600" s="22">
        <v>2</v>
      </c>
      <c r="G600" s="22">
        <v>4</v>
      </c>
      <c r="H600" s="22">
        <v>2005</v>
      </c>
      <c r="I600" s="22" t="s">
        <v>112</v>
      </c>
      <c r="J600" s="20">
        <v>170</v>
      </c>
      <c r="K600" s="20">
        <f>Sales!$B600-Sales!$J600</f>
        <v>-70</v>
      </c>
      <c r="L600" s="23">
        <f>(Sales!$J600-Sales!$B600)/Sales!$J600</f>
        <v>0.41176470588235292</v>
      </c>
      <c r="M600" s="23" t="str">
        <f t="shared" si="9"/>
        <v>+20%</v>
      </c>
      <c r="N600" s="22" t="s">
        <v>86</v>
      </c>
      <c r="O600" s="22" t="s">
        <v>12</v>
      </c>
      <c r="P600" s="22" t="s">
        <v>13</v>
      </c>
      <c r="Q600" s="22" t="s">
        <v>39</v>
      </c>
    </row>
    <row r="601" spans="1:17" x14ac:dyDescent="0.3">
      <c r="A601" s="27">
        <v>37</v>
      </c>
      <c r="B601" s="24">
        <v>100</v>
      </c>
      <c r="C601" s="25">
        <f>Sales!$B601*Sales!$A601</f>
        <v>3700</v>
      </c>
      <c r="D601" s="26">
        <v>38501</v>
      </c>
      <c r="E601" s="27" t="s">
        <v>69</v>
      </c>
      <c r="F601" s="27">
        <v>2</v>
      </c>
      <c r="G601" s="27">
        <v>5</v>
      </c>
      <c r="H601" s="27">
        <v>2005</v>
      </c>
      <c r="I601" s="27" t="s">
        <v>112</v>
      </c>
      <c r="J601" s="25">
        <v>170</v>
      </c>
      <c r="K601" s="25">
        <f>Sales!$B601-Sales!$J601</f>
        <v>-70</v>
      </c>
      <c r="L601" s="28">
        <f>(Sales!$J601-Sales!$B601)/Sales!$J601</f>
        <v>0.41176470588235292</v>
      </c>
      <c r="M601" s="28" t="str">
        <f t="shared" si="9"/>
        <v>+20%</v>
      </c>
      <c r="N601" s="27" t="s">
        <v>40</v>
      </c>
      <c r="O601" s="27" t="s">
        <v>27</v>
      </c>
      <c r="P601" s="27" t="s">
        <v>28</v>
      </c>
      <c r="Q601" s="27" t="s">
        <v>19</v>
      </c>
    </row>
    <row r="602" spans="1:17" x14ac:dyDescent="0.3">
      <c r="A602" s="22">
        <v>38</v>
      </c>
      <c r="B602" s="19">
        <v>82.39</v>
      </c>
      <c r="C602" s="20">
        <f>Sales!$B602*Sales!$A602</f>
        <v>3130.82</v>
      </c>
      <c r="D602" s="21">
        <v>37683</v>
      </c>
      <c r="E602" s="22" t="s">
        <v>9</v>
      </c>
      <c r="F602" s="22">
        <v>1</v>
      </c>
      <c r="G602" s="22">
        <v>3</v>
      </c>
      <c r="H602" s="22">
        <v>2003</v>
      </c>
      <c r="I602" s="22" t="s">
        <v>47</v>
      </c>
      <c r="J602" s="20">
        <v>77</v>
      </c>
      <c r="K602" s="20">
        <f>Sales!$B602-Sales!$J602</f>
        <v>5.3900000000000006</v>
      </c>
      <c r="L602" s="23">
        <f>(Sales!$J602-Sales!$B602)/Sales!$J602</f>
        <v>-7.0000000000000007E-2</v>
      </c>
      <c r="M602" s="23" t="str">
        <f t="shared" si="9"/>
        <v>Below 0%</v>
      </c>
      <c r="N602" s="22" t="s">
        <v>90</v>
      </c>
      <c r="O602" s="22" t="s">
        <v>91</v>
      </c>
      <c r="P602" s="22" t="s">
        <v>28</v>
      </c>
      <c r="Q602" s="22" t="s">
        <v>19</v>
      </c>
    </row>
    <row r="603" spans="1:17" x14ac:dyDescent="0.3">
      <c r="A603" s="27">
        <v>43</v>
      </c>
      <c r="B603" s="24">
        <v>72.38</v>
      </c>
      <c r="C603" s="25">
        <f>Sales!$B603*Sales!$A603</f>
        <v>3112.3399999999997</v>
      </c>
      <c r="D603" s="26">
        <v>37749</v>
      </c>
      <c r="E603" s="27" t="s">
        <v>9</v>
      </c>
      <c r="F603" s="27">
        <v>2</v>
      </c>
      <c r="G603" s="27">
        <v>5</v>
      </c>
      <c r="H603" s="27">
        <v>2003</v>
      </c>
      <c r="I603" s="27" t="s">
        <v>47</v>
      </c>
      <c r="J603" s="25">
        <v>77</v>
      </c>
      <c r="K603" s="25">
        <f>Sales!$B603-Sales!$J603</f>
        <v>-4.6200000000000045</v>
      </c>
      <c r="L603" s="28">
        <f>(Sales!$J603-Sales!$B603)/Sales!$J603</f>
        <v>6.000000000000006E-2</v>
      </c>
      <c r="M603" s="28" t="str">
        <f t="shared" si="9"/>
        <v>5%-10%</v>
      </c>
      <c r="N603" s="27" t="s">
        <v>92</v>
      </c>
      <c r="O603" s="27" t="s">
        <v>16</v>
      </c>
      <c r="P603" s="27" t="s">
        <v>17</v>
      </c>
      <c r="Q603" s="27" t="s">
        <v>19</v>
      </c>
    </row>
    <row r="604" spans="1:17" x14ac:dyDescent="0.3">
      <c r="A604" s="22">
        <v>48</v>
      </c>
      <c r="B604" s="19">
        <v>79.31</v>
      </c>
      <c r="C604" s="20">
        <f>Sales!$B604*Sales!$A604</f>
        <v>3806.88</v>
      </c>
      <c r="D604" s="21">
        <v>37804</v>
      </c>
      <c r="E604" s="22" t="s">
        <v>9</v>
      </c>
      <c r="F604" s="22">
        <v>3</v>
      </c>
      <c r="G604" s="22">
        <v>7</v>
      </c>
      <c r="H604" s="22">
        <v>2003</v>
      </c>
      <c r="I604" s="22" t="s">
        <v>47</v>
      </c>
      <c r="J604" s="20">
        <v>77</v>
      </c>
      <c r="K604" s="20">
        <f>Sales!$B604-Sales!$J604</f>
        <v>2.3100000000000023</v>
      </c>
      <c r="L604" s="23">
        <f>(Sales!$J604-Sales!$B604)/Sales!$J604</f>
        <v>-3.000000000000003E-2</v>
      </c>
      <c r="M604" s="23" t="str">
        <f t="shared" si="9"/>
        <v>Below 0%</v>
      </c>
      <c r="N604" s="22" t="s">
        <v>64</v>
      </c>
      <c r="O604" s="22" t="s">
        <v>12</v>
      </c>
      <c r="P604" s="22" t="s">
        <v>13</v>
      </c>
      <c r="Q604" s="22" t="s">
        <v>19</v>
      </c>
    </row>
    <row r="605" spans="1:17" x14ac:dyDescent="0.3">
      <c r="A605" s="27">
        <v>26</v>
      </c>
      <c r="B605" s="24">
        <v>82.39</v>
      </c>
      <c r="C605" s="25">
        <f>Sales!$B605*Sales!$A605</f>
        <v>2142.14</v>
      </c>
      <c r="D605" s="26">
        <v>37869</v>
      </c>
      <c r="E605" s="27" t="s">
        <v>9</v>
      </c>
      <c r="F605" s="27">
        <v>3</v>
      </c>
      <c r="G605" s="27">
        <v>9</v>
      </c>
      <c r="H605" s="27">
        <v>2003</v>
      </c>
      <c r="I605" s="27" t="s">
        <v>47</v>
      </c>
      <c r="J605" s="25">
        <v>77</v>
      </c>
      <c r="K605" s="25">
        <f>Sales!$B605-Sales!$J605</f>
        <v>5.3900000000000006</v>
      </c>
      <c r="L605" s="28">
        <f>(Sales!$J605-Sales!$B605)/Sales!$J605</f>
        <v>-7.0000000000000007E-2</v>
      </c>
      <c r="M605" s="28" t="str">
        <f t="shared" si="9"/>
        <v>Below 0%</v>
      </c>
      <c r="N605" s="27" t="s">
        <v>66</v>
      </c>
      <c r="O605" s="27" t="s">
        <v>12</v>
      </c>
      <c r="P605" s="27" t="s">
        <v>13</v>
      </c>
      <c r="Q605" s="27" t="s">
        <v>14</v>
      </c>
    </row>
    <row r="606" spans="1:17" x14ac:dyDescent="0.3">
      <c r="A606" s="22">
        <v>38</v>
      </c>
      <c r="B606" s="19">
        <v>88.55</v>
      </c>
      <c r="C606" s="20">
        <f>Sales!$B606*Sales!$A606</f>
        <v>3364.9</v>
      </c>
      <c r="D606" s="21">
        <v>37905</v>
      </c>
      <c r="E606" s="22" t="s">
        <v>9</v>
      </c>
      <c r="F606" s="22">
        <v>4</v>
      </c>
      <c r="G606" s="22">
        <v>10</v>
      </c>
      <c r="H606" s="22">
        <v>2003</v>
      </c>
      <c r="I606" s="22" t="s">
        <v>47</v>
      </c>
      <c r="J606" s="20">
        <v>77</v>
      </c>
      <c r="K606" s="20">
        <f>Sales!$B606-Sales!$J606</f>
        <v>11.549999999999997</v>
      </c>
      <c r="L606" s="23">
        <f>(Sales!$J606-Sales!$B606)/Sales!$J606</f>
        <v>-0.14999999999999997</v>
      </c>
      <c r="M606" s="23" t="str">
        <f t="shared" si="9"/>
        <v>Below 0%</v>
      </c>
      <c r="N606" s="22" t="s">
        <v>78</v>
      </c>
      <c r="O606" s="22" t="s">
        <v>12</v>
      </c>
      <c r="P606" s="22" t="s">
        <v>13</v>
      </c>
      <c r="Q606" s="22" t="s">
        <v>19</v>
      </c>
    </row>
    <row r="607" spans="1:17" x14ac:dyDescent="0.3">
      <c r="A607" s="27">
        <v>20</v>
      </c>
      <c r="B607" s="24">
        <v>63.14</v>
      </c>
      <c r="C607" s="25">
        <f>Sales!$B607*Sales!$A607</f>
        <v>1262.8</v>
      </c>
      <c r="D607" s="26">
        <v>37929</v>
      </c>
      <c r="E607" s="27" t="s">
        <v>9</v>
      </c>
      <c r="F607" s="27">
        <v>4</v>
      </c>
      <c r="G607" s="27">
        <v>11</v>
      </c>
      <c r="H607" s="27">
        <v>2003</v>
      </c>
      <c r="I607" s="27" t="s">
        <v>47</v>
      </c>
      <c r="J607" s="25">
        <v>77</v>
      </c>
      <c r="K607" s="25">
        <f>Sales!$B607-Sales!$J607</f>
        <v>-13.86</v>
      </c>
      <c r="L607" s="28">
        <f>(Sales!$J607-Sales!$B607)/Sales!$J607</f>
        <v>0.18</v>
      </c>
      <c r="M607" s="28" t="str">
        <f t="shared" si="9"/>
        <v>15%-20%</v>
      </c>
      <c r="N607" s="27" t="s">
        <v>89</v>
      </c>
      <c r="O607" s="27" t="s">
        <v>38</v>
      </c>
      <c r="P607" s="27" t="s">
        <v>17</v>
      </c>
      <c r="Q607" s="27" t="s">
        <v>14</v>
      </c>
    </row>
    <row r="608" spans="1:17" x14ac:dyDescent="0.3">
      <c r="A608" s="22">
        <v>22</v>
      </c>
      <c r="B608" s="19">
        <v>73.92</v>
      </c>
      <c r="C608" s="20">
        <f>Sales!$B608*Sales!$A608</f>
        <v>1626.24</v>
      </c>
      <c r="D608" s="21">
        <v>37937</v>
      </c>
      <c r="E608" s="22" t="s">
        <v>9</v>
      </c>
      <c r="F608" s="22">
        <v>4</v>
      </c>
      <c r="G608" s="22">
        <v>11</v>
      </c>
      <c r="H608" s="22">
        <v>2003</v>
      </c>
      <c r="I608" s="22" t="s">
        <v>47</v>
      </c>
      <c r="J608" s="20">
        <v>77</v>
      </c>
      <c r="K608" s="20">
        <f>Sales!$B608-Sales!$J608</f>
        <v>-3.0799999999999983</v>
      </c>
      <c r="L608" s="23">
        <f>(Sales!$J608-Sales!$B608)/Sales!$J608</f>
        <v>3.999999999999998E-2</v>
      </c>
      <c r="M608" s="23" t="str">
        <f t="shared" si="9"/>
        <v>0%-5%</v>
      </c>
      <c r="N608" s="22" t="s">
        <v>24</v>
      </c>
      <c r="O608" s="22" t="s">
        <v>25</v>
      </c>
      <c r="P608" s="22" t="s">
        <v>17</v>
      </c>
      <c r="Q608" s="22" t="s">
        <v>14</v>
      </c>
    </row>
    <row r="609" spans="1:17" x14ac:dyDescent="0.3">
      <c r="A609" s="27">
        <v>45</v>
      </c>
      <c r="B609" s="24">
        <v>90.86</v>
      </c>
      <c r="C609" s="25">
        <f>Sales!$B609*Sales!$A609</f>
        <v>4088.7</v>
      </c>
      <c r="D609" s="26">
        <v>37945</v>
      </c>
      <c r="E609" s="27" t="s">
        <v>9</v>
      </c>
      <c r="F609" s="27">
        <v>4</v>
      </c>
      <c r="G609" s="27">
        <v>11</v>
      </c>
      <c r="H609" s="27">
        <v>2003</v>
      </c>
      <c r="I609" s="27" t="s">
        <v>47</v>
      </c>
      <c r="J609" s="25">
        <v>77</v>
      </c>
      <c r="K609" s="25">
        <f>Sales!$B609-Sales!$J609</f>
        <v>13.86</v>
      </c>
      <c r="L609" s="28">
        <f>(Sales!$J609-Sales!$B609)/Sales!$J609</f>
        <v>-0.18</v>
      </c>
      <c r="M609" s="28" t="str">
        <f t="shared" si="9"/>
        <v>Below 0%</v>
      </c>
      <c r="N609" s="27" t="s">
        <v>65</v>
      </c>
      <c r="O609" s="27" t="s">
        <v>12</v>
      </c>
      <c r="P609" s="27" t="s">
        <v>13</v>
      </c>
      <c r="Q609" s="27" t="s">
        <v>19</v>
      </c>
    </row>
    <row r="610" spans="1:17" x14ac:dyDescent="0.3">
      <c r="A610" s="22">
        <v>45</v>
      </c>
      <c r="B610" s="19">
        <v>85.47</v>
      </c>
      <c r="C610" s="20">
        <f>Sales!$B610*Sales!$A610</f>
        <v>3846.15</v>
      </c>
      <c r="D610" s="21">
        <v>37957</v>
      </c>
      <c r="E610" s="22" t="s">
        <v>9</v>
      </c>
      <c r="F610" s="22">
        <v>4</v>
      </c>
      <c r="G610" s="22">
        <v>12</v>
      </c>
      <c r="H610" s="22">
        <v>2003</v>
      </c>
      <c r="I610" s="22" t="s">
        <v>47</v>
      </c>
      <c r="J610" s="20">
        <v>77</v>
      </c>
      <c r="K610" s="20">
        <f>Sales!$B610-Sales!$J610</f>
        <v>8.4699999999999989</v>
      </c>
      <c r="L610" s="23">
        <f>(Sales!$J610-Sales!$B610)/Sales!$J610</f>
        <v>-0.10999999999999999</v>
      </c>
      <c r="M610" s="23" t="str">
        <f t="shared" si="9"/>
        <v>Below 0%</v>
      </c>
      <c r="N610" s="22" t="s">
        <v>45</v>
      </c>
      <c r="O610" s="22" t="s">
        <v>46</v>
      </c>
      <c r="P610" s="22" t="s">
        <v>17</v>
      </c>
      <c r="Q610" s="22" t="s">
        <v>19</v>
      </c>
    </row>
    <row r="611" spans="1:17" x14ac:dyDescent="0.3">
      <c r="A611" s="27">
        <v>20</v>
      </c>
      <c r="B611" s="24">
        <v>66.989999999999995</v>
      </c>
      <c r="C611" s="25">
        <f>Sales!$B611*Sales!$A611</f>
        <v>1339.8</v>
      </c>
      <c r="D611" s="26">
        <v>38002</v>
      </c>
      <c r="E611" s="27" t="s">
        <v>9</v>
      </c>
      <c r="F611" s="27">
        <v>1</v>
      </c>
      <c r="G611" s="27">
        <v>1</v>
      </c>
      <c r="H611" s="27">
        <v>2004</v>
      </c>
      <c r="I611" s="27" t="s">
        <v>47</v>
      </c>
      <c r="J611" s="25">
        <v>77</v>
      </c>
      <c r="K611" s="25">
        <f>Sales!$B611-Sales!$J611</f>
        <v>-10.010000000000005</v>
      </c>
      <c r="L611" s="28">
        <f>(Sales!$J611-Sales!$B611)/Sales!$J611</f>
        <v>0.13000000000000006</v>
      </c>
      <c r="M611" s="28" t="str">
        <f t="shared" si="9"/>
        <v>10%-15%</v>
      </c>
      <c r="N611" s="27" t="s">
        <v>45</v>
      </c>
      <c r="O611" s="27" t="s">
        <v>46</v>
      </c>
      <c r="P611" s="27" t="s">
        <v>17</v>
      </c>
      <c r="Q611" s="27" t="s">
        <v>14</v>
      </c>
    </row>
    <row r="612" spans="1:17" x14ac:dyDescent="0.3">
      <c r="A612" s="22">
        <v>47</v>
      </c>
      <c r="B612" s="19">
        <v>64.680000000000007</v>
      </c>
      <c r="C612" s="20">
        <f>Sales!$B612*Sales!$A612</f>
        <v>3039.9600000000005</v>
      </c>
      <c r="D612" s="21">
        <v>38039</v>
      </c>
      <c r="E612" s="22" t="s">
        <v>9</v>
      </c>
      <c r="F612" s="22">
        <v>1</v>
      </c>
      <c r="G612" s="22">
        <v>2</v>
      </c>
      <c r="H612" s="22">
        <v>2004</v>
      </c>
      <c r="I612" s="22" t="s">
        <v>47</v>
      </c>
      <c r="J612" s="20">
        <v>77</v>
      </c>
      <c r="K612" s="20">
        <f>Sales!$B612-Sales!$J612</f>
        <v>-12.319999999999993</v>
      </c>
      <c r="L612" s="23">
        <f>(Sales!$J612-Sales!$B612)/Sales!$J612</f>
        <v>0.15999999999999992</v>
      </c>
      <c r="M612" s="23" t="str">
        <f t="shared" si="9"/>
        <v>15%-20%</v>
      </c>
      <c r="N612" s="22" t="s">
        <v>95</v>
      </c>
      <c r="O612" s="22" t="s">
        <v>96</v>
      </c>
      <c r="P612" s="22" t="s">
        <v>17</v>
      </c>
      <c r="Q612" s="22" t="s">
        <v>19</v>
      </c>
    </row>
    <row r="613" spans="1:17" x14ac:dyDescent="0.3">
      <c r="A613" s="27">
        <v>46</v>
      </c>
      <c r="B613" s="24">
        <v>73.92</v>
      </c>
      <c r="C613" s="25">
        <f>Sales!$B613*Sales!$A613</f>
        <v>3400.32</v>
      </c>
      <c r="D613" s="26">
        <v>38089</v>
      </c>
      <c r="E613" s="27" t="s">
        <v>9</v>
      </c>
      <c r="F613" s="27">
        <v>2</v>
      </c>
      <c r="G613" s="27">
        <v>4</v>
      </c>
      <c r="H613" s="27">
        <v>2004</v>
      </c>
      <c r="I613" s="27" t="s">
        <v>47</v>
      </c>
      <c r="J613" s="25">
        <v>77</v>
      </c>
      <c r="K613" s="25">
        <f>Sales!$B613-Sales!$J613</f>
        <v>-3.0799999999999983</v>
      </c>
      <c r="L613" s="28">
        <f>(Sales!$J613-Sales!$B613)/Sales!$J613</f>
        <v>3.999999999999998E-2</v>
      </c>
      <c r="M613" s="28" t="str">
        <f t="shared" si="9"/>
        <v>0%-5%</v>
      </c>
      <c r="N613" s="27" t="s">
        <v>85</v>
      </c>
      <c r="O613" s="27" t="s">
        <v>34</v>
      </c>
      <c r="P613" s="27" t="s">
        <v>17</v>
      </c>
      <c r="Q613" s="27" t="s">
        <v>19</v>
      </c>
    </row>
    <row r="614" spans="1:17" x14ac:dyDescent="0.3">
      <c r="A614" s="22">
        <v>23</v>
      </c>
      <c r="B614" s="19">
        <v>83.93</v>
      </c>
      <c r="C614" s="20">
        <f>Sales!$B614*Sales!$A614</f>
        <v>1930.39</v>
      </c>
      <c r="D614" s="21">
        <v>38139</v>
      </c>
      <c r="E614" s="22" t="s">
        <v>75</v>
      </c>
      <c r="F614" s="22">
        <v>2</v>
      </c>
      <c r="G614" s="22">
        <v>6</v>
      </c>
      <c r="H614" s="22">
        <v>2004</v>
      </c>
      <c r="I614" s="22" t="s">
        <v>47</v>
      </c>
      <c r="J614" s="20">
        <v>77</v>
      </c>
      <c r="K614" s="20">
        <f>Sales!$B614-Sales!$J614</f>
        <v>6.9300000000000068</v>
      </c>
      <c r="L614" s="23">
        <f>(Sales!$J614-Sales!$B614)/Sales!$J614</f>
        <v>-9.0000000000000094E-2</v>
      </c>
      <c r="M614" s="23" t="str">
        <f t="shared" si="9"/>
        <v>Below 0%</v>
      </c>
      <c r="N614" s="22" t="s">
        <v>42</v>
      </c>
      <c r="O614" s="22" t="s">
        <v>43</v>
      </c>
      <c r="P614" s="22" t="s">
        <v>17</v>
      </c>
      <c r="Q614" s="22" t="s">
        <v>14</v>
      </c>
    </row>
    <row r="615" spans="1:17" x14ac:dyDescent="0.3">
      <c r="A615" s="27">
        <v>33</v>
      </c>
      <c r="B615" s="24">
        <v>74.69</v>
      </c>
      <c r="C615" s="25">
        <f>Sales!$B615*Sales!$A615</f>
        <v>2464.77</v>
      </c>
      <c r="D615" s="26">
        <v>38174</v>
      </c>
      <c r="E615" s="27" t="s">
        <v>9</v>
      </c>
      <c r="F615" s="27">
        <v>3</v>
      </c>
      <c r="G615" s="27">
        <v>7</v>
      </c>
      <c r="H615" s="27">
        <v>2004</v>
      </c>
      <c r="I615" s="27" t="s">
        <v>47</v>
      </c>
      <c r="J615" s="25">
        <v>77</v>
      </c>
      <c r="K615" s="25">
        <f>Sales!$B615-Sales!$J615</f>
        <v>-2.3100000000000023</v>
      </c>
      <c r="L615" s="28">
        <f>(Sales!$J615-Sales!$B615)/Sales!$J615</f>
        <v>3.000000000000003E-2</v>
      </c>
      <c r="M615" s="28" t="str">
        <f t="shared" si="9"/>
        <v>0%-5%</v>
      </c>
      <c r="N615" s="27" t="s">
        <v>97</v>
      </c>
      <c r="O615" s="27" t="s">
        <v>61</v>
      </c>
      <c r="P615" s="27" t="s">
        <v>17</v>
      </c>
      <c r="Q615" s="27" t="s">
        <v>14</v>
      </c>
    </row>
    <row r="616" spans="1:17" x14ac:dyDescent="0.3">
      <c r="A616" s="22">
        <v>29</v>
      </c>
      <c r="B616" s="19">
        <v>90.86</v>
      </c>
      <c r="C616" s="20">
        <f>Sales!$B616*Sales!$A616</f>
        <v>2634.94</v>
      </c>
      <c r="D616" s="21">
        <v>38205</v>
      </c>
      <c r="E616" s="22" t="s">
        <v>9</v>
      </c>
      <c r="F616" s="22">
        <v>3</v>
      </c>
      <c r="G616" s="22">
        <v>8</v>
      </c>
      <c r="H616" s="22">
        <v>2004</v>
      </c>
      <c r="I616" s="22" t="s">
        <v>47</v>
      </c>
      <c r="J616" s="20">
        <v>77</v>
      </c>
      <c r="K616" s="20">
        <f>Sales!$B616-Sales!$J616</f>
        <v>13.86</v>
      </c>
      <c r="L616" s="23">
        <f>(Sales!$J616-Sales!$B616)/Sales!$J616</f>
        <v>-0.18</v>
      </c>
      <c r="M616" s="23" t="str">
        <f t="shared" si="9"/>
        <v>Below 0%</v>
      </c>
      <c r="N616" s="22" t="s">
        <v>109</v>
      </c>
      <c r="O616" s="22" t="s">
        <v>12</v>
      </c>
      <c r="P616" s="22" t="s">
        <v>13</v>
      </c>
      <c r="Q616" s="22" t="s">
        <v>14</v>
      </c>
    </row>
    <row r="617" spans="1:17" x14ac:dyDescent="0.3">
      <c r="A617" s="27">
        <v>44</v>
      </c>
      <c r="B617" s="24">
        <v>82.39</v>
      </c>
      <c r="C617" s="25">
        <f>Sales!$B617*Sales!$A617</f>
        <v>3625.16</v>
      </c>
      <c r="D617" s="26">
        <v>38229</v>
      </c>
      <c r="E617" s="27" t="s">
        <v>9</v>
      </c>
      <c r="F617" s="27">
        <v>3</v>
      </c>
      <c r="G617" s="27">
        <v>8</v>
      </c>
      <c r="H617" s="27">
        <v>2004</v>
      </c>
      <c r="I617" s="27" t="s">
        <v>47</v>
      </c>
      <c r="J617" s="25">
        <v>77</v>
      </c>
      <c r="K617" s="25">
        <f>Sales!$B617-Sales!$J617</f>
        <v>5.3900000000000006</v>
      </c>
      <c r="L617" s="28">
        <f>(Sales!$J617-Sales!$B617)/Sales!$J617</f>
        <v>-7.0000000000000007E-2</v>
      </c>
      <c r="M617" s="28" t="str">
        <f t="shared" si="9"/>
        <v>Below 0%</v>
      </c>
      <c r="N617" s="27" t="s">
        <v>95</v>
      </c>
      <c r="O617" s="27" t="s">
        <v>96</v>
      </c>
      <c r="P617" s="27" t="s">
        <v>17</v>
      </c>
      <c r="Q617" s="27" t="s">
        <v>19</v>
      </c>
    </row>
    <row r="618" spans="1:17" x14ac:dyDescent="0.3">
      <c r="A618" s="22">
        <v>41</v>
      </c>
      <c r="B618" s="19">
        <v>92.4</v>
      </c>
      <c r="C618" s="20">
        <f>Sales!$B618*Sales!$A618</f>
        <v>3788.4</v>
      </c>
      <c r="D618" s="21">
        <v>37898</v>
      </c>
      <c r="E618" s="22" t="s">
        <v>9</v>
      </c>
      <c r="F618" s="22">
        <v>4</v>
      </c>
      <c r="G618" s="22">
        <v>10</v>
      </c>
      <c r="H618" s="22">
        <v>2003</v>
      </c>
      <c r="I618" s="22" t="s">
        <v>47</v>
      </c>
      <c r="J618" s="20">
        <v>77</v>
      </c>
      <c r="K618" s="20">
        <f>Sales!$B618-Sales!$J618</f>
        <v>15.400000000000006</v>
      </c>
      <c r="L618" s="23">
        <f>(Sales!$J618-Sales!$B618)/Sales!$J618</f>
        <v>-0.20000000000000007</v>
      </c>
      <c r="M618" s="23" t="str">
        <f t="shared" si="9"/>
        <v>Below 0%</v>
      </c>
      <c r="N618" s="22" t="s">
        <v>98</v>
      </c>
      <c r="O618" s="22" t="s">
        <v>94</v>
      </c>
      <c r="P618" s="22" t="s">
        <v>17</v>
      </c>
      <c r="Q618" s="22" t="s">
        <v>19</v>
      </c>
    </row>
    <row r="619" spans="1:17" x14ac:dyDescent="0.3">
      <c r="A619" s="27">
        <v>20</v>
      </c>
      <c r="B619" s="24">
        <v>91.63</v>
      </c>
      <c r="C619" s="25">
        <f>Sales!$B619*Sales!$A619</f>
        <v>1832.6</v>
      </c>
      <c r="D619" s="26">
        <v>38276</v>
      </c>
      <c r="E619" s="27" t="s">
        <v>9</v>
      </c>
      <c r="F619" s="27">
        <v>4</v>
      </c>
      <c r="G619" s="27">
        <v>10</v>
      </c>
      <c r="H619" s="27">
        <v>2004</v>
      </c>
      <c r="I619" s="27" t="s">
        <v>47</v>
      </c>
      <c r="J619" s="25">
        <v>77</v>
      </c>
      <c r="K619" s="25">
        <f>Sales!$B619-Sales!$J619</f>
        <v>14.629999999999995</v>
      </c>
      <c r="L619" s="28">
        <f>(Sales!$J619-Sales!$B619)/Sales!$J619</f>
        <v>-0.18999999999999995</v>
      </c>
      <c r="M619" s="28" t="str">
        <f t="shared" si="9"/>
        <v>Below 0%</v>
      </c>
      <c r="N619" s="27" t="s">
        <v>93</v>
      </c>
      <c r="O619" s="27" t="s">
        <v>94</v>
      </c>
      <c r="P619" s="27" t="s">
        <v>17</v>
      </c>
      <c r="Q619" s="27" t="s">
        <v>14</v>
      </c>
    </row>
    <row r="620" spans="1:17" x14ac:dyDescent="0.3">
      <c r="A620" s="22">
        <v>37</v>
      </c>
      <c r="B620" s="19">
        <v>78.540000000000006</v>
      </c>
      <c r="C620" s="20">
        <f>Sales!$B620*Sales!$A620</f>
        <v>2905.98</v>
      </c>
      <c r="D620" s="21">
        <v>38295</v>
      </c>
      <c r="E620" s="22" t="s">
        <v>9</v>
      </c>
      <c r="F620" s="22">
        <v>4</v>
      </c>
      <c r="G620" s="22">
        <v>11</v>
      </c>
      <c r="H620" s="22">
        <v>2004</v>
      </c>
      <c r="I620" s="22" t="s">
        <v>47</v>
      </c>
      <c r="J620" s="20">
        <v>77</v>
      </c>
      <c r="K620" s="20">
        <f>Sales!$B620-Sales!$J620</f>
        <v>1.5400000000000063</v>
      </c>
      <c r="L620" s="23">
        <f>(Sales!$J620-Sales!$B620)/Sales!$J620</f>
        <v>-2.000000000000008E-2</v>
      </c>
      <c r="M620" s="23" t="str">
        <f t="shared" si="9"/>
        <v>Below 0%</v>
      </c>
      <c r="N620" s="22" t="s">
        <v>41</v>
      </c>
      <c r="O620" s="22" t="s">
        <v>12</v>
      </c>
      <c r="P620" s="22" t="s">
        <v>13</v>
      </c>
      <c r="Q620" s="22" t="s">
        <v>14</v>
      </c>
    </row>
    <row r="621" spans="1:17" x14ac:dyDescent="0.3">
      <c r="A621" s="27">
        <v>29</v>
      </c>
      <c r="B621" s="24">
        <v>100</v>
      </c>
      <c r="C621" s="25">
        <f>Sales!$B621*Sales!$A621</f>
        <v>2900</v>
      </c>
      <c r="D621" s="26">
        <v>38306</v>
      </c>
      <c r="E621" s="27" t="s">
        <v>9</v>
      </c>
      <c r="F621" s="27">
        <v>4</v>
      </c>
      <c r="G621" s="27">
        <v>11</v>
      </c>
      <c r="H621" s="27">
        <v>2004</v>
      </c>
      <c r="I621" s="27" t="s">
        <v>47</v>
      </c>
      <c r="J621" s="25">
        <v>77</v>
      </c>
      <c r="K621" s="25">
        <f>Sales!$B621-Sales!$J621</f>
        <v>23</v>
      </c>
      <c r="L621" s="28">
        <f>(Sales!$J621-Sales!$B621)/Sales!$J621</f>
        <v>-0.29870129870129869</v>
      </c>
      <c r="M621" s="28" t="str">
        <f t="shared" si="9"/>
        <v>Below 0%</v>
      </c>
      <c r="N621" s="27" t="s">
        <v>11</v>
      </c>
      <c r="O621" s="27" t="s">
        <v>12</v>
      </c>
      <c r="P621" s="27" t="s">
        <v>13</v>
      </c>
      <c r="Q621" s="27" t="s">
        <v>14</v>
      </c>
    </row>
    <row r="622" spans="1:17" x14ac:dyDescent="0.3">
      <c r="A622" s="22">
        <v>55</v>
      </c>
      <c r="B622" s="19">
        <v>65.45</v>
      </c>
      <c r="C622" s="20">
        <f>Sales!$B622*Sales!$A622</f>
        <v>3599.75</v>
      </c>
      <c r="D622" s="21">
        <v>38315</v>
      </c>
      <c r="E622" s="22" t="s">
        <v>9</v>
      </c>
      <c r="F622" s="22">
        <v>4</v>
      </c>
      <c r="G622" s="22">
        <v>11</v>
      </c>
      <c r="H622" s="22">
        <v>2004</v>
      </c>
      <c r="I622" s="22" t="s">
        <v>47</v>
      </c>
      <c r="J622" s="20">
        <v>77</v>
      </c>
      <c r="K622" s="20">
        <f>Sales!$B622-Sales!$J622</f>
        <v>-11.549999999999997</v>
      </c>
      <c r="L622" s="23">
        <f>(Sales!$J622-Sales!$B622)/Sales!$J622</f>
        <v>0.14999999999999997</v>
      </c>
      <c r="M622" s="23" t="str">
        <f t="shared" si="9"/>
        <v>10%-15%</v>
      </c>
      <c r="N622" s="22" t="s">
        <v>26</v>
      </c>
      <c r="O622" s="22" t="s">
        <v>27</v>
      </c>
      <c r="P622" s="22" t="s">
        <v>28</v>
      </c>
      <c r="Q622" s="22" t="s">
        <v>19</v>
      </c>
    </row>
    <row r="623" spans="1:17" x14ac:dyDescent="0.3">
      <c r="A623" s="27">
        <v>22</v>
      </c>
      <c r="B623" s="24">
        <v>100</v>
      </c>
      <c r="C623" s="25">
        <f>Sales!$B623*Sales!$A623</f>
        <v>2200</v>
      </c>
      <c r="D623" s="26">
        <v>38358</v>
      </c>
      <c r="E623" s="27" t="s">
        <v>9</v>
      </c>
      <c r="F623" s="27">
        <v>1</v>
      </c>
      <c r="G623" s="27">
        <v>1</v>
      </c>
      <c r="H623" s="27">
        <v>2005</v>
      </c>
      <c r="I623" s="27" t="s">
        <v>47</v>
      </c>
      <c r="J623" s="25">
        <v>77</v>
      </c>
      <c r="K623" s="25">
        <f>Sales!$B623-Sales!$J623</f>
        <v>23</v>
      </c>
      <c r="L623" s="28">
        <f>(Sales!$J623-Sales!$B623)/Sales!$J623</f>
        <v>-0.29870129870129869</v>
      </c>
      <c r="M623" s="28" t="str">
        <f t="shared" si="9"/>
        <v>Below 0%</v>
      </c>
      <c r="N623" s="27" t="s">
        <v>99</v>
      </c>
      <c r="O623" s="27" t="s">
        <v>34</v>
      </c>
      <c r="P623" s="27" t="s">
        <v>17</v>
      </c>
      <c r="Q623" s="27" t="s">
        <v>19</v>
      </c>
    </row>
    <row r="624" spans="1:17" x14ac:dyDescent="0.3">
      <c r="A624" s="22">
        <v>31</v>
      </c>
      <c r="B624" s="19">
        <v>67.760000000000005</v>
      </c>
      <c r="C624" s="20">
        <f>Sales!$B624*Sales!$A624</f>
        <v>2100.56</v>
      </c>
      <c r="D624" s="21">
        <v>38392</v>
      </c>
      <c r="E624" s="22" t="s">
        <v>9</v>
      </c>
      <c r="F624" s="22">
        <v>1</v>
      </c>
      <c r="G624" s="22">
        <v>2</v>
      </c>
      <c r="H624" s="22">
        <v>2005</v>
      </c>
      <c r="I624" s="22" t="s">
        <v>47</v>
      </c>
      <c r="J624" s="20">
        <v>77</v>
      </c>
      <c r="K624" s="20">
        <f>Sales!$B624-Sales!$J624</f>
        <v>-9.2399999999999949</v>
      </c>
      <c r="L624" s="23">
        <f>(Sales!$J624-Sales!$B624)/Sales!$J624</f>
        <v>0.11999999999999994</v>
      </c>
      <c r="M624" s="23" t="str">
        <f t="shared" si="9"/>
        <v>10%-15%</v>
      </c>
      <c r="N624" s="22" t="s">
        <v>33</v>
      </c>
      <c r="O624" s="22" t="s">
        <v>34</v>
      </c>
      <c r="P624" s="22" t="s">
        <v>17</v>
      </c>
      <c r="Q624" s="22" t="s">
        <v>14</v>
      </c>
    </row>
    <row r="625" spans="1:17" x14ac:dyDescent="0.3">
      <c r="A625" s="27">
        <v>49</v>
      </c>
      <c r="B625" s="24">
        <v>79.22</v>
      </c>
      <c r="C625" s="25">
        <f>Sales!$B625*Sales!$A625</f>
        <v>3881.7799999999997</v>
      </c>
      <c r="D625" s="26">
        <v>38414</v>
      </c>
      <c r="E625" s="27" t="s">
        <v>9</v>
      </c>
      <c r="F625" s="27">
        <v>1</v>
      </c>
      <c r="G625" s="27">
        <v>3</v>
      </c>
      <c r="H625" s="27">
        <v>2005</v>
      </c>
      <c r="I625" s="27" t="s">
        <v>47</v>
      </c>
      <c r="J625" s="25">
        <v>77</v>
      </c>
      <c r="K625" s="25">
        <f>Sales!$B625-Sales!$J625</f>
        <v>2.2199999999999989</v>
      </c>
      <c r="L625" s="28">
        <f>(Sales!$J625-Sales!$B625)/Sales!$J625</f>
        <v>-2.8831168831168815E-2</v>
      </c>
      <c r="M625" s="28" t="str">
        <f t="shared" si="9"/>
        <v>Below 0%</v>
      </c>
      <c r="N625" s="27" t="s">
        <v>62</v>
      </c>
      <c r="O625" s="27" t="s">
        <v>49</v>
      </c>
      <c r="P625" s="27" t="s">
        <v>17</v>
      </c>
      <c r="Q625" s="27" t="s">
        <v>19</v>
      </c>
    </row>
    <row r="626" spans="1:17" x14ac:dyDescent="0.3">
      <c r="A626" s="22">
        <v>61</v>
      </c>
      <c r="B626" s="19">
        <v>73.92</v>
      </c>
      <c r="C626" s="20">
        <f>Sales!$B626*Sales!$A626</f>
        <v>4509.12</v>
      </c>
      <c r="D626" s="21">
        <v>38456</v>
      </c>
      <c r="E626" s="22" t="s">
        <v>9</v>
      </c>
      <c r="F626" s="22">
        <v>2</v>
      </c>
      <c r="G626" s="22">
        <v>4</v>
      </c>
      <c r="H626" s="22">
        <v>2005</v>
      </c>
      <c r="I626" s="22" t="s">
        <v>47</v>
      </c>
      <c r="J626" s="20">
        <v>77</v>
      </c>
      <c r="K626" s="20">
        <f>Sales!$B626-Sales!$J626</f>
        <v>-3.0799999999999983</v>
      </c>
      <c r="L626" s="23">
        <f>(Sales!$J626-Sales!$B626)/Sales!$J626</f>
        <v>3.999999999999998E-2</v>
      </c>
      <c r="M626" s="23" t="str">
        <f t="shared" si="9"/>
        <v>0%-5%</v>
      </c>
      <c r="N626" s="22" t="s">
        <v>108</v>
      </c>
      <c r="O626" s="22" t="s">
        <v>16</v>
      </c>
      <c r="P626" s="22" t="s">
        <v>17</v>
      </c>
      <c r="Q626" s="22" t="s">
        <v>19</v>
      </c>
    </row>
    <row r="627" spans="1:17" x14ac:dyDescent="0.3">
      <c r="A627" s="27">
        <v>39</v>
      </c>
      <c r="B627" s="24">
        <v>83.93</v>
      </c>
      <c r="C627" s="25">
        <f>Sales!$B627*Sales!$A627</f>
        <v>3273.2700000000004</v>
      </c>
      <c r="D627" s="26">
        <v>38489</v>
      </c>
      <c r="E627" s="27" t="s">
        <v>9</v>
      </c>
      <c r="F627" s="27">
        <v>2</v>
      </c>
      <c r="G627" s="27">
        <v>5</v>
      </c>
      <c r="H627" s="27">
        <v>2005</v>
      </c>
      <c r="I627" s="27" t="s">
        <v>47</v>
      </c>
      <c r="J627" s="25">
        <v>77</v>
      </c>
      <c r="K627" s="25">
        <f>Sales!$B627-Sales!$J627</f>
        <v>6.9300000000000068</v>
      </c>
      <c r="L627" s="28">
        <f>(Sales!$J627-Sales!$B627)/Sales!$J627</f>
        <v>-9.0000000000000094E-2</v>
      </c>
      <c r="M627" s="28" t="str">
        <f t="shared" si="9"/>
        <v>Below 0%</v>
      </c>
      <c r="N627" s="27" t="s">
        <v>37</v>
      </c>
      <c r="O627" s="27" t="s">
        <v>38</v>
      </c>
      <c r="P627" s="27" t="s">
        <v>17</v>
      </c>
      <c r="Q627" s="27" t="s">
        <v>19</v>
      </c>
    </row>
    <row r="628" spans="1:17" x14ac:dyDescent="0.3">
      <c r="A628" s="22">
        <v>38</v>
      </c>
      <c r="B628" s="19">
        <v>100</v>
      </c>
      <c r="C628" s="20">
        <f>Sales!$B628*Sales!$A628</f>
        <v>3800</v>
      </c>
      <c r="D628" s="21">
        <v>37690</v>
      </c>
      <c r="E628" s="22" t="s">
        <v>9</v>
      </c>
      <c r="F628" s="22">
        <v>1</v>
      </c>
      <c r="G628" s="22">
        <v>3</v>
      </c>
      <c r="H628" s="22">
        <v>2003</v>
      </c>
      <c r="I628" s="22" t="s">
        <v>47</v>
      </c>
      <c r="J628" s="20">
        <v>142</v>
      </c>
      <c r="K628" s="20">
        <f>Sales!$B628-Sales!$J628</f>
        <v>-42</v>
      </c>
      <c r="L628" s="23">
        <f>(Sales!$J628-Sales!$B628)/Sales!$J628</f>
        <v>0.29577464788732394</v>
      </c>
      <c r="M628" s="23" t="str">
        <f t="shared" si="9"/>
        <v>+20%</v>
      </c>
      <c r="N628" s="22" t="s">
        <v>53</v>
      </c>
      <c r="O628" s="22" t="s">
        <v>12</v>
      </c>
      <c r="P628" s="22" t="s">
        <v>13</v>
      </c>
      <c r="Q628" s="22" t="s">
        <v>19</v>
      </c>
    </row>
    <row r="629" spans="1:17" x14ac:dyDescent="0.3">
      <c r="A629" s="27">
        <v>31</v>
      </c>
      <c r="B629" s="24">
        <v>100</v>
      </c>
      <c r="C629" s="25">
        <f>Sales!$B629*Sales!$A629</f>
        <v>3100</v>
      </c>
      <c r="D629" s="26">
        <v>37749</v>
      </c>
      <c r="E629" s="27" t="s">
        <v>9</v>
      </c>
      <c r="F629" s="27">
        <v>2</v>
      </c>
      <c r="G629" s="27">
        <v>5</v>
      </c>
      <c r="H629" s="27">
        <v>2003</v>
      </c>
      <c r="I629" s="27" t="s">
        <v>47</v>
      </c>
      <c r="J629" s="25">
        <v>142</v>
      </c>
      <c r="K629" s="25">
        <f>Sales!$B629-Sales!$J629</f>
        <v>-42</v>
      </c>
      <c r="L629" s="28">
        <f>(Sales!$J629-Sales!$B629)/Sales!$J629</f>
        <v>0.29577464788732394</v>
      </c>
      <c r="M629" s="28" t="str">
        <f t="shared" si="9"/>
        <v>+20%</v>
      </c>
      <c r="N629" s="27" t="s">
        <v>92</v>
      </c>
      <c r="O629" s="27" t="s">
        <v>16</v>
      </c>
      <c r="P629" s="27" t="s">
        <v>17</v>
      </c>
      <c r="Q629" s="27" t="s">
        <v>19</v>
      </c>
    </row>
    <row r="630" spans="1:17" x14ac:dyDescent="0.3">
      <c r="A630" s="22">
        <v>36</v>
      </c>
      <c r="B630" s="19">
        <v>100</v>
      </c>
      <c r="C630" s="20">
        <f>Sales!$B630*Sales!$A630</f>
        <v>3600</v>
      </c>
      <c r="D630" s="21">
        <v>37806</v>
      </c>
      <c r="E630" s="22" t="s">
        <v>9</v>
      </c>
      <c r="F630" s="22">
        <v>3</v>
      </c>
      <c r="G630" s="22">
        <v>7</v>
      </c>
      <c r="H630" s="22">
        <v>2003</v>
      </c>
      <c r="I630" s="22" t="s">
        <v>47</v>
      </c>
      <c r="J630" s="20">
        <v>142</v>
      </c>
      <c r="K630" s="20">
        <f>Sales!$B630-Sales!$J630</f>
        <v>-42</v>
      </c>
      <c r="L630" s="23">
        <f>(Sales!$J630-Sales!$B630)/Sales!$J630</f>
        <v>0.29577464788732394</v>
      </c>
      <c r="M630" s="23" t="str">
        <f t="shared" si="9"/>
        <v>+20%</v>
      </c>
      <c r="N630" s="22" t="s">
        <v>76</v>
      </c>
      <c r="O630" s="22" t="s">
        <v>16</v>
      </c>
      <c r="P630" s="22" t="s">
        <v>17</v>
      </c>
      <c r="Q630" s="22" t="s">
        <v>19</v>
      </c>
    </row>
    <row r="631" spans="1:17" x14ac:dyDescent="0.3">
      <c r="A631" s="27">
        <v>25</v>
      </c>
      <c r="B631" s="24">
        <v>100</v>
      </c>
      <c r="C631" s="25">
        <f>Sales!$B631*Sales!$A631</f>
        <v>2500</v>
      </c>
      <c r="D631" s="26">
        <v>37875</v>
      </c>
      <c r="E631" s="27" t="s">
        <v>9</v>
      </c>
      <c r="F631" s="27">
        <v>3</v>
      </c>
      <c r="G631" s="27">
        <v>9</v>
      </c>
      <c r="H631" s="27">
        <v>2003</v>
      </c>
      <c r="I631" s="27" t="s">
        <v>47</v>
      </c>
      <c r="J631" s="25">
        <v>142</v>
      </c>
      <c r="K631" s="25">
        <f>Sales!$B631-Sales!$J631</f>
        <v>-42</v>
      </c>
      <c r="L631" s="28">
        <f>(Sales!$J631-Sales!$B631)/Sales!$J631</f>
        <v>0.29577464788732394</v>
      </c>
      <c r="M631" s="28" t="str">
        <f t="shared" si="9"/>
        <v>+20%</v>
      </c>
      <c r="N631" s="27" t="s">
        <v>67</v>
      </c>
      <c r="O631" s="27" t="s">
        <v>27</v>
      </c>
      <c r="P631" s="27" t="s">
        <v>28</v>
      </c>
      <c r="Q631" s="27" t="s">
        <v>19</v>
      </c>
    </row>
    <row r="632" spans="1:17" x14ac:dyDescent="0.3">
      <c r="A632" s="22">
        <v>48</v>
      </c>
      <c r="B632" s="19">
        <v>100</v>
      </c>
      <c r="C632" s="20">
        <f>Sales!$B632*Sales!$A632</f>
        <v>4800</v>
      </c>
      <c r="D632" s="21">
        <v>37911</v>
      </c>
      <c r="E632" s="22" t="s">
        <v>9</v>
      </c>
      <c r="F632" s="22">
        <v>4</v>
      </c>
      <c r="G632" s="22">
        <v>10</v>
      </c>
      <c r="H632" s="22">
        <v>2003</v>
      </c>
      <c r="I632" s="22" t="s">
        <v>47</v>
      </c>
      <c r="J632" s="20">
        <v>142</v>
      </c>
      <c r="K632" s="20">
        <f>Sales!$B632-Sales!$J632</f>
        <v>-42</v>
      </c>
      <c r="L632" s="23">
        <f>(Sales!$J632-Sales!$B632)/Sales!$J632</f>
        <v>0.29577464788732394</v>
      </c>
      <c r="M632" s="23" t="str">
        <f t="shared" si="9"/>
        <v>+20%</v>
      </c>
      <c r="N632" s="22" t="s">
        <v>103</v>
      </c>
      <c r="O632" s="22" t="s">
        <v>73</v>
      </c>
      <c r="P632" s="22" t="s">
        <v>17</v>
      </c>
      <c r="Q632" s="22" t="s">
        <v>19</v>
      </c>
    </row>
    <row r="633" spans="1:17" x14ac:dyDescent="0.3">
      <c r="A633" s="27">
        <v>35</v>
      </c>
      <c r="B633" s="24">
        <v>100</v>
      </c>
      <c r="C633" s="25">
        <f>Sales!$B633*Sales!$A633</f>
        <v>3500</v>
      </c>
      <c r="D633" s="26">
        <v>37930</v>
      </c>
      <c r="E633" s="27" t="s">
        <v>9</v>
      </c>
      <c r="F633" s="27">
        <v>4</v>
      </c>
      <c r="G633" s="27">
        <v>11</v>
      </c>
      <c r="H633" s="27">
        <v>2003</v>
      </c>
      <c r="I633" s="27" t="s">
        <v>47</v>
      </c>
      <c r="J633" s="25">
        <v>142</v>
      </c>
      <c r="K633" s="25">
        <f>Sales!$B633-Sales!$J633</f>
        <v>-42</v>
      </c>
      <c r="L633" s="28">
        <f>(Sales!$J633-Sales!$B633)/Sales!$J633</f>
        <v>0.29577464788732394</v>
      </c>
      <c r="M633" s="28" t="str">
        <f t="shared" si="9"/>
        <v>+20%</v>
      </c>
      <c r="N633" s="27" t="s">
        <v>68</v>
      </c>
      <c r="O633" s="27" t="s">
        <v>56</v>
      </c>
      <c r="P633" s="27" t="s">
        <v>13</v>
      </c>
      <c r="Q633" s="27" t="s">
        <v>19</v>
      </c>
    </row>
    <row r="634" spans="1:17" x14ac:dyDescent="0.3">
      <c r="A634" s="22">
        <v>21</v>
      </c>
      <c r="B634" s="19">
        <v>100</v>
      </c>
      <c r="C634" s="20">
        <f>Sales!$B634*Sales!$A634</f>
        <v>2100</v>
      </c>
      <c r="D634" s="21">
        <v>37937</v>
      </c>
      <c r="E634" s="22" t="s">
        <v>9</v>
      </c>
      <c r="F634" s="22">
        <v>4</v>
      </c>
      <c r="G634" s="22">
        <v>11</v>
      </c>
      <c r="H634" s="22">
        <v>2003</v>
      </c>
      <c r="I634" s="22" t="s">
        <v>47</v>
      </c>
      <c r="J634" s="20">
        <v>142</v>
      </c>
      <c r="K634" s="20">
        <f>Sales!$B634-Sales!$J634</f>
        <v>-42</v>
      </c>
      <c r="L634" s="23">
        <f>(Sales!$J634-Sales!$B634)/Sales!$J634</f>
        <v>0.29577464788732394</v>
      </c>
      <c r="M634" s="23" t="str">
        <f t="shared" si="9"/>
        <v>+20%</v>
      </c>
      <c r="N634" s="22" t="s">
        <v>24</v>
      </c>
      <c r="O634" s="22" t="s">
        <v>25</v>
      </c>
      <c r="P634" s="22" t="s">
        <v>17</v>
      </c>
      <c r="Q634" s="22" t="s">
        <v>19</v>
      </c>
    </row>
    <row r="635" spans="1:17" x14ac:dyDescent="0.3">
      <c r="A635" s="27">
        <v>47</v>
      </c>
      <c r="B635" s="24">
        <v>100</v>
      </c>
      <c r="C635" s="25">
        <f>Sales!$B635*Sales!$A635</f>
        <v>4700</v>
      </c>
      <c r="D635" s="26">
        <v>37945</v>
      </c>
      <c r="E635" s="27" t="s">
        <v>9</v>
      </c>
      <c r="F635" s="27">
        <v>4</v>
      </c>
      <c r="G635" s="27">
        <v>11</v>
      </c>
      <c r="H635" s="27">
        <v>2003</v>
      </c>
      <c r="I635" s="27" t="s">
        <v>47</v>
      </c>
      <c r="J635" s="25">
        <v>142</v>
      </c>
      <c r="K635" s="25">
        <f>Sales!$B635-Sales!$J635</f>
        <v>-42</v>
      </c>
      <c r="L635" s="28">
        <f>(Sales!$J635-Sales!$B635)/Sales!$J635</f>
        <v>0.29577464788732394</v>
      </c>
      <c r="M635" s="28" t="str">
        <f t="shared" si="9"/>
        <v>+20%</v>
      </c>
      <c r="N635" s="27" t="s">
        <v>65</v>
      </c>
      <c r="O635" s="27" t="s">
        <v>12</v>
      </c>
      <c r="P635" s="27" t="s">
        <v>13</v>
      </c>
      <c r="Q635" s="27" t="s">
        <v>39</v>
      </c>
    </row>
    <row r="636" spans="1:17" x14ac:dyDescent="0.3">
      <c r="A636" s="22">
        <v>38</v>
      </c>
      <c r="B636" s="19">
        <v>100</v>
      </c>
      <c r="C636" s="20">
        <f>Sales!$B636*Sales!$A636</f>
        <v>3800</v>
      </c>
      <c r="D636" s="21">
        <v>37957</v>
      </c>
      <c r="E636" s="22" t="s">
        <v>9</v>
      </c>
      <c r="F636" s="22">
        <v>4</v>
      </c>
      <c r="G636" s="22">
        <v>12</v>
      </c>
      <c r="H636" s="22">
        <v>2003</v>
      </c>
      <c r="I636" s="22" t="s">
        <v>47</v>
      </c>
      <c r="J636" s="20">
        <v>142</v>
      </c>
      <c r="K636" s="20">
        <f>Sales!$B636-Sales!$J636</f>
        <v>-42</v>
      </c>
      <c r="L636" s="23">
        <f>(Sales!$J636-Sales!$B636)/Sales!$J636</f>
        <v>0.29577464788732394</v>
      </c>
      <c r="M636" s="23" t="str">
        <f t="shared" si="9"/>
        <v>+20%</v>
      </c>
      <c r="N636" s="22" t="s">
        <v>11</v>
      </c>
      <c r="O636" s="22" t="s">
        <v>12</v>
      </c>
      <c r="P636" s="22" t="s">
        <v>13</v>
      </c>
      <c r="Q636" s="22" t="s">
        <v>19</v>
      </c>
    </row>
    <row r="637" spans="1:17" x14ac:dyDescent="0.3">
      <c r="A637" s="27">
        <v>41</v>
      </c>
      <c r="B637" s="24">
        <v>100</v>
      </c>
      <c r="C637" s="25">
        <f>Sales!$B637*Sales!$A637</f>
        <v>4100</v>
      </c>
      <c r="D637" s="26">
        <v>38002</v>
      </c>
      <c r="E637" s="27" t="s">
        <v>9</v>
      </c>
      <c r="F637" s="27">
        <v>1</v>
      </c>
      <c r="G637" s="27">
        <v>1</v>
      </c>
      <c r="H637" s="27">
        <v>2004</v>
      </c>
      <c r="I637" s="27" t="s">
        <v>47</v>
      </c>
      <c r="J637" s="25">
        <v>142</v>
      </c>
      <c r="K637" s="25">
        <f>Sales!$B637-Sales!$J637</f>
        <v>-42</v>
      </c>
      <c r="L637" s="28">
        <f>(Sales!$J637-Sales!$B637)/Sales!$J637</f>
        <v>0.29577464788732394</v>
      </c>
      <c r="M637" s="28" t="str">
        <f t="shared" si="9"/>
        <v>+20%</v>
      </c>
      <c r="N637" s="27" t="s">
        <v>45</v>
      </c>
      <c r="O637" s="27" t="s">
        <v>46</v>
      </c>
      <c r="P637" s="27" t="s">
        <v>17</v>
      </c>
      <c r="Q637" s="27" t="s">
        <v>19</v>
      </c>
    </row>
    <row r="638" spans="1:17" x14ac:dyDescent="0.3">
      <c r="A638" s="22">
        <v>24</v>
      </c>
      <c r="B638" s="19">
        <v>100</v>
      </c>
      <c r="C638" s="20">
        <f>Sales!$B638*Sales!$A638</f>
        <v>2400</v>
      </c>
      <c r="D638" s="21">
        <v>38043</v>
      </c>
      <c r="E638" s="22" t="s">
        <v>9</v>
      </c>
      <c r="F638" s="22">
        <v>1</v>
      </c>
      <c r="G638" s="22">
        <v>2</v>
      </c>
      <c r="H638" s="22">
        <v>2004</v>
      </c>
      <c r="I638" s="22" t="s">
        <v>47</v>
      </c>
      <c r="J638" s="20">
        <v>142</v>
      </c>
      <c r="K638" s="20">
        <f>Sales!$B638-Sales!$J638</f>
        <v>-42</v>
      </c>
      <c r="L638" s="23">
        <f>(Sales!$J638-Sales!$B638)/Sales!$J638</f>
        <v>0.29577464788732394</v>
      </c>
      <c r="M638" s="23" t="str">
        <f t="shared" si="9"/>
        <v>+20%</v>
      </c>
      <c r="N638" s="22" t="s">
        <v>79</v>
      </c>
      <c r="O638" s="22" t="s">
        <v>12</v>
      </c>
      <c r="P638" s="22" t="s">
        <v>13</v>
      </c>
      <c r="Q638" s="22" t="s">
        <v>19</v>
      </c>
    </row>
    <row r="639" spans="1:17" x14ac:dyDescent="0.3">
      <c r="A639" s="27">
        <v>37</v>
      </c>
      <c r="B639" s="24">
        <v>100</v>
      </c>
      <c r="C639" s="25">
        <f>Sales!$B639*Sales!$A639</f>
        <v>3700</v>
      </c>
      <c r="D639" s="26">
        <v>38090</v>
      </c>
      <c r="E639" s="27" t="s">
        <v>9</v>
      </c>
      <c r="F639" s="27">
        <v>2</v>
      </c>
      <c r="G639" s="27">
        <v>4</v>
      </c>
      <c r="H639" s="27">
        <v>2004</v>
      </c>
      <c r="I639" s="27" t="s">
        <v>47</v>
      </c>
      <c r="J639" s="25">
        <v>142</v>
      </c>
      <c r="K639" s="25">
        <f>Sales!$B639-Sales!$J639</f>
        <v>-42</v>
      </c>
      <c r="L639" s="28">
        <f>(Sales!$J639-Sales!$B639)/Sales!$J639</f>
        <v>0.29577464788732394</v>
      </c>
      <c r="M639" s="28" t="str">
        <f t="shared" si="9"/>
        <v>+20%</v>
      </c>
      <c r="N639" s="27" t="s">
        <v>70</v>
      </c>
      <c r="O639" s="27" t="s">
        <v>51</v>
      </c>
      <c r="P639" s="27" t="s">
        <v>51</v>
      </c>
      <c r="Q639" s="27" t="s">
        <v>19</v>
      </c>
    </row>
    <row r="640" spans="1:17" x14ac:dyDescent="0.3">
      <c r="A640" s="22">
        <v>33</v>
      </c>
      <c r="B640" s="19">
        <v>100</v>
      </c>
      <c r="C640" s="20">
        <f>Sales!$B640*Sales!$A640</f>
        <v>3300</v>
      </c>
      <c r="D640" s="21">
        <v>38139</v>
      </c>
      <c r="E640" s="22" t="s">
        <v>75</v>
      </c>
      <c r="F640" s="22">
        <v>2</v>
      </c>
      <c r="G640" s="22">
        <v>6</v>
      </c>
      <c r="H640" s="22">
        <v>2004</v>
      </c>
      <c r="I640" s="22" t="s">
        <v>47</v>
      </c>
      <c r="J640" s="20">
        <v>142</v>
      </c>
      <c r="K640" s="20">
        <f>Sales!$B640-Sales!$J640</f>
        <v>-42</v>
      </c>
      <c r="L640" s="23">
        <f>(Sales!$J640-Sales!$B640)/Sales!$J640</f>
        <v>0.29577464788732394</v>
      </c>
      <c r="M640" s="23" t="str">
        <f t="shared" si="9"/>
        <v>+20%</v>
      </c>
      <c r="N640" s="22" t="s">
        <v>42</v>
      </c>
      <c r="O640" s="22" t="s">
        <v>43</v>
      </c>
      <c r="P640" s="22" t="s">
        <v>17</v>
      </c>
      <c r="Q640" s="22" t="s">
        <v>19</v>
      </c>
    </row>
    <row r="641" spans="1:17" x14ac:dyDescent="0.3">
      <c r="A641" s="27">
        <v>49</v>
      </c>
      <c r="B641" s="24">
        <v>100</v>
      </c>
      <c r="C641" s="25">
        <f>Sales!$B641*Sales!$A641</f>
        <v>4900</v>
      </c>
      <c r="D641" s="26">
        <v>38174</v>
      </c>
      <c r="E641" s="27" t="s">
        <v>9</v>
      </c>
      <c r="F641" s="27">
        <v>3</v>
      </c>
      <c r="G641" s="27">
        <v>7</v>
      </c>
      <c r="H641" s="27">
        <v>2004</v>
      </c>
      <c r="I641" s="27" t="s">
        <v>47</v>
      </c>
      <c r="J641" s="25">
        <v>142</v>
      </c>
      <c r="K641" s="25">
        <f>Sales!$B641-Sales!$J641</f>
        <v>-42</v>
      </c>
      <c r="L641" s="28">
        <f>(Sales!$J641-Sales!$B641)/Sales!$J641</f>
        <v>0.29577464788732394</v>
      </c>
      <c r="M641" s="28" t="str">
        <f t="shared" si="9"/>
        <v>+20%</v>
      </c>
      <c r="N641" s="27" t="s">
        <v>97</v>
      </c>
      <c r="O641" s="27" t="s">
        <v>61</v>
      </c>
      <c r="P641" s="27" t="s">
        <v>17</v>
      </c>
      <c r="Q641" s="27" t="s">
        <v>19</v>
      </c>
    </row>
    <row r="642" spans="1:17" x14ac:dyDescent="0.3">
      <c r="A642" s="22">
        <v>29</v>
      </c>
      <c r="B642" s="19">
        <v>100</v>
      </c>
      <c r="C642" s="20">
        <f>Sales!$B642*Sales!$A642</f>
        <v>2900</v>
      </c>
      <c r="D642" s="21">
        <v>38205</v>
      </c>
      <c r="E642" s="22" t="s">
        <v>9</v>
      </c>
      <c r="F642" s="22">
        <v>3</v>
      </c>
      <c r="G642" s="22">
        <v>8</v>
      </c>
      <c r="H642" s="22">
        <v>2004</v>
      </c>
      <c r="I642" s="22" t="s">
        <v>47</v>
      </c>
      <c r="J642" s="20">
        <v>142</v>
      </c>
      <c r="K642" s="20">
        <f>Sales!$B642-Sales!$J642</f>
        <v>-42</v>
      </c>
      <c r="L642" s="23">
        <f>(Sales!$J642-Sales!$B642)/Sales!$J642</f>
        <v>0.29577464788732394</v>
      </c>
      <c r="M642" s="23" t="str">
        <f t="shared" si="9"/>
        <v>+20%</v>
      </c>
      <c r="N642" s="22" t="s">
        <v>109</v>
      </c>
      <c r="O642" s="22" t="s">
        <v>12</v>
      </c>
      <c r="P642" s="22" t="s">
        <v>13</v>
      </c>
      <c r="Q642" s="22" t="s">
        <v>19</v>
      </c>
    </row>
    <row r="643" spans="1:17" x14ac:dyDescent="0.3">
      <c r="A643" s="27">
        <v>24</v>
      </c>
      <c r="B643" s="24">
        <v>100</v>
      </c>
      <c r="C643" s="25">
        <f>Sales!$B643*Sales!$A643</f>
        <v>2400</v>
      </c>
      <c r="D643" s="26">
        <v>38229</v>
      </c>
      <c r="E643" s="27" t="s">
        <v>9</v>
      </c>
      <c r="F643" s="27">
        <v>3</v>
      </c>
      <c r="G643" s="27">
        <v>8</v>
      </c>
      <c r="H643" s="27">
        <v>2004</v>
      </c>
      <c r="I643" s="27" t="s">
        <v>47</v>
      </c>
      <c r="J643" s="25">
        <v>142</v>
      </c>
      <c r="K643" s="25">
        <f>Sales!$B643-Sales!$J643</f>
        <v>-42</v>
      </c>
      <c r="L643" s="28">
        <f>(Sales!$J643-Sales!$B643)/Sales!$J643</f>
        <v>0.29577464788732394</v>
      </c>
      <c r="M643" s="28" t="str">
        <f t="shared" ref="M643:M706" si="10">IF(L643&lt;0%,"Below 0%",IF(L643=0%,"0%",IF(AND(L643&lt;=5%,L643&gt;0%),"0%-5%",IF(AND(L643&lt;=10%,L643&gt;5%),"5%-10%",IF(AND(L643&lt;=15%,L643&gt;10%),"10%-15%",IF(AND(L643&lt;=20%,L643&gt;15%),"15%-20%","+20%"))))))</f>
        <v>+20%</v>
      </c>
      <c r="N643" s="27" t="s">
        <v>95</v>
      </c>
      <c r="O643" s="27" t="s">
        <v>96</v>
      </c>
      <c r="P643" s="27" t="s">
        <v>17</v>
      </c>
      <c r="Q643" s="27" t="s">
        <v>19</v>
      </c>
    </row>
    <row r="644" spans="1:17" x14ac:dyDescent="0.3">
      <c r="A644" s="22">
        <v>47</v>
      </c>
      <c r="B644" s="19">
        <v>100</v>
      </c>
      <c r="C644" s="20">
        <f>Sales!$B644*Sales!$A644</f>
        <v>4700</v>
      </c>
      <c r="D644" s="21">
        <v>37899</v>
      </c>
      <c r="E644" s="22" t="s">
        <v>9</v>
      </c>
      <c r="F644" s="22">
        <v>4</v>
      </c>
      <c r="G644" s="22">
        <v>10</v>
      </c>
      <c r="H644" s="22">
        <v>2003</v>
      </c>
      <c r="I644" s="22" t="s">
        <v>47</v>
      </c>
      <c r="J644" s="20">
        <v>142</v>
      </c>
      <c r="K644" s="20">
        <f>Sales!$B644-Sales!$J644</f>
        <v>-42</v>
      </c>
      <c r="L644" s="23">
        <f>(Sales!$J644-Sales!$B644)/Sales!$J644</f>
        <v>0.29577464788732394</v>
      </c>
      <c r="M644" s="23" t="str">
        <f t="shared" si="10"/>
        <v>+20%</v>
      </c>
      <c r="N644" s="22" t="s">
        <v>110</v>
      </c>
      <c r="O644" s="22" t="s">
        <v>25</v>
      </c>
      <c r="P644" s="22" t="s">
        <v>17</v>
      </c>
      <c r="Q644" s="22" t="s">
        <v>39</v>
      </c>
    </row>
    <row r="645" spans="1:17" x14ac:dyDescent="0.3">
      <c r="A645" s="27">
        <v>24</v>
      </c>
      <c r="B645" s="24">
        <v>100</v>
      </c>
      <c r="C645" s="25">
        <f>Sales!$B645*Sales!$A645</f>
        <v>2400</v>
      </c>
      <c r="D645" s="26">
        <v>38276</v>
      </c>
      <c r="E645" s="27" t="s">
        <v>9</v>
      </c>
      <c r="F645" s="27">
        <v>4</v>
      </c>
      <c r="G645" s="27">
        <v>10</v>
      </c>
      <c r="H645" s="27">
        <v>2004</v>
      </c>
      <c r="I645" s="27" t="s">
        <v>47</v>
      </c>
      <c r="J645" s="25">
        <v>142</v>
      </c>
      <c r="K645" s="25">
        <f>Sales!$B645-Sales!$J645</f>
        <v>-42</v>
      </c>
      <c r="L645" s="28">
        <f>(Sales!$J645-Sales!$B645)/Sales!$J645</f>
        <v>0.29577464788732394</v>
      </c>
      <c r="M645" s="28" t="str">
        <f t="shared" si="10"/>
        <v>+20%</v>
      </c>
      <c r="N645" s="27" t="s">
        <v>93</v>
      </c>
      <c r="O645" s="27" t="s">
        <v>94</v>
      </c>
      <c r="P645" s="27" t="s">
        <v>17</v>
      </c>
      <c r="Q645" s="27" t="s">
        <v>19</v>
      </c>
    </row>
    <row r="646" spans="1:17" x14ac:dyDescent="0.3">
      <c r="A646" s="22">
        <v>25</v>
      </c>
      <c r="B646" s="19">
        <v>100</v>
      </c>
      <c r="C646" s="20">
        <f>Sales!$B646*Sales!$A646</f>
        <v>2500</v>
      </c>
      <c r="D646" s="21">
        <v>38295</v>
      </c>
      <c r="E646" s="22" t="s">
        <v>9</v>
      </c>
      <c r="F646" s="22">
        <v>4</v>
      </c>
      <c r="G646" s="22">
        <v>11</v>
      </c>
      <c r="H646" s="22">
        <v>2004</v>
      </c>
      <c r="I646" s="22" t="s">
        <v>47</v>
      </c>
      <c r="J646" s="20">
        <v>142</v>
      </c>
      <c r="K646" s="20">
        <f>Sales!$B646-Sales!$J646</f>
        <v>-42</v>
      </c>
      <c r="L646" s="23">
        <f>(Sales!$J646-Sales!$B646)/Sales!$J646</f>
        <v>0.29577464788732394</v>
      </c>
      <c r="M646" s="23" t="str">
        <f t="shared" si="10"/>
        <v>+20%</v>
      </c>
      <c r="N646" s="22" t="s">
        <v>41</v>
      </c>
      <c r="O646" s="22" t="s">
        <v>12</v>
      </c>
      <c r="P646" s="22" t="s">
        <v>13</v>
      </c>
      <c r="Q646" s="22" t="s">
        <v>19</v>
      </c>
    </row>
    <row r="647" spans="1:17" x14ac:dyDescent="0.3">
      <c r="A647" s="27">
        <v>30</v>
      </c>
      <c r="B647" s="24">
        <v>32.47</v>
      </c>
      <c r="C647" s="25">
        <f>Sales!$B647*Sales!$A647</f>
        <v>974.09999999999991</v>
      </c>
      <c r="D647" s="26">
        <v>38308</v>
      </c>
      <c r="E647" s="27" t="s">
        <v>9</v>
      </c>
      <c r="F647" s="27">
        <v>4</v>
      </c>
      <c r="G647" s="27">
        <v>11</v>
      </c>
      <c r="H647" s="27">
        <v>2004</v>
      </c>
      <c r="I647" s="27" t="s">
        <v>47</v>
      </c>
      <c r="J647" s="25">
        <v>142</v>
      </c>
      <c r="K647" s="25">
        <f>Sales!$B647-Sales!$J647</f>
        <v>-109.53</v>
      </c>
      <c r="L647" s="28">
        <f>(Sales!$J647-Sales!$B647)/Sales!$J647</f>
        <v>0.77133802816901409</v>
      </c>
      <c r="M647" s="28" t="str">
        <f t="shared" si="10"/>
        <v>+20%</v>
      </c>
      <c r="N647" s="27" t="s">
        <v>53</v>
      </c>
      <c r="O647" s="27" t="s">
        <v>12</v>
      </c>
      <c r="P647" s="27" t="s">
        <v>13</v>
      </c>
      <c r="Q647" s="27" t="s">
        <v>14</v>
      </c>
    </row>
    <row r="648" spans="1:17" x14ac:dyDescent="0.3">
      <c r="A648" s="22">
        <v>22</v>
      </c>
      <c r="B648" s="19">
        <v>100</v>
      </c>
      <c r="C648" s="20">
        <f>Sales!$B648*Sales!$A648</f>
        <v>2200</v>
      </c>
      <c r="D648" s="21">
        <v>38315</v>
      </c>
      <c r="E648" s="22" t="s">
        <v>9</v>
      </c>
      <c r="F648" s="22">
        <v>4</v>
      </c>
      <c r="G648" s="22">
        <v>11</v>
      </c>
      <c r="H648" s="22">
        <v>2004</v>
      </c>
      <c r="I648" s="22" t="s">
        <v>47</v>
      </c>
      <c r="J648" s="20">
        <v>142</v>
      </c>
      <c r="K648" s="20">
        <f>Sales!$B648-Sales!$J648</f>
        <v>-42</v>
      </c>
      <c r="L648" s="23">
        <f>(Sales!$J648-Sales!$B648)/Sales!$J648</f>
        <v>0.29577464788732394</v>
      </c>
      <c r="M648" s="23" t="str">
        <f t="shared" si="10"/>
        <v>+20%</v>
      </c>
      <c r="N648" s="22" t="s">
        <v>26</v>
      </c>
      <c r="O648" s="22" t="s">
        <v>27</v>
      </c>
      <c r="P648" s="22" t="s">
        <v>28</v>
      </c>
      <c r="Q648" s="22" t="s">
        <v>19</v>
      </c>
    </row>
    <row r="649" spans="1:17" x14ac:dyDescent="0.3">
      <c r="A649" s="27">
        <v>27</v>
      </c>
      <c r="B649" s="24">
        <v>64.69</v>
      </c>
      <c r="C649" s="25">
        <f>Sales!$B649*Sales!$A649</f>
        <v>1746.6299999999999</v>
      </c>
      <c r="D649" s="26">
        <v>38330</v>
      </c>
      <c r="E649" s="27" t="s">
        <v>9</v>
      </c>
      <c r="F649" s="27">
        <v>4</v>
      </c>
      <c r="G649" s="27">
        <v>12</v>
      </c>
      <c r="H649" s="27">
        <v>2004</v>
      </c>
      <c r="I649" s="27" t="s">
        <v>47</v>
      </c>
      <c r="J649" s="25">
        <v>142</v>
      </c>
      <c r="K649" s="25">
        <f>Sales!$B649-Sales!$J649</f>
        <v>-77.31</v>
      </c>
      <c r="L649" s="28">
        <f>(Sales!$J649-Sales!$B649)/Sales!$J649</f>
        <v>0.54443661971830992</v>
      </c>
      <c r="M649" s="28" t="str">
        <f t="shared" si="10"/>
        <v>+20%</v>
      </c>
      <c r="N649" s="27" t="s">
        <v>18</v>
      </c>
      <c r="O649" s="27" t="s">
        <v>16</v>
      </c>
      <c r="P649" s="27" t="s">
        <v>17</v>
      </c>
      <c r="Q649" s="27" t="s">
        <v>14</v>
      </c>
    </row>
    <row r="650" spans="1:17" x14ac:dyDescent="0.3">
      <c r="A650" s="22">
        <v>34</v>
      </c>
      <c r="B650" s="19">
        <v>100</v>
      </c>
      <c r="C650" s="20">
        <f>Sales!$B650*Sales!$A650</f>
        <v>3400</v>
      </c>
      <c r="D650" s="21">
        <v>38362</v>
      </c>
      <c r="E650" s="22" t="s">
        <v>9</v>
      </c>
      <c r="F650" s="22">
        <v>1</v>
      </c>
      <c r="G650" s="22">
        <v>1</v>
      </c>
      <c r="H650" s="22">
        <v>2005</v>
      </c>
      <c r="I650" s="22" t="s">
        <v>47</v>
      </c>
      <c r="J650" s="20">
        <v>142</v>
      </c>
      <c r="K650" s="20">
        <f>Sales!$B650-Sales!$J650</f>
        <v>-42</v>
      </c>
      <c r="L650" s="23">
        <f>(Sales!$J650-Sales!$B650)/Sales!$J650</f>
        <v>0.29577464788732394</v>
      </c>
      <c r="M650" s="23" t="str">
        <f t="shared" si="10"/>
        <v>+20%</v>
      </c>
      <c r="N650" s="22" t="s">
        <v>117</v>
      </c>
      <c r="O650" s="22" t="s">
        <v>81</v>
      </c>
      <c r="P650" s="22" t="s">
        <v>17</v>
      </c>
      <c r="Q650" s="22" t="s">
        <v>19</v>
      </c>
    </row>
    <row r="651" spans="1:17" x14ac:dyDescent="0.3">
      <c r="A651" s="27">
        <v>36</v>
      </c>
      <c r="B651" s="24">
        <v>100</v>
      </c>
      <c r="C651" s="25">
        <f>Sales!$B651*Sales!$A651</f>
        <v>3600</v>
      </c>
      <c r="D651" s="26">
        <v>38392</v>
      </c>
      <c r="E651" s="27" t="s">
        <v>9</v>
      </c>
      <c r="F651" s="27">
        <v>1</v>
      </c>
      <c r="G651" s="27">
        <v>2</v>
      </c>
      <c r="H651" s="27">
        <v>2005</v>
      </c>
      <c r="I651" s="27" t="s">
        <v>47</v>
      </c>
      <c r="J651" s="25">
        <v>142</v>
      </c>
      <c r="K651" s="25">
        <f>Sales!$B651-Sales!$J651</f>
        <v>-42</v>
      </c>
      <c r="L651" s="28">
        <f>(Sales!$J651-Sales!$B651)/Sales!$J651</f>
        <v>0.29577464788732394</v>
      </c>
      <c r="M651" s="28" t="str">
        <f t="shared" si="10"/>
        <v>+20%</v>
      </c>
      <c r="N651" s="27" t="s">
        <v>33</v>
      </c>
      <c r="O651" s="27" t="s">
        <v>34</v>
      </c>
      <c r="P651" s="27" t="s">
        <v>17</v>
      </c>
      <c r="Q651" s="27" t="s">
        <v>19</v>
      </c>
    </row>
    <row r="652" spans="1:17" x14ac:dyDescent="0.3">
      <c r="A652" s="22">
        <v>34</v>
      </c>
      <c r="B652" s="19">
        <v>43.05</v>
      </c>
      <c r="C652" s="20">
        <f>Sales!$B652*Sales!$A652</f>
        <v>1463.6999999999998</v>
      </c>
      <c r="D652" s="21">
        <v>38415</v>
      </c>
      <c r="E652" s="22" t="s">
        <v>9</v>
      </c>
      <c r="F652" s="22">
        <v>1</v>
      </c>
      <c r="G652" s="22">
        <v>3</v>
      </c>
      <c r="H652" s="22">
        <v>2005</v>
      </c>
      <c r="I652" s="22" t="s">
        <v>47</v>
      </c>
      <c r="J652" s="20">
        <v>142</v>
      </c>
      <c r="K652" s="20">
        <f>Sales!$B652-Sales!$J652</f>
        <v>-98.95</v>
      </c>
      <c r="L652" s="23">
        <f>(Sales!$J652-Sales!$B652)/Sales!$J652</f>
        <v>0.69683098591549297</v>
      </c>
      <c r="M652" s="23" t="str">
        <f t="shared" si="10"/>
        <v>+20%</v>
      </c>
      <c r="N652" s="22" t="s">
        <v>64</v>
      </c>
      <c r="O652" s="22" t="s">
        <v>12</v>
      </c>
      <c r="P652" s="22" t="s">
        <v>13</v>
      </c>
      <c r="Q652" s="22" t="s">
        <v>14</v>
      </c>
    </row>
    <row r="653" spans="1:17" x14ac:dyDescent="0.3">
      <c r="A653" s="27">
        <v>48</v>
      </c>
      <c r="B653" s="24">
        <v>100</v>
      </c>
      <c r="C653" s="25">
        <f>Sales!$B653*Sales!$A653</f>
        <v>4800</v>
      </c>
      <c r="D653" s="26">
        <v>38457</v>
      </c>
      <c r="E653" s="27" t="s">
        <v>44</v>
      </c>
      <c r="F653" s="27">
        <v>2</v>
      </c>
      <c r="G653" s="27">
        <v>4</v>
      </c>
      <c r="H653" s="27">
        <v>2005</v>
      </c>
      <c r="I653" s="27" t="s">
        <v>47</v>
      </c>
      <c r="J653" s="25">
        <v>142</v>
      </c>
      <c r="K653" s="25">
        <f>Sales!$B653-Sales!$J653</f>
        <v>-42</v>
      </c>
      <c r="L653" s="28">
        <f>(Sales!$J653-Sales!$B653)/Sales!$J653</f>
        <v>0.29577464788732394</v>
      </c>
      <c r="M653" s="28" t="str">
        <f t="shared" si="10"/>
        <v>+20%</v>
      </c>
      <c r="N653" s="27" t="s">
        <v>72</v>
      </c>
      <c r="O653" s="27" t="s">
        <v>73</v>
      </c>
      <c r="P653" s="27" t="s">
        <v>17</v>
      </c>
      <c r="Q653" s="27" t="s">
        <v>39</v>
      </c>
    </row>
    <row r="654" spans="1:17" x14ac:dyDescent="0.3">
      <c r="A654" s="22">
        <v>34</v>
      </c>
      <c r="B654" s="19">
        <v>100</v>
      </c>
      <c r="C654" s="20">
        <f>Sales!$B654*Sales!$A654</f>
        <v>3400</v>
      </c>
      <c r="D654" s="21">
        <v>38489</v>
      </c>
      <c r="E654" s="22" t="s">
        <v>9</v>
      </c>
      <c r="F654" s="22">
        <v>2</v>
      </c>
      <c r="G654" s="22">
        <v>5</v>
      </c>
      <c r="H654" s="22">
        <v>2005</v>
      </c>
      <c r="I654" s="22" t="s">
        <v>47</v>
      </c>
      <c r="J654" s="20">
        <v>142</v>
      </c>
      <c r="K654" s="20">
        <f>Sales!$B654-Sales!$J654</f>
        <v>-42</v>
      </c>
      <c r="L654" s="23">
        <f>(Sales!$J654-Sales!$B654)/Sales!$J654</f>
        <v>0.29577464788732394</v>
      </c>
      <c r="M654" s="23" t="str">
        <f t="shared" si="10"/>
        <v>+20%</v>
      </c>
      <c r="N654" s="22" t="s">
        <v>37</v>
      </c>
      <c r="O654" s="22" t="s">
        <v>38</v>
      </c>
      <c r="P654" s="22" t="s">
        <v>17</v>
      </c>
      <c r="Q654" s="22" t="s">
        <v>19</v>
      </c>
    </row>
    <row r="655" spans="1:17" x14ac:dyDescent="0.3">
      <c r="A655" s="27">
        <v>24</v>
      </c>
      <c r="B655" s="24">
        <v>100</v>
      </c>
      <c r="C655" s="25">
        <f>Sales!$B655*Sales!$A655</f>
        <v>2400</v>
      </c>
      <c r="D655" s="26">
        <v>37652</v>
      </c>
      <c r="E655" s="27" t="s">
        <v>9</v>
      </c>
      <c r="F655" s="27">
        <v>1</v>
      </c>
      <c r="G655" s="27">
        <v>1</v>
      </c>
      <c r="H655" s="27">
        <v>2003</v>
      </c>
      <c r="I655" s="27" t="s">
        <v>47</v>
      </c>
      <c r="J655" s="25">
        <v>163</v>
      </c>
      <c r="K655" s="25">
        <f>Sales!$B655-Sales!$J655</f>
        <v>-63</v>
      </c>
      <c r="L655" s="28">
        <f>(Sales!$J655-Sales!$B655)/Sales!$J655</f>
        <v>0.38650306748466257</v>
      </c>
      <c r="M655" s="28" t="str">
        <f t="shared" si="10"/>
        <v>+20%</v>
      </c>
      <c r="N655" s="27" t="s">
        <v>45</v>
      </c>
      <c r="O655" s="27" t="s">
        <v>46</v>
      </c>
      <c r="P655" s="27" t="s">
        <v>17</v>
      </c>
      <c r="Q655" s="27" t="s">
        <v>19</v>
      </c>
    </row>
    <row r="656" spans="1:17" x14ac:dyDescent="0.3">
      <c r="A656" s="22">
        <v>46</v>
      </c>
      <c r="B656" s="19">
        <v>100</v>
      </c>
      <c r="C656" s="20">
        <f>Sales!$B656*Sales!$A656</f>
        <v>4600</v>
      </c>
      <c r="D656" s="21">
        <v>37715</v>
      </c>
      <c r="E656" s="22" t="s">
        <v>9</v>
      </c>
      <c r="F656" s="22">
        <v>2</v>
      </c>
      <c r="G656" s="22">
        <v>4</v>
      </c>
      <c r="H656" s="22">
        <v>2003</v>
      </c>
      <c r="I656" s="22" t="s">
        <v>47</v>
      </c>
      <c r="J656" s="20">
        <v>163</v>
      </c>
      <c r="K656" s="20">
        <f>Sales!$B656-Sales!$J656</f>
        <v>-63</v>
      </c>
      <c r="L656" s="23">
        <f>(Sales!$J656-Sales!$B656)/Sales!$J656</f>
        <v>0.38650306748466257</v>
      </c>
      <c r="M656" s="23" t="str">
        <f t="shared" si="10"/>
        <v>+20%</v>
      </c>
      <c r="N656" s="22" t="s">
        <v>11</v>
      </c>
      <c r="O656" s="22" t="s">
        <v>12</v>
      </c>
      <c r="P656" s="22" t="s">
        <v>13</v>
      </c>
      <c r="Q656" s="22" t="s">
        <v>39</v>
      </c>
    </row>
    <row r="657" spans="1:17" x14ac:dyDescent="0.3">
      <c r="A657" s="27">
        <v>45</v>
      </c>
      <c r="B657" s="24">
        <v>100</v>
      </c>
      <c r="C657" s="25">
        <f>Sales!$B657*Sales!$A657</f>
        <v>4500</v>
      </c>
      <c r="D657" s="26">
        <v>37775</v>
      </c>
      <c r="E657" s="27" t="s">
        <v>9</v>
      </c>
      <c r="F657" s="27">
        <v>2</v>
      </c>
      <c r="G657" s="27">
        <v>6</v>
      </c>
      <c r="H657" s="27">
        <v>2003</v>
      </c>
      <c r="I657" s="27" t="s">
        <v>47</v>
      </c>
      <c r="J657" s="25">
        <v>163</v>
      </c>
      <c r="K657" s="25">
        <f>Sales!$B657-Sales!$J657</f>
        <v>-63</v>
      </c>
      <c r="L657" s="28">
        <f>(Sales!$J657-Sales!$B657)/Sales!$J657</f>
        <v>0.38650306748466257</v>
      </c>
      <c r="M657" s="28" t="str">
        <f t="shared" si="10"/>
        <v>+20%</v>
      </c>
      <c r="N657" s="27" t="s">
        <v>11</v>
      </c>
      <c r="O657" s="27" t="s">
        <v>12</v>
      </c>
      <c r="P657" s="27" t="s">
        <v>13</v>
      </c>
      <c r="Q657" s="27" t="s">
        <v>39</v>
      </c>
    </row>
    <row r="658" spans="1:17" x14ac:dyDescent="0.3">
      <c r="A658" s="22">
        <v>39</v>
      </c>
      <c r="B658" s="19">
        <v>100</v>
      </c>
      <c r="C658" s="20">
        <f>Sales!$B658*Sales!$A658</f>
        <v>3900</v>
      </c>
      <c r="D658" s="21">
        <v>37834</v>
      </c>
      <c r="E658" s="22" t="s">
        <v>9</v>
      </c>
      <c r="F658" s="22">
        <v>3</v>
      </c>
      <c r="G658" s="22">
        <v>8</v>
      </c>
      <c r="H658" s="22">
        <v>2003</v>
      </c>
      <c r="I658" s="22" t="s">
        <v>47</v>
      </c>
      <c r="J658" s="20">
        <v>163</v>
      </c>
      <c r="K658" s="20">
        <f>Sales!$B658-Sales!$J658</f>
        <v>-63</v>
      </c>
      <c r="L658" s="23">
        <f>(Sales!$J658-Sales!$B658)/Sales!$J658</f>
        <v>0.38650306748466257</v>
      </c>
      <c r="M658" s="23" t="str">
        <f t="shared" si="10"/>
        <v>+20%</v>
      </c>
      <c r="N658" s="22" t="s">
        <v>99</v>
      </c>
      <c r="O658" s="22" t="s">
        <v>34</v>
      </c>
      <c r="P658" s="22" t="s">
        <v>17</v>
      </c>
      <c r="Q658" s="22" t="s">
        <v>19</v>
      </c>
    </row>
    <row r="659" spans="1:17" x14ac:dyDescent="0.3">
      <c r="A659" s="27">
        <v>43</v>
      </c>
      <c r="B659" s="24">
        <v>100</v>
      </c>
      <c r="C659" s="25">
        <f>Sales!$B659*Sales!$A659</f>
        <v>4300</v>
      </c>
      <c r="D659" s="26">
        <v>37885</v>
      </c>
      <c r="E659" s="27" t="s">
        <v>9</v>
      </c>
      <c r="F659" s="27">
        <v>3</v>
      </c>
      <c r="G659" s="27">
        <v>9</v>
      </c>
      <c r="H659" s="27">
        <v>2003</v>
      </c>
      <c r="I659" s="27" t="s">
        <v>47</v>
      </c>
      <c r="J659" s="25">
        <v>163</v>
      </c>
      <c r="K659" s="25">
        <f>Sales!$B659-Sales!$J659</f>
        <v>-63</v>
      </c>
      <c r="L659" s="28">
        <f>(Sales!$J659-Sales!$B659)/Sales!$J659</f>
        <v>0.38650306748466257</v>
      </c>
      <c r="M659" s="28" t="str">
        <f t="shared" si="10"/>
        <v>+20%</v>
      </c>
      <c r="N659" s="27" t="s">
        <v>85</v>
      </c>
      <c r="O659" s="27" t="s">
        <v>34</v>
      </c>
      <c r="P659" s="27" t="s">
        <v>17</v>
      </c>
      <c r="Q659" s="27" t="s">
        <v>39</v>
      </c>
    </row>
    <row r="660" spans="1:17" x14ac:dyDescent="0.3">
      <c r="A660" s="22">
        <v>29</v>
      </c>
      <c r="B660" s="19">
        <v>100</v>
      </c>
      <c r="C660" s="20">
        <f>Sales!$B660*Sales!$A660</f>
        <v>2900</v>
      </c>
      <c r="D660" s="21">
        <v>37916</v>
      </c>
      <c r="E660" s="22" t="s">
        <v>9</v>
      </c>
      <c r="F660" s="22">
        <v>4</v>
      </c>
      <c r="G660" s="22">
        <v>10</v>
      </c>
      <c r="H660" s="22">
        <v>2003</v>
      </c>
      <c r="I660" s="22" t="s">
        <v>47</v>
      </c>
      <c r="J660" s="20">
        <v>163</v>
      </c>
      <c r="K660" s="20">
        <f>Sales!$B660-Sales!$J660</f>
        <v>-63</v>
      </c>
      <c r="L660" s="23">
        <f>(Sales!$J660-Sales!$B660)/Sales!$J660</f>
        <v>0.38650306748466257</v>
      </c>
      <c r="M660" s="23" t="str">
        <f t="shared" si="10"/>
        <v>+20%</v>
      </c>
      <c r="N660" s="22" t="s">
        <v>50</v>
      </c>
      <c r="O660" s="22" t="s">
        <v>50</v>
      </c>
      <c r="P660" s="22" t="s">
        <v>28</v>
      </c>
      <c r="Q660" s="22" t="s">
        <v>19</v>
      </c>
    </row>
    <row r="661" spans="1:17" x14ac:dyDescent="0.3">
      <c r="A661" s="27">
        <v>20</v>
      </c>
      <c r="B661" s="24">
        <v>100</v>
      </c>
      <c r="C661" s="25">
        <f>Sales!$B661*Sales!$A661</f>
        <v>2000</v>
      </c>
      <c r="D661" s="26">
        <v>37931</v>
      </c>
      <c r="E661" s="27" t="s">
        <v>9</v>
      </c>
      <c r="F661" s="27">
        <v>4</v>
      </c>
      <c r="G661" s="27">
        <v>11</v>
      </c>
      <c r="H661" s="27">
        <v>2003</v>
      </c>
      <c r="I661" s="27" t="s">
        <v>47</v>
      </c>
      <c r="J661" s="25">
        <v>163</v>
      </c>
      <c r="K661" s="25">
        <f>Sales!$B661-Sales!$J661</f>
        <v>-63</v>
      </c>
      <c r="L661" s="28">
        <f>(Sales!$J661-Sales!$B661)/Sales!$J661</f>
        <v>0.38650306748466257</v>
      </c>
      <c r="M661" s="28" t="str">
        <f t="shared" si="10"/>
        <v>+20%</v>
      </c>
      <c r="N661" s="27" t="s">
        <v>97</v>
      </c>
      <c r="O661" s="27" t="s">
        <v>61</v>
      </c>
      <c r="P661" s="27" t="s">
        <v>17</v>
      </c>
      <c r="Q661" s="27" t="s">
        <v>19</v>
      </c>
    </row>
    <row r="662" spans="1:17" x14ac:dyDescent="0.3">
      <c r="A662" s="22">
        <v>46</v>
      </c>
      <c r="B662" s="19">
        <v>100</v>
      </c>
      <c r="C662" s="20">
        <f>Sales!$B662*Sales!$A662</f>
        <v>4600</v>
      </c>
      <c r="D662" s="21">
        <v>37939</v>
      </c>
      <c r="E662" s="22" t="s">
        <v>9</v>
      </c>
      <c r="F662" s="22">
        <v>4</v>
      </c>
      <c r="G662" s="22">
        <v>11</v>
      </c>
      <c r="H662" s="22">
        <v>2003</v>
      </c>
      <c r="I662" s="22" t="s">
        <v>47</v>
      </c>
      <c r="J662" s="20">
        <v>163</v>
      </c>
      <c r="K662" s="20">
        <f>Sales!$B662-Sales!$J662</f>
        <v>-63</v>
      </c>
      <c r="L662" s="23">
        <f>(Sales!$J662-Sales!$B662)/Sales!$J662</f>
        <v>0.38650306748466257</v>
      </c>
      <c r="M662" s="23" t="str">
        <f t="shared" si="10"/>
        <v>+20%</v>
      </c>
      <c r="N662" s="22" t="s">
        <v>106</v>
      </c>
      <c r="O662" s="22" t="s">
        <v>46</v>
      </c>
      <c r="P662" s="22" t="s">
        <v>17</v>
      </c>
      <c r="Q662" s="22" t="s">
        <v>39</v>
      </c>
    </row>
    <row r="663" spans="1:17" x14ac:dyDescent="0.3">
      <c r="A663" s="27">
        <v>27</v>
      </c>
      <c r="B663" s="24">
        <v>100</v>
      </c>
      <c r="C663" s="25">
        <f>Sales!$B663*Sales!$A663</f>
        <v>2700</v>
      </c>
      <c r="D663" s="26">
        <v>37950</v>
      </c>
      <c r="E663" s="27" t="s">
        <v>9</v>
      </c>
      <c r="F663" s="27">
        <v>4</v>
      </c>
      <c r="G663" s="27">
        <v>11</v>
      </c>
      <c r="H663" s="27">
        <v>2003</v>
      </c>
      <c r="I663" s="27" t="s">
        <v>47</v>
      </c>
      <c r="J663" s="25">
        <v>163</v>
      </c>
      <c r="K663" s="25">
        <f>Sales!$B663-Sales!$J663</f>
        <v>-63</v>
      </c>
      <c r="L663" s="28">
        <f>(Sales!$J663-Sales!$B663)/Sales!$J663</f>
        <v>0.38650306748466257</v>
      </c>
      <c r="M663" s="28" t="str">
        <f t="shared" si="10"/>
        <v>+20%</v>
      </c>
      <c r="N663" s="27" t="s">
        <v>71</v>
      </c>
      <c r="O663" s="27" t="s">
        <v>12</v>
      </c>
      <c r="P663" s="27" t="s">
        <v>13</v>
      </c>
      <c r="Q663" s="27" t="s">
        <v>19</v>
      </c>
    </row>
    <row r="664" spans="1:17" x14ac:dyDescent="0.3">
      <c r="A664" s="22">
        <v>44</v>
      </c>
      <c r="B664" s="19">
        <v>100</v>
      </c>
      <c r="C664" s="20">
        <f>Sales!$B664*Sales!$A664</f>
        <v>4400</v>
      </c>
      <c r="D664" s="21">
        <v>37964</v>
      </c>
      <c r="E664" s="22" t="s">
        <v>9</v>
      </c>
      <c r="F664" s="22">
        <v>4</v>
      </c>
      <c r="G664" s="22">
        <v>12</v>
      </c>
      <c r="H664" s="22">
        <v>2003</v>
      </c>
      <c r="I664" s="22" t="s">
        <v>47</v>
      </c>
      <c r="J664" s="20">
        <v>163</v>
      </c>
      <c r="K664" s="20">
        <f>Sales!$B664-Sales!$J664</f>
        <v>-63</v>
      </c>
      <c r="L664" s="23">
        <f>(Sales!$J664-Sales!$B664)/Sales!$J664</f>
        <v>0.38650306748466257</v>
      </c>
      <c r="M664" s="23" t="str">
        <f t="shared" si="10"/>
        <v>+20%</v>
      </c>
      <c r="N664" s="22" t="s">
        <v>83</v>
      </c>
      <c r="O664" s="22" t="s">
        <v>12</v>
      </c>
      <c r="P664" s="22" t="s">
        <v>13</v>
      </c>
      <c r="Q664" s="22" t="s">
        <v>39</v>
      </c>
    </row>
    <row r="665" spans="1:17" x14ac:dyDescent="0.3">
      <c r="A665" s="27">
        <v>43</v>
      </c>
      <c r="B665" s="24">
        <v>100</v>
      </c>
      <c r="C665" s="25">
        <f>Sales!$B665*Sales!$A665</f>
        <v>4300</v>
      </c>
      <c r="D665" s="26">
        <v>38027</v>
      </c>
      <c r="E665" s="27" t="s">
        <v>9</v>
      </c>
      <c r="F665" s="27">
        <v>1</v>
      </c>
      <c r="G665" s="27">
        <v>2</v>
      </c>
      <c r="H665" s="27">
        <v>2004</v>
      </c>
      <c r="I665" s="27" t="s">
        <v>47</v>
      </c>
      <c r="J665" s="25">
        <v>163</v>
      </c>
      <c r="K665" s="25">
        <f>Sales!$B665-Sales!$J665</f>
        <v>-63</v>
      </c>
      <c r="L665" s="28">
        <f>(Sales!$J665-Sales!$B665)/Sales!$J665</f>
        <v>0.38650306748466257</v>
      </c>
      <c r="M665" s="28" t="str">
        <f t="shared" si="10"/>
        <v>+20%</v>
      </c>
      <c r="N665" s="27" t="s">
        <v>107</v>
      </c>
      <c r="O665" s="27" t="s">
        <v>12</v>
      </c>
      <c r="P665" s="27" t="s">
        <v>13</v>
      </c>
      <c r="Q665" s="27" t="s">
        <v>39</v>
      </c>
    </row>
    <row r="666" spans="1:17" x14ac:dyDescent="0.3">
      <c r="A666" s="22">
        <v>49</v>
      </c>
      <c r="B666" s="19">
        <v>100</v>
      </c>
      <c r="C666" s="20">
        <f>Sales!$B666*Sales!$A666</f>
        <v>4900</v>
      </c>
      <c r="D666" s="21">
        <v>38061</v>
      </c>
      <c r="E666" s="22" t="s">
        <v>9</v>
      </c>
      <c r="F666" s="22">
        <v>1</v>
      </c>
      <c r="G666" s="22">
        <v>3</v>
      </c>
      <c r="H666" s="22">
        <v>2004</v>
      </c>
      <c r="I666" s="22" t="s">
        <v>47</v>
      </c>
      <c r="J666" s="20">
        <v>163</v>
      </c>
      <c r="K666" s="20">
        <f>Sales!$B666-Sales!$J666</f>
        <v>-63</v>
      </c>
      <c r="L666" s="23">
        <f>(Sales!$J666-Sales!$B666)/Sales!$J666</f>
        <v>0.38650306748466257</v>
      </c>
      <c r="M666" s="23" t="str">
        <f t="shared" si="10"/>
        <v>+20%</v>
      </c>
      <c r="N666" s="22" t="s">
        <v>98</v>
      </c>
      <c r="O666" s="22" t="s">
        <v>94</v>
      </c>
      <c r="P666" s="22" t="s">
        <v>17</v>
      </c>
      <c r="Q666" s="22" t="s">
        <v>39</v>
      </c>
    </row>
    <row r="667" spans="1:17" x14ac:dyDescent="0.3">
      <c r="A667" s="27">
        <v>40</v>
      </c>
      <c r="B667" s="24">
        <v>100</v>
      </c>
      <c r="C667" s="25">
        <f>Sales!$B667*Sales!$A667</f>
        <v>4000</v>
      </c>
      <c r="D667" s="26">
        <v>38112</v>
      </c>
      <c r="E667" s="27" t="s">
        <v>9</v>
      </c>
      <c r="F667" s="27">
        <v>2</v>
      </c>
      <c r="G667" s="27">
        <v>5</v>
      </c>
      <c r="H667" s="27">
        <v>2004</v>
      </c>
      <c r="I667" s="27" t="s">
        <v>47</v>
      </c>
      <c r="J667" s="25">
        <v>163</v>
      </c>
      <c r="K667" s="25">
        <f>Sales!$B667-Sales!$J667</f>
        <v>-63</v>
      </c>
      <c r="L667" s="28">
        <f>(Sales!$J667-Sales!$B667)/Sales!$J667</f>
        <v>0.38650306748466257</v>
      </c>
      <c r="M667" s="28" t="str">
        <f t="shared" si="10"/>
        <v>+20%</v>
      </c>
      <c r="N667" s="27" t="s">
        <v>45</v>
      </c>
      <c r="O667" s="27" t="s">
        <v>46</v>
      </c>
      <c r="P667" s="27" t="s">
        <v>17</v>
      </c>
      <c r="Q667" s="27" t="s">
        <v>19</v>
      </c>
    </row>
    <row r="668" spans="1:17" x14ac:dyDescent="0.3">
      <c r="A668" s="22">
        <v>30</v>
      </c>
      <c r="B668" s="19">
        <v>100</v>
      </c>
      <c r="C668" s="20">
        <f>Sales!$B668*Sales!$A668</f>
        <v>3000</v>
      </c>
      <c r="D668" s="21">
        <v>38153</v>
      </c>
      <c r="E668" s="22" t="s">
        <v>9</v>
      </c>
      <c r="F668" s="22">
        <v>2</v>
      </c>
      <c r="G668" s="22">
        <v>6</v>
      </c>
      <c r="H668" s="22">
        <v>2004</v>
      </c>
      <c r="I668" s="22" t="s">
        <v>47</v>
      </c>
      <c r="J668" s="20">
        <v>163</v>
      </c>
      <c r="K668" s="20">
        <f>Sales!$B668-Sales!$J668</f>
        <v>-63</v>
      </c>
      <c r="L668" s="23">
        <f>(Sales!$J668-Sales!$B668)/Sales!$J668</f>
        <v>0.38650306748466257</v>
      </c>
      <c r="M668" s="23" t="str">
        <f t="shared" si="10"/>
        <v>+20%</v>
      </c>
      <c r="N668" s="22" t="s">
        <v>50</v>
      </c>
      <c r="O668" s="22" t="s">
        <v>50</v>
      </c>
      <c r="P668" s="22" t="s">
        <v>28</v>
      </c>
      <c r="Q668" s="22" t="s">
        <v>19</v>
      </c>
    </row>
    <row r="669" spans="1:17" x14ac:dyDescent="0.3">
      <c r="A669" s="27">
        <v>50</v>
      </c>
      <c r="B669" s="24">
        <v>100</v>
      </c>
      <c r="C669" s="25">
        <f>Sales!$B669*Sales!$A669</f>
        <v>5000</v>
      </c>
      <c r="D669" s="26">
        <v>38188</v>
      </c>
      <c r="E669" s="27" t="s">
        <v>9</v>
      </c>
      <c r="F669" s="27">
        <v>3</v>
      </c>
      <c r="G669" s="27">
        <v>7</v>
      </c>
      <c r="H669" s="27">
        <v>2004</v>
      </c>
      <c r="I669" s="27" t="s">
        <v>47</v>
      </c>
      <c r="J669" s="25">
        <v>163</v>
      </c>
      <c r="K669" s="25">
        <f>Sales!$B669-Sales!$J669</f>
        <v>-63</v>
      </c>
      <c r="L669" s="28">
        <f>(Sales!$J669-Sales!$B669)/Sales!$J669</f>
        <v>0.38650306748466257</v>
      </c>
      <c r="M669" s="28" t="str">
        <f t="shared" si="10"/>
        <v>+20%</v>
      </c>
      <c r="N669" s="27" t="s">
        <v>64</v>
      </c>
      <c r="O669" s="27" t="s">
        <v>12</v>
      </c>
      <c r="P669" s="27" t="s">
        <v>13</v>
      </c>
      <c r="Q669" s="27" t="s">
        <v>39</v>
      </c>
    </row>
    <row r="670" spans="1:17" x14ac:dyDescent="0.3">
      <c r="A670" s="22">
        <v>23</v>
      </c>
      <c r="B670" s="19">
        <v>100</v>
      </c>
      <c r="C670" s="20">
        <f>Sales!$B670*Sales!$A670</f>
        <v>2300</v>
      </c>
      <c r="D670" s="21">
        <v>38219</v>
      </c>
      <c r="E670" s="22" t="s">
        <v>9</v>
      </c>
      <c r="F670" s="22">
        <v>3</v>
      </c>
      <c r="G670" s="22">
        <v>8</v>
      </c>
      <c r="H670" s="22">
        <v>2004</v>
      </c>
      <c r="I670" s="22" t="s">
        <v>47</v>
      </c>
      <c r="J670" s="20">
        <v>163</v>
      </c>
      <c r="K670" s="20">
        <f>Sales!$B670-Sales!$J670</f>
        <v>-63</v>
      </c>
      <c r="L670" s="23">
        <f>(Sales!$J670-Sales!$B670)/Sales!$J670</f>
        <v>0.38650306748466257</v>
      </c>
      <c r="M670" s="23" t="str">
        <f t="shared" si="10"/>
        <v>+20%</v>
      </c>
      <c r="N670" s="22" t="s">
        <v>64</v>
      </c>
      <c r="O670" s="22" t="s">
        <v>12</v>
      </c>
      <c r="P670" s="22" t="s">
        <v>13</v>
      </c>
      <c r="Q670" s="22" t="s">
        <v>19</v>
      </c>
    </row>
    <row r="671" spans="1:17" x14ac:dyDescent="0.3">
      <c r="A671" s="27">
        <v>26</v>
      </c>
      <c r="B671" s="24">
        <v>100</v>
      </c>
      <c r="C671" s="25">
        <f>Sales!$B671*Sales!$A671</f>
        <v>2600</v>
      </c>
      <c r="D671" s="26">
        <v>38238</v>
      </c>
      <c r="E671" s="27" t="s">
        <v>9</v>
      </c>
      <c r="F671" s="27">
        <v>3</v>
      </c>
      <c r="G671" s="27">
        <v>9</v>
      </c>
      <c r="H671" s="27">
        <v>2004</v>
      </c>
      <c r="I671" s="27" t="s">
        <v>47</v>
      </c>
      <c r="J671" s="25">
        <v>163</v>
      </c>
      <c r="K671" s="25">
        <f>Sales!$B671-Sales!$J671</f>
        <v>-63</v>
      </c>
      <c r="L671" s="28">
        <f>(Sales!$J671-Sales!$B671)/Sales!$J671</f>
        <v>0.38650306748466257</v>
      </c>
      <c r="M671" s="28" t="str">
        <f t="shared" si="10"/>
        <v>+20%</v>
      </c>
      <c r="N671" s="27" t="s">
        <v>11</v>
      </c>
      <c r="O671" s="27" t="s">
        <v>12</v>
      </c>
      <c r="P671" s="27" t="s">
        <v>13</v>
      </c>
      <c r="Q671" s="27" t="s">
        <v>19</v>
      </c>
    </row>
    <row r="672" spans="1:17" x14ac:dyDescent="0.3">
      <c r="A672" s="22">
        <v>27</v>
      </c>
      <c r="B672" s="19">
        <v>100</v>
      </c>
      <c r="C672" s="20">
        <f>Sales!$B672*Sales!$A672</f>
        <v>2700</v>
      </c>
      <c r="D672" s="21">
        <v>38273</v>
      </c>
      <c r="E672" s="22" t="s">
        <v>9</v>
      </c>
      <c r="F672" s="22">
        <v>4</v>
      </c>
      <c r="G672" s="22">
        <v>10</v>
      </c>
      <c r="H672" s="22">
        <v>2004</v>
      </c>
      <c r="I672" s="22" t="s">
        <v>47</v>
      </c>
      <c r="J672" s="20">
        <v>163</v>
      </c>
      <c r="K672" s="20">
        <f>Sales!$B672-Sales!$J672</f>
        <v>-63</v>
      </c>
      <c r="L672" s="23">
        <f>(Sales!$J672-Sales!$B672)/Sales!$J672</f>
        <v>0.38650306748466257</v>
      </c>
      <c r="M672" s="23" t="str">
        <f t="shared" si="10"/>
        <v>+20%</v>
      </c>
      <c r="N672" s="22" t="s">
        <v>32</v>
      </c>
      <c r="O672" s="22" t="s">
        <v>12</v>
      </c>
      <c r="P672" s="22" t="s">
        <v>13</v>
      </c>
      <c r="Q672" s="22" t="s">
        <v>19</v>
      </c>
    </row>
    <row r="673" spans="1:17" x14ac:dyDescent="0.3">
      <c r="A673" s="27">
        <v>42</v>
      </c>
      <c r="B673" s="24">
        <v>100</v>
      </c>
      <c r="C673" s="25">
        <f>Sales!$B673*Sales!$A673</f>
        <v>4200</v>
      </c>
      <c r="D673" s="26">
        <v>38282</v>
      </c>
      <c r="E673" s="27" t="s">
        <v>9</v>
      </c>
      <c r="F673" s="27">
        <v>4</v>
      </c>
      <c r="G673" s="27">
        <v>10</v>
      </c>
      <c r="H673" s="27">
        <v>2004</v>
      </c>
      <c r="I673" s="27" t="s">
        <v>47</v>
      </c>
      <c r="J673" s="25">
        <v>163</v>
      </c>
      <c r="K673" s="25">
        <f>Sales!$B673-Sales!$J673</f>
        <v>-63</v>
      </c>
      <c r="L673" s="28">
        <f>(Sales!$J673-Sales!$B673)/Sales!$J673</f>
        <v>0.38650306748466257</v>
      </c>
      <c r="M673" s="28" t="str">
        <f t="shared" si="10"/>
        <v>+20%</v>
      </c>
      <c r="N673" s="27" t="s">
        <v>103</v>
      </c>
      <c r="O673" s="27" t="s">
        <v>73</v>
      </c>
      <c r="P673" s="27" t="s">
        <v>17</v>
      </c>
      <c r="Q673" s="27" t="s">
        <v>19</v>
      </c>
    </row>
    <row r="674" spans="1:17" x14ac:dyDescent="0.3">
      <c r="A674" s="22">
        <v>47</v>
      </c>
      <c r="B674" s="19">
        <v>100</v>
      </c>
      <c r="C674" s="20">
        <f>Sales!$B674*Sales!$A674</f>
        <v>4700</v>
      </c>
      <c r="D674" s="21">
        <v>38296</v>
      </c>
      <c r="E674" s="22" t="s">
        <v>9</v>
      </c>
      <c r="F674" s="22">
        <v>4</v>
      </c>
      <c r="G674" s="22">
        <v>11</v>
      </c>
      <c r="H674" s="22">
        <v>2004</v>
      </c>
      <c r="I674" s="22" t="s">
        <v>47</v>
      </c>
      <c r="J674" s="20">
        <v>163</v>
      </c>
      <c r="K674" s="20">
        <f>Sales!$B674-Sales!$J674</f>
        <v>-63</v>
      </c>
      <c r="L674" s="23">
        <f>(Sales!$J674-Sales!$B674)/Sales!$J674</f>
        <v>0.38650306748466257</v>
      </c>
      <c r="M674" s="23" t="str">
        <f t="shared" si="10"/>
        <v>+20%</v>
      </c>
      <c r="N674" s="22" t="s">
        <v>11</v>
      </c>
      <c r="O674" s="22" t="s">
        <v>12</v>
      </c>
      <c r="P674" s="22" t="s">
        <v>13</v>
      </c>
      <c r="Q674" s="22" t="s">
        <v>39</v>
      </c>
    </row>
    <row r="675" spans="1:17" x14ac:dyDescent="0.3">
      <c r="A675" s="27">
        <v>49</v>
      </c>
      <c r="B675" s="24">
        <v>100</v>
      </c>
      <c r="C675" s="25">
        <f>Sales!$B675*Sales!$A675</f>
        <v>4900</v>
      </c>
      <c r="D675" s="26">
        <v>38311</v>
      </c>
      <c r="E675" s="27" t="s">
        <v>9</v>
      </c>
      <c r="F675" s="27">
        <v>4</v>
      </c>
      <c r="G675" s="27">
        <v>11</v>
      </c>
      <c r="H675" s="27">
        <v>2004</v>
      </c>
      <c r="I675" s="27" t="s">
        <v>47</v>
      </c>
      <c r="J675" s="25">
        <v>163</v>
      </c>
      <c r="K675" s="25">
        <f>Sales!$B675-Sales!$J675</f>
        <v>-63</v>
      </c>
      <c r="L675" s="28">
        <f>(Sales!$J675-Sales!$B675)/Sales!$J675</f>
        <v>0.38650306748466257</v>
      </c>
      <c r="M675" s="28" t="str">
        <f t="shared" si="10"/>
        <v>+20%</v>
      </c>
      <c r="N675" s="27" t="s">
        <v>18</v>
      </c>
      <c r="O675" s="27" t="s">
        <v>16</v>
      </c>
      <c r="P675" s="27" t="s">
        <v>17</v>
      </c>
      <c r="Q675" s="27" t="s">
        <v>39</v>
      </c>
    </row>
    <row r="676" spans="1:17" x14ac:dyDescent="0.3">
      <c r="A676" s="22">
        <v>38</v>
      </c>
      <c r="B676" s="19">
        <v>100</v>
      </c>
      <c r="C676" s="20">
        <f>Sales!$B676*Sales!$A676</f>
        <v>3800</v>
      </c>
      <c r="D676" s="21">
        <v>38322</v>
      </c>
      <c r="E676" s="22" t="s">
        <v>9</v>
      </c>
      <c r="F676" s="22">
        <v>4</v>
      </c>
      <c r="G676" s="22">
        <v>12</v>
      </c>
      <c r="H676" s="22">
        <v>2004</v>
      </c>
      <c r="I676" s="22" t="s">
        <v>47</v>
      </c>
      <c r="J676" s="20">
        <v>163</v>
      </c>
      <c r="K676" s="20">
        <f>Sales!$B676-Sales!$J676</f>
        <v>-63</v>
      </c>
      <c r="L676" s="23">
        <f>(Sales!$J676-Sales!$B676)/Sales!$J676</f>
        <v>0.38650306748466257</v>
      </c>
      <c r="M676" s="23" t="str">
        <f t="shared" si="10"/>
        <v>+20%</v>
      </c>
      <c r="N676" s="22" t="s">
        <v>11</v>
      </c>
      <c r="O676" s="22" t="s">
        <v>12</v>
      </c>
      <c r="P676" s="22" t="s">
        <v>13</v>
      </c>
      <c r="Q676" s="22" t="s">
        <v>19</v>
      </c>
    </row>
    <row r="677" spans="1:17" x14ac:dyDescent="0.3">
      <c r="A677" s="27">
        <v>20</v>
      </c>
      <c r="B677" s="24">
        <v>100</v>
      </c>
      <c r="C677" s="25">
        <f>Sales!$B677*Sales!$A677</f>
        <v>2000</v>
      </c>
      <c r="D677" s="26">
        <v>38331</v>
      </c>
      <c r="E677" s="27" t="s">
        <v>9</v>
      </c>
      <c r="F677" s="27">
        <v>4</v>
      </c>
      <c r="G677" s="27">
        <v>12</v>
      </c>
      <c r="H677" s="27">
        <v>2004</v>
      </c>
      <c r="I677" s="27" t="s">
        <v>47</v>
      </c>
      <c r="J677" s="25">
        <v>163</v>
      </c>
      <c r="K677" s="25">
        <f>Sales!$B677-Sales!$J677</f>
        <v>-63</v>
      </c>
      <c r="L677" s="28">
        <f>(Sales!$J677-Sales!$B677)/Sales!$J677</f>
        <v>0.38650306748466257</v>
      </c>
      <c r="M677" s="28" t="str">
        <f t="shared" si="10"/>
        <v>+20%</v>
      </c>
      <c r="N677" s="27" t="s">
        <v>45</v>
      </c>
      <c r="O677" s="27" t="s">
        <v>46</v>
      </c>
      <c r="P677" s="27" t="s">
        <v>17</v>
      </c>
      <c r="Q677" s="27" t="s">
        <v>14</v>
      </c>
    </row>
    <row r="678" spans="1:17" x14ac:dyDescent="0.3">
      <c r="A678" s="22">
        <v>25</v>
      </c>
      <c r="B678" s="19">
        <v>100</v>
      </c>
      <c r="C678" s="20">
        <f>Sales!$B678*Sales!$A678</f>
        <v>2500</v>
      </c>
      <c r="D678" s="21">
        <v>38375</v>
      </c>
      <c r="E678" s="22" t="s">
        <v>9</v>
      </c>
      <c r="F678" s="22">
        <v>1</v>
      </c>
      <c r="G678" s="22">
        <v>1</v>
      </c>
      <c r="H678" s="22">
        <v>2005</v>
      </c>
      <c r="I678" s="22" t="s">
        <v>47</v>
      </c>
      <c r="J678" s="20">
        <v>163</v>
      </c>
      <c r="K678" s="20">
        <f>Sales!$B678-Sales!$J678</f>
        <v>-63</v>
      </c>
      <c r="L678" s="23">
        <f>(Sales!$J678-Sales!$B678)/Sales!$J678</f>
        <v>0.38650306748466257</v>
      </c>
      <c r="M678" s="23" t="str">
        <f t="shared" si="10"/>
        <v>+20%</v>
      </c>
      <c r="N678" s="22" t="s">
        <v>64</v>
      </c>
      <c r="O678" s="22" t="s">
        <v>12</v>
      </c>
      <c r="P678" s="22" t="s">
        <v>13</v>
      </c>
      <c r="Q678" s="22" t="s">
        <v>14</v>
      </c>
    </row>
    <row r="679" spans="1:17" x14ac:dyDescent="0.3">
      <c r="A679" s="27">
        <v>25</v>
      </c>
      <c r="B679" s="24">
        <v>88</v>
      </c>
      <c r="C679" s="25">
        <f>Sales!$B679*Sales!$A679</f>
        <v>2200</v>
      </c>
      <c r="D679" s="26">
        <v>38400</v>
      </c>
      <c r="E679" s="27" t="s">
        <v>9</v>
      </c>
      <c r="F679" s="27">
        <v>1</v>
      </c>
      <c r="G679" s="27">
        <v>2</v>
      </c>
      <c r="H679" s="27">
        <v>2005</v>
      </c>
      <c r="I679" s="27" t="s">
        <v>47</v>
      </c>
      <c r="J679" s="25">
        <v>163</v>
      </c>
      <c r="K679" s="25">
        <f>Sales!$B679-Sales!$J679</f>
        <v>-75</v>
      </c>
      <c r="L679" s="28">
        <f>(Sales!$J679-Sales!$B679)/Sales!$J679</f>
        <v>0.46012269938650308</v>
      </c>
      <c r="M679" s="28" t="str">
        <f t="shared" si="10"/>
        <v>+20%</v>
      </c>
      <c r="N679" s="27" t="s">
        <v>64</v>
      </c>
      <c r="O679" s="27" t="s">
        <v>12</v>
      </c>
      <c r="P679" s="27" t="s">
        <v>13</v>
      </c>
      <c r="Q679" s="27" t="s">
        <v>14</v>
      </c>
    </row>
    <row r="680" spans="1:17" x14ac:dyDescent="0.3">
      <c r="A680" s="22">
        <v>41</v>
      </c>
      <c r="B680" s="19">
        <v>100</v>
      </c>
      <c r="C680" s="20">
        <f>Sales!$B680*Sales!$A680</f>
        <v>4100</v>
      </c>
      <c r="D680" s="21">
        <v>38475</v>
      </c>
      <c r="E680" s="22" t="s">
        <v>9</v>
      </c>
      <c r="F680" s="22">
        <v>2</v>
      </c>
      <c r="G680" s="22">
        <v>5</v>
      </c>
      <c r="H680" s="22">
        <v>2005</v>
      </c>
      <c r="I680" s="22" t="s">
        <v>47</v>
      </c>
      <c r="J680" s="20">
        <v>163</v>
      </c>
      <c r="K680" s="20">
        <f>Sales!$B680-Sales!$J680</f>
        <v>-63</v>
      </c>
      <c r="L680" s="23">
        <f>(Sales!$J680-Sales!$B680)/Sales!$J680</f>
        <v>0.38650306748466257</v>
      </c>
      <c r="M680" s="23" t="str">
        <f t="shared" si="10"/>
        <v>+20%</v>
      </c>
      <c r="N680" s="22" t="s">
        <v>45</v>
      </c>
      <c r="O680" s="22" t="s">
        <v>46</v>
      </c>
      <c r="P680" s="22" t="s">
        <v>17</v>
      </c>
      <c r="Q680" s="22" t="s">
        <v>19</v>
      </c>
    </row>
    <row r="681" spans="1:17" x14ac:dyDescent="0.3">
      <c r="A681" s="27">
        <v>28</v>
      </c>
      <c r="B681" s="24">
        <v>100</v>
      </c>
      <c r="C681" s="25">
        <f>Sales!$B681*Sales!$A681</f>
        <v>2800</v>
      </c>
      <c r="D681" s="26">
        <v>38503</v>
      </c>
      <c r="E681" s="27" t="s">
        <v>69</v>
      </c>
      <c r="F681" s="27">
        <v>2</v>
      </c>
      <c r="G681" s="27">
        <v>5</v>
      </c>
      <c r="H681" s="27">
        <v>2005</v>
      </c>
      <c r="I681" s="27" t="s">
        <v>47</v>
      </c>
      <c r="J681" s="25">
        <v>163</v>
      </c>
      <c r="K681" s="25">
        <f>Sales!$B681-Sales!$J681</f>
        <v>-63</v>
      </c>
      <c r="L681" s="28">
        <f>(Sales!$J681-Sales!$B681)/Sales!$J681</f>
        <v>0.38650306748466257</v>
      </c>
      <c r="M681" s="28" t="str">
        <f t="shared" si="10"/>
        <v>+20%</v>
      </c>
      <c r="N681" s="27" t="s">
        <v>31</v>
      </c>
      <c r="O681" s="27" t="s">
        <v>16</v>
      </c>
      <c r="P681" s="27" t="s">
        <v>17</v>
      </c>
      <c r="Q681" s="27" t="s">
        <v>19</v>
      </c>
    </row>
    <row r="682" spans="1:17" x14ac:dyDescent="0.3">
      <c r="A682" s="22">
        <v>50</v>
      </c>
      <c r="B682" s="19">
        <v>67.8</v>
      </c>
      <c r="C682" s="20">
        <f>Sales!$B682*Sales!$A682</f>
        <v>3390</v>
      </c>
      <c r="D682" s="21">
        <v>37627</v>
      </c>
      <c r="E682" s="22" t="s">
        <v>9</v>
      </c>
      <c r="F682" s="22">
        <v>1</v>
      </c>
      <c r="G682" s="22">
        <v>1</v>
      </c>
      <c r="H682" s="22">
        <v>2003</v>
      </c>
      <c r="I682" s="22" t="s">
        <v>112</v>
      </c>
      <c r="J682" s="20">
        <v>60</v>
      </c>
      <c r="K682" s="20">
        <f>Sales!$B682-Sales!$J682</f>
        <v>7.7999999999999972</v>
      </c>
      <c r="L682" s="23">
        <f>(Sales!$J682-Sales!$B682)/Sales!$J682</f>
        <v>-0.12999999999999995</v>
      </c>
      <c r="M682" s="23" t="str">
        <f t="shared" si="10"/>
        <v>Below 0%</v>
      </c>
      <c r="N682" s="22" t="s">
        <v>65</v>
      </c>
      <c r="O682" s="22" t="s">
        <v>12</v>
      </c>
      <c r="P682" s="22" t="s">
        <v>13</v>
      </c>
      <c r="Q682" s="22" t="s">
        <v>19</v>
      </c>
    </row>
    <row r="683" spans="1:17" x14ac:dyDescent="0.3">
      <c r="A683" s="27">
        <v>32</v>
      </c>
      <c r="B683" s="24">
        <v>50.25</v>
      </c>
      <c r="C683" s="25">
        <f>Sales!$B683*Sales!$A683</f>
        <v>1608</v>
      </c>
      <c r="D683" s="26">
        <v>37698</v>
      </c>
      <c r="E683" s="27" t="s">
        <v>9</v>
      </c>
      <c r="F683" s="27">
        <v>1</v>
      </c>
      <c r="G683" s="27">
        <v>3</v>
      </c>
      <c r="H683" s="27">
        <v>2003</v>
      </c>
      <c r="I683" s="27" t="s">
        <v>112</v>
      </c>
      <c r="J683" s="25">
        <v>60</v>
      </c>
      <c r="K683" s="25">
        <f>Sales!$B683-Sales!$J683</f>
        <v>-9.75</v>
      </c>
      <c r="L683" s="28">
        <f>(Sales!$J683-Sales!$B683)/Sales!$J683</f>
        <v>0.16250000000000001</v>
      </c>
      <c r="M683" s="28" t="str">
        <f t="shared" si="10"/>
        <v>15%-20%</v>
      </c>
      <c r="N683" s="27" t="s">
        <v>102</v>
      </c>
      <c r="O683" s="27" t="s">
        <v>43</v>
      </c>
      <c r="P683" s="27" t="s">
        <v>17</v>
      </c>
      <c r="Q683" s="27" t="s">
        <v>14</v>
      </c>
    </row>
    <row r="684" spans="1:17" x14ac:dyDescent="0.3">
      <c r="A684" s="22">
        <v>42</v>
      </c>
      <c r="B684" s="19">
        <v>53.88</v>
      </c>
      <c r="C684" s="20">
        <f>Sales!$B684*Sales!$A684</f>
        <v>2262.96</v>
      </c>
      <c r="D684" s="21">
        <v>37762</v>
      </c>
      <c r="E684" s="22" t="s">
        <v>9</v>
      </c>
      <c r="F684" s="22">
        <v>2</v>
      </c>
      <c r="G684" s="22">
        <v>5</v>
      </c>
      <c r="H684" s="22">
        <v>2003</v>
      </c>
      <c r="I684" s="22" t="s">
        <v>112</v>
      </c>
      <c r="J684" s="20">
        <v>60</v>
      </c>
      <c r="K684" s="20">
        <f>Sales!$B684-Sales!$J684</f>
        <v>-6.1199999999999974</v>
      </c>
      <c r="L684" s="23">
        <f>(Sales!$J684-Sales!$B684)/Sales!$J684</f>
        <v>0.10199999999999995</v>
      </c>
      <c r="M684" s="23" t="s">
        <v>134</v>
      </c>
      <c r="N684" s="22" t="s">
        <v>109</v>
      </c>
      <c r="O684" s="22" t="s">
        <v>12</v>
      </c>
      <c r="P684" s="22" t="s">
        <v>13</v>
      </c>
      <c r="Q684" s="22" t="s">
        <v>14</v>
      </c>
    </row>
    <row r="685" spans="1:17" x14ac:dyDescent="0.3">
      <c r="A685" s="27">
        <v>24</v>
      </c>
      <c r="B685" s="24">
        <v>62.36</v>
      </c>
      <c r="C685" s="25">
        <f>Sales!$B685*Sales!$A685</f>
        <v>1496.6399999999999</v>
      </c>
      <c r="D685" s="26">
        <v>37876</v>
      </c>
      <c r="E685" s="27" t="s">
        <v>9</v>
      </c>
      <c r="F685" s="27">
        <v>3</v>
      </c>
      <c r="G685" s="27">
        <v>9</v>
      </c>
      <c r="H685" s="27">
        <v>2003</v>
      </c>
      <c r="I685" s="27" t="s">
        <v>112</v>
      </c>
      <c r="J685" s="25">
        <v>60</v>
      </c>
      <c r="K685" s="25">
        <f>Sales!$B685-Sales!$J685</f>
        <v>2.3599999999999994</v>
      </c>
      <c r="L685" s="28">
        <f>(Sales!$J685-Sales!$B685)/Sales!$J685</f>
        <v>-3.9333333333333324E-2</v>
      </c>
      <c r="M685" s="28" t="str">
        <f t="shared" si="10"/>
        <v>Below 0%</v>
      </c>
      <c r="N685" s="27" t="s">
        <v>107</v>
      </c>
      <c r="O685" s="27" t="s">
        <v>12</v>
      </c>
      <c r="P685" s="27" t="s">
        <v>13</v>
      </c>
      <c r="Q685" s="27" t="s">
        <v>14</v>
      </c>
    </row>
    <row r="686" spans="1:17" x14ac:dyDescent="0.3">
      <c r="A686" s="22">
        <v>27</v>
      </c>
      <c r="B686" s="19">
        <v>69.62</v>
      </c>
      <c r="C686" s="20">
        <f>Sales!$B686*Sales!$A686</f>
        <v>1879.7400000000002</v>
      </c>
      <c r="D686" s="21">
        <v>37912</v>
      </c>
      <c r="E686" s="22" t="s">
        <v>9</v>
      </c>
      <c r="F686" s="22">
        <v>4</v>
      </c>
      <c r="G686" s="22">
        <v>10</v>
      </c>
      <c r="H686" s="22">
        <v>2003</v>
      </c>
      <c r="I686" s="22" t="s">
        <v>112</v>
      </c>
      <c r="J686" s="20">
        <v>60</v>
      </c>
      <c r="K686" s="20">
        <f>Sales!$B686-Sales!$J686</f>
        <v>9.6200000000000045</v>
      </c>
      <c r="L686" s="23">
        <f>(Sales!$J686-Sales!$B686)/Sales!$J686</f>
        <v>-0.16033333333333341</v>
      </c>
      <c r="M686" s="23" t="str">
        <f t="shared" si="10"/>
        <v>Below 0%</v>
      </c>
      <c r="N686" s="22" t="s">
        <v>21</v>
      </c>
      <c r="O686" s="22" t="s">
        <v>12</v>
      </c>
      <c r="P686" s="22" t="s">
        <v>13</v>
      </c>
      <c r="Q686" s="22" t="s">
        <v>14</v>
      </c>
    </row>
    <row r="687" spans="1:17" x14ac:dyDescent="0.3">
      <c r="A687" s="27">
        <v>26</v>
      </c>
      <c r="B687" s="24">
        <v>57.51</v>
      </c>
      <c r="C687" s="25">
        <f>Sales!$B687*Sales!$A687</f>
        <v>1495.26</v>
      </c>
      <c r="D687" s="26">
        <v>37930</v>
      </c>
      <c r="E687" s="27" t="s">
        <v>9</v>
      </c>
      <c r="F687" s="27">
        <v>4</v>
      </c>
      <c r="G687" s="27">
        <v>11</v>
      </c>
      <c r="H687" s="27">
        <v>2003</v>
      </c>
      <c r="I687" s="27" t="s">
        <v>112</v>
      </c>
      <c r="J687" s="25">
        <v>60</v>
      </c>
      <c r="K687" s="25">
        <f>Sales!$B687-Sales!$J687</f>
        <v>-2.490000000000002</v>
      </c>
      <c r="L687" s="28">
        <f>(Sales!$J687-Sales!$B687)/Sales!$J687</f>
        <v>4.150000000000003E-2</v>
      </c>
      <c r="M687" s="28" t="str">
        <f t="shared" si="10"/>
        <v>0%-5%</v>
      </c>
      <c r="N687" s="27" t="s">
        <v>113</v>
      </c>
      <c r="O687" s="27" t="s">
        <v>61</v>
      </c>
      <c r="P687" s="27" t="s">
        <v>17</v>
      </c>
      <c r="Q687" s="27" t="s">
        <v>14</v>
      </c>
    </row>
    <row r="688" spans="1:17" x14ac:dyDescent="0.3">
      <c r="A688" s="22">
        <v>38</v>
      </c>
      <c r="B688" s="19">
        <v>61.15</v>
      </c>
      <c r="C688" s="20">
        <f>Sales!$B688*Sales!$A688</f>
        <v>2323.6999999999998</v>
      </c>
      <c r="D688" s="21">
        <v>37937</v>
      </c>
      <c r="E688" s="22" t="s">
        <v>9</v>
      </c>
      <c r="F688" s="22">
        <v>4</v>
      </c>
      <c r="G688" s="22">
        <v>11</v>
      </c>
      <c r="H688" s="22">
        <v>2003</v>
      </c>
      <c r="I688" s="22" t="s">
        <v>112</v>
      </c>
      <c r="J688" s="20">
        <v>60</v>
      </c>
      <c r="K688" s="20">
        <f>Sales!$B688-Sales!$J688</f>
        <v>1.1499999999999986</v>
      </c>
      <c r="L688" s="23">
        <f>(Sales!$J688-Sales!$B688)/Sales!$J688</f>
        <v>-1.9166666666666644E-2</v>
      </c>
      <c r="M688" s="23" t="str">
        <f t="shared" si="10"/>
        <v>Below 0%</v>
      </c>
      <c r="N688" s="22" t="s">
        <v>64</v>
      </c>
      <c r="O688" s="22" t="s">
        <v>12</v>
      </c>
      <c r="P688" s="22" t="s">
        <v>13</v>
      </c>
      <c r="Q688" s="22" t="s">
        <v>14</v>
      </c>
    </row>
    <row r="689" spans="1:17" x14ac:dyDescent="0.3">
      <c r="A689" s="27">
        <v>42</v>
      </c>
      <c r="B689" s="24">
        <v>59.33</v>
      </c>
      <c r="C689" s="25">
        <f>Sales!$B689*Sales!$A689</f>
        <v>2491.86</v>
      </c>
      <c r="D689" s="26">
        <v>37946</v>
      </c>
      <c r="E689" s="27" t="s">
        <v>9</v>
      </c>
      <c r="F689" s="27">
        <v>4</v>
      </c>
      <c r="G689" s="27">
        <v>11</v>
      </c>
      <c r="H689" s="27">
        <v>2003</v>
      </c>
      <c r="I689" s="27" t="s">
        <v>112</v>
      </c>
      <c r="J689" s="25">
        <v>60</v>
      </c>
      <c r="K689" s="25">
        <f>Sales!$B689-Sales!$J689</f>
        <v>-0.67000000000000171</v>
      </c>
      <c r="L689" s="28">
        <f>(Sales!$J689-Sales!$B689)/Sales!$J689</f>
        <v>1.1166666666666695E-2</v>
      </c>
      <c r="M689" s="28" t="str">
        <f t="shared" si="10"/>
        <v>0%-5%</v>
      </c>
      <c r="N689" s="27" t="s">
        <v>114</v>
      </c>
      <c r="O689" s="27" t="s">
        <v>27</v>
      </c>
      <c r="P689" s="27" t="s">
        <v>28</v>
      </c>
      <c r="Q689" s="27" t="s">
        <v>14</v>
      </c>
    </row>
    <row r="690" spans="1:17" x14ac:dyDescent="0.3">
      <c r="A690" s="22">
        <v>23</v>
      </c>
      <c r="B690" s="19">
        <v>71.44</v>
      </c>
      <c r="C690" s="20">
        <f>Sales!$B690*Sales!$A690</f>
        <v>1643.12</v>
      </c>
      <c r="D690" s="21">
        <v>37957</v>
      </c>
      <c r="E690" s="22" t="s">
        <v>9</v>
      </c>
      <c r="F690" s="22">
        <v>4</v>
      </c>
      <c r="G690" s="22">
        <v>12</v>
      </c>
      <c r="H690" s="22">
        <v>2003</v>
      </c>
      <c r="I690" s="22" t="s">
        <v>112</v>
      </c>
      <c r="J690" s="20">
        <v>60</v>
      </c>
      <c r="K690" s="20">
        <f>Sales!$B690-Sales!$J690</f>
        <v>11.439999999999998</v>
      </c>
      <c r="L690" s="23">
        <f>(Sales!$J690-Sales!$B690)/Sales!$J690</f>
        <v>-0.19066666666666662</v>
      </c>
      <c r="M690" s="23" t="str">
        <f t="shared" si="10"/>
        <v>Below 0%</v>
      </c>
      <c r="N690" s="22" t="s">
        <v>11</v>
      </c>
      <c r="O690" s="22" t="s">
        <v>12</v>
      </c>
      <c r="P690" s="22" t="s">
        <v>13</v>
      </c>
      <c r="Q690" s="22" t="s">
        <v>14</v>
      </c>
    </row>
    <row r="691" spans="1:17" x14ac:dyDescent="0.3">
      <c r="A691" s="27">
        <v>21</v>
      </c>
      <c r="B691" s="24">
        <v>62.96</v>
      </c>
      <c r="C691" s="25">
        <f>Sales!$B691*Sales!$A691</f>
        <v>1322.16</v>
      </c>
      <c r="D691" s="26">
        <v>38012</v>
      </c>
      <c r="E691" s="27" t="s">
        <v>9</v>
      </c>
      <c r="F691" s="27">
        <v>1</v>
      </c>
      <c r="G691" s="27">
        <v>1</v>
      </c>
      <c r="H691" s="27">
        <v>2004</v>
      </c>
      <c r="I691" s="27" t="s">
        <v>112</v>
      </c>
      <c r="J691" s="25">
        <v>60</v>
      </c>
      <c r="K691" s="25">
        <f>Sales!$B691-Sales!$J691</f>
        <v>2.9600000000000009</v>
      </c>
      <c r="L691" s="28">
        <f>(Sales!$J691-Sales!$B691)/Sales!$J691</f>
        <v>-4.9333333333333347E-2</v>
      </c>
      <c r="M691" s="28" t="str">
        <f t="shared" si="10"/>
        <v>Below 0%</v>
      </c>
      <c r="N691" s="27" t="s">
        <v>45</v>
      </c>
      <c r="O691" s="27" t="s">
        <v>46</v>
      </c>
      <c r="P691" s="27" t="s">
        <v>17</v>
      </c>
      <c r="Q691" s="27" t="s">
        <v>14</v>
      </c>
    </row>
    <row r="692" spans="1:17" x14ac:dyDescent="0.3">
      <c r="A692" s="22">
        <v>28</v>
      </c>
      <c r="B692" s="19">
        <v>50.85</v>
      </c>
      <c r="C692" s="20">
        <f>Sales!$B692*Sales!$A692</f>
        <v>1423.8</v>
      </c>
      <c r="D692" s="21">
        <v>38048</v>
      </c>
      <c r="E692" s="22" t="s">
        <v>9</v>
      </c>
      <c r="F692" s="22">
        <v>1</v>
      </c>
      <c r="G692" s="22">
        <v>3</v>
      </c>
      <c r="H692" s="22">
        <v>2004</v>
      </c>
      <c r="I692" s="22" t="s">
        <v>112</v>
      </c>
      <c r="J692" s="20">
        <v>60</v>
      </c>
      <c r="K692" s="20">
        <f>Sales!$B692-Sales!$J692</f>
        <v>-9.1499999999999986</v>
      </c>
      <c r="L692" s="23">
        <f>(Sales!$J692-Sales!$B692)/Sales!$J692</f>
        <v>0.15249999999999997</v>
      </c>
      <c r="M692" s="23" t="s">
        <v>132</v>
      </c>
      <c r="N692" s="22" t="s">
        <v>54</v>
      </c>
      <c r="O692" s="22" t="s">
        <v>16</v>
      </c>
      <c r="P692" s="22" t="s">
        <v>17</v>
      </c>
      <c r="Q692" s="22" t="s">
        <v>14</v>
      </c>
    </row>
    <row r="693" spans="1:17" x14ac:dyDescent="0.3">
      <c r="A693" s="27">
        <v>33</v>
      </c>
      <c r="B693" s="24">
        <v>72.650000000000006</v>
      </c>
      <c r="C693" s="25">
        <f>Sales!$B693*Sales!$A693</f>
        <v>2397.4500000000003</v>
      </c>
      <c r="D693" s="26">
        <v>38090</v>
      </c>
      <c r="E693" s="27" t="s">
        <v>9</v>
      </c>
      <c r="F693" s="27">
        <v>2</v>
      </c>
      <c r="G693" s="27">
        <v>4</v>
      </c>
      <c r="H693" s="27">
        <v>2004</v>
      </c>
      <c r="I693" s="27" t="s">
        <v>112</v>
      </c>
      <c r="J693" s="25">
        <v>60</v>
      </c>
      <c r="K693" s="25">
        <f>Sales!$B693-Sales!$J693</f>
        <v>12.650000000000006</v>
      </c>
      <c r="L693" s="28">
        <f>(Sales!$J693-Sales!$B693)/Sales!$J693</f>
        <v>-0.21083333333333343</v>
      </c>
      <c r="M693" s="28" t="str">
        <f t="shared" si="10"/>
        <v>Below 0%</v>
      </c>
      <c r="N693" s="27" t="s">
        <v>108</v>
      </c>
      <c r="O693" s="27" t="s">
        <v>16</v>
      </c>
      <c r="P693" s="27" t="s">
        <v>17</v>
      </c>
      <c r="Q693" s="27" t="s">
        <v>14</v>
      </c>
    </row>
    <row r="694" spans="1:17" x14ac:dyDescent="0.3">
      <c r="A694" s="22">
        <v>25</v>
      </c>
      <c r="B694" s="19">
        <v>62.96</v>
      </c>
      <c r="C694" s="20">
        <f>Sales!$B694*Sales!$A694</f>
        <v>1574</v>
      </c>
      <c r="D694" s="21">
        <v>38216</v>
      </c>
      <c r="E694" s="22" t="s">
        <v>9</v>
      </c>
      <c r="F694" s="22">
        <v>3</v>
      </c>
      <c r="G694" s="22">
        <v>8</v>
      </c>
      <c r="H694" s="22">
        <v>2004</v>
      </c>
      <c r="I694" s="22" t="s">
        <v>112</v>
      </c>
      <c r="J694" s="20">
        <v>60</v>
      </c>
      <c r="K694" s="20">
        <f>Sales!$B694-Sales!$J694</f>
        <v>2.9600000000000009</v>
      </c>
      <c r="L694" s="23">
        <f>(Sales!$J694-Sales!$B694)/Sales!$J694</f>
        <v>-4.9333333333333347E-2</v>
      </c>
      <c r="M694" s="23" t="str">
        <f t="shared" si="10"/>
        <v>Below 0%</v>
      </c>
      <c r="N694" s="22" t="s">
        <v>60</v>
      </c>
      <c r="O694" s="22" t="s">
        <v>61</v>
      </c>
      <c r="P694" s="22" t="s">
        <v>17</v>
      </c>
      <c r="Q694" s="22" t="s">
        <v>14</v>
      </c>
    </row>
    <row r="695" spans="1:17" x14ac:dyDescent="0.3">
      <c r="A695" s="27">
        <v>28</v>
      </c>
      <c r="B695" s="24">
        <v>61.75</v>
      </c>
      <c r="C695" s="25">
        <f>Sales!$B695*Sales!$A695</f>
        <v>1729</v>
      </c>
      <c r="D695" s="26">
        <v>38231</v>
      </c>
      <c r="E695" s="27" t="s">
        <v>9</v>
      </c>
      <c r="F695" s="27">
        <v>3</v>
      </c>
      <c r="G695" s="27">
        <v>9</v>
      </c>
      <c r="H695" s="27">
        <v>2004</v>
      </c>
      <c r="I695" s="27" t="s">
        <v>112</v>
      </c>
      <c r="J695" s="25">
        <v>60</v>
      </c>
      <c r="K695" s="25">
        <f>Sales!$B695-Sales!$J695</f>
        <v>1.75</v>
      </c>
      <c r="L695" s="28">
        <f>(Sales!$J695-Sales!$B695)/Sales!$J695</f>
        <v>-2.9166666666666667E-2</v>
      </c>
      <c r="M695" s="28" t="str">
        <f t="shared" si="10"/>
        <v>Below 0%</v>
      </c>
      <c r="N695" s="27" t="s">
        <v>50</v>
      </c>
      <c r="O695" s="27" t="s">
        <v>50</v>
      </c>
      <c r="P695" s="27" t="s">
        <v>28</v>
      </c>
      <c r="Q695" s="27" t="s">
        <v>14</v>
      </c>
    </row>
    <row r="696" spans="1:17" x14ac:dyDescent="0.3">
      <c r="A696" s="22">
        <v>46</v>
      </c>
      <c r="B696" s="19">
        <v>49.04</v>
      </c>
      <c r="C696" s="20">
        <f>Sales!$B696*Sales!$A696</f>
        <v>2255.84</v>
      </c>
      <c r="D696" s="21">
        <v>38266</v>
      </c>
      <c r="E696" s="22" t="s">
        <v>9</v>
      </c>
      <c r="F696" s="22">
        <v>4</v>
      </c>
      <c r="G696" s="22">
        <v>10</v>
      </c>
      <c r="H696" s="22">
        <v>2004</v>
      </c>
      <c r="I696" s="22" t="s">
        <v>112</v>
      </c>
      <c r="J696" s="20">
        <v>60</v>
      </c>
      <c r="K696" s="20">
        <f>Sales!$B696-Sales!$J696</f>
        <v>-10.96</v>
      </c>
      <c r="L696" s="23">
        <f>(Sales!$J696-Sales!$B696)/Sales!$J696</f>
        <v>0.18266666666666667</v>
      </c>
      <c r="M696" s="23" t="str">
        <f t="shared" si="10"/>
        <v>15%-20%</v>
      </c>
      <c r="N696" s="22" t="s">
        <v>106</v>
      </c>
      <c r="O696" s="22" t="s">
        <v>46</v>
      </c>
      <c r="P696" s="22" t="s">
        <v>17</v>
      </c>
      <c r="Q696" s="22" t="s">
        <v>14</v>
      </c>
    </row>
    <row r="697" spans="1:17" x14ac:dyDescent="0.3">
      <c r="A697" s="27">
        <v>30</v>
      </c>
      <c r="B697" s="24">
        <v>61.15</v>
      </c>
      <c r="C697" s="25">
        <f>Sales!$B697*Sales!$A697</f>
        <v>1834.5</v>
      </c>
      <c r="D697" s="26">
        <v>38281</v>
      </c>
      <c r="E697" s="27" t="s">
        <v>9</v>
      </c>
      <c r="F697" s="27">
        <v>4</v>
      </c>
      <c r="G697" s="27">
        <v>10</v>
      </c>
      <c r="H697" s="27">
        <v>2004</v>
      </c>
      <c r="I697" s="27" t="s">
        <v>112</v>
      </c>
      <c r="J697" s="25">
        <v>60</v>
      </c>
      <c r="K697" s="25">
        <f>Sales!$B697-Sales!$J697</f>
        <v>1.1499999999999986</v>
      </c>
      <c r="L697" s="28">
        <f>(Sales!$J697-Sales!$B697)/Sales!$J697</f>
        <v>-1.9166666666666644E-2</v>
      </c>
      <c r="M697" s="28" t="str">
        <f t="shared" si="10"/>
        <v>Below 0%</v>
      </c>
      <c r="N697" s="27" t="s">
        <v>64</v>
      </c>
      <c r="O697" s="27" t="s">
        <v>12</v>
      </c>
      <c r="P697" s="27" t="s">
        <v>13</v>
      </c>
      <c r="Q697" s="27" t="s">
        <v>14</v>
      </c>
    </row>
    <row r="698" spans="1:17" x14ac:dyDescent="0.3">
      <c r="A698" s="22">
        <v>38</v>
      </c>
      <c r="B698" s="19">
        <v>84.25</v>
      </c>
      <c r="C698" s="20">
        <f>Sales!$B698*Sales!$A698</f>
        <v>3201.5</v>
      </c>
      <c r="D698" s="21">
        <v>38308</v>
      </c>
      <c r="E698" s="22" t="s">
        <v>9</v>
      </c>
      <c r="F698" s="22">
        <v>4</v>
      </c>
      <c r="G698" s="22">
        <v>11</v>
      </c>
      <c r="H698" s="22">
        <v>2004</v>
      </c>
      <c r="I698" s="22" t="s">
        <v>112</v>
      </c>
      <c r="J698" s="20">
        <v>60</v>
      </c>
      <c r="K698" s="20">
        <f>Sales!$B698-Sales!$J698</f>
        <v>24.25</v>
      </c>
      <c r="L698" s="23">
        <f>(Sales!$J698-Sales!$B698)/Sales!$J698</f>
        <v>-0.40416666666666667</v>
      </c>
      <c r="M698" s="23" t="str">
        <f t="shared" si="10"/>
        <v>Below 0%</v>
      </c>
      <c r="N698" s="22" t="s">
        <v>102</v>
      </c>
      <c r="O698" s="22" t="s">
        <v>43</v>
      </c>
      <c r="P698" s="22" t="s">
        <v>17</v>
      </c>
      <c r="Q698" s="22" t="s">
        <v>19</v>
      </c>
    </row>
    <row r="699" spans="1:17" x14ac:dyDescent="0.3">
      <c r="A699" s="27">
        <v>40</v>
      </c>
      <c r="B699" s="24">
        <v>56.91</v>
      </c>
      <c r="C699" s="25">
        <f>Sales!$B699*Sales!$A699</f>
        <v>2276.3999999999996</v>
      </c>
      <c r="D699" s="26">
        <v>38316</v>
      </c>
      <c r="E699" s="27" t="s">
        <v>9</v>
      </c>
      <c r="F699" s="27">
        <v>4</v>
      </c>
      <c r="G699" s="27">
        <v>11</v>
      </c>
      <c r="H699" s="27">
        <v>2004</v>
      </c>
      <c r="I699" s="27" t="s">
        <v>112</v>
      </c>
      <c r="J699" s="25">
        <v>60</v>
      </c>
      <c r="K699" s="25">
        <f>Sales!$B699-Sales!$J699</f>
        <v>-3.0900000000000034</v>
      </c>
      <c r="L699" s="28">
        <f>(Sales!$J699-Sales!$B699)/Sales!$J699</f>
        <v>5.150000000000006E-2</v>
      </c>
      <c r="M699" s="28" t="s">
        <v>131</v>
      </c>
      <c r="N699" s="27" t="s">
        <v>92</v>
      </c>
      <c r="O699" s="27" t="s">
        <v>16</v>
      </c>
      <c r="P699" s="27" t="s">
        <v>17</v>
      </c>
      <c r="Q699" s="27" t="s">
        <v>14</v>
      </c>
    </row>
    <row r="700" spans="1:17" x14ac:dyDescent="0.3">
      <c r="A700" s="22">
        <v>45</v>
      </c>
      <c r="B700" s="19">
        <v>100</v>
      </c>
      <c r="C700" s="20">
        <f>Sales!$B700*Sales!$A700</f>
        <v>4500</v>
      </c>
      <c r="D700" s="21">
        <v>38364</v>
      </c>
      <c r="E700" s="22" t="s">
        <v>88</v>
      </c>
      <c r="F700" s="22">
        <v>1</v>
      </c>
      <c r="G700" s="22">
        <v>1</v>
      </c>
      <c r="H700" s="22">
        <v>2005</v>
      </c>
      <c r="I700" s="22" t="s">
        <v>112</v>
      </c>
      <c r="J700" s="20">
        <v>60</v>
      </c>
      <c r="K700" s="20">
        <f>Sales!$B700-Sales!$J700</f>
        <v>40</v>
      </c>
      <c r="L700" s="23">
        <f>(Sales!$J700-Sales!$B700)/Sales!$J700</f>
        <v>-0.66666666666666663</v>
      </c>
      <c r="M700" s="23" t="str">
        <f t="shared" si="10"/>
        <v>Below 0%</v>
      </c>
      <c r="N700" s="22" t="s">
        <v>20</v>
      </c>
      <c r="O700" s="22" t="s">
        <v>12</v>
      </c>
      <c r="P700" s="22" t="s">
        <v>13</v>
      </c>
      <c r="Q700" s="22" t="s">
        <v>39</v>
      </c>
    </row>
    <row r="701" spans="1:17" x14ac:dyDescent="0.3">
      <c r="A701" s="27">
        <v>27</v>
      </c>
      <c r="B701" s="24">
        <v>49.3</v>
      </c>
      <c r="C701" s="25">
        <f>Sales!$B701*Sales!$A701</f>
        <v>1331.1</v>
      </c>
      <c r="D701" s="26">
        <v>38393</v>
      </c>
      <c r="E701" s="27" t="s">
        <v>9</v>
      </c>
      <c r="F701" s="27">
        <v>1</v>
      </c>
      <c r="G701" s="27">
        <v>2</v>
      </c>
      <c r="H701" s="27">
        <v>2005</v>
      </c>
      <c r="I701" s="27" t="s">
        <v>112</v>
      </c>
      <c r="J701" s="25">
        <v>60</v>
      </c>
      <c r="K701" s="25">
        <f>Sales!$B701-Sales!$J701</f>
        <v>-10.700000000000003</v>
      </c>
      <c r="L701" s="28">
        <f>(Sales!$J701-Sales!$B701)/Sales!$J701</f>
        <v>0.17833333333333337</v>
      </c>
      <c r="M701" s="28" t="str">
        <f t="shared" si="10"/>
        <v>15%-20%</v>
      </c>
      <c r="N701" s="27" t="s">
        <v>45</v>
      </c>
      <c r="O701" s="27" t="s">
        <v>46</v>
      </c>
      <c r="P701" s="27" t="s">
        <v>17</v>
      </c>
      <c r="Q701" s="27" t="s">
        <v>14</v>
      </c>
    </row>
    <row r="702" spans="1:17" x14ac:dyDescent="0.3">
      <c r="A702" s="22">
        <v>42</v>
      </c>
      <c r="B702" s="19">
        <v>72.650000000000006</v>
      </c>
      <c r="C702" s="20">
        <f>Sales!$B702*Sales!$A702</f>
        <v>3051.3</v>
      </c>
      <c r="D702" s="21">
        <v>38464</v>
      </c>
      <c r="E702" s="22" t="s">
        <v>87</v>
      </c>
      <c r="F702" s="22">
        <v>2</v>
      </c>
      <c r="G702" s="22">
        <v>4</v>
      </c>
      <c r="H702" s="22">
        <v>2005</v>
      </c>
      <c r="I702" s="22" t="s">
        <v>112</v>
      </c>
      <c r="J702" s="20">
        <v>60</v>
      </c>
      <c r="K702" s="20">
        <f>Sales!$B702-Sales!$J702</f>
        <v>12.650000000000006</v>
      </c>
      <c r="L702" s="23">
        <f>(Sales!$J702-Sales!$B702)/Sales!$J702</f>
        <v>-0.21083333333333343</v>
      </c>
      <c r="M702" s="23" t="str">
        <f t="shared" si="10"/>
        <v>Below 0%</v>
      </c>
      <c r="N702" s="22" t="s">
        <v>86</v>
      </c>
      <c r="O702" s="22" t="s">
        <v>12</v>
      </c>
      <c r="P702" s="22" t="s">
        <v>13</v>
      </c>
      <c r="Q702" s="22" t="s">
        <v>19</v>
      </c>
    </row>
    <row r="703" spans="1:17" x14ac:dyDescent="0.3">
      <c r="A703" s="27">
        <v>36</v>
      </c>
      <c r="B703" s="24">
        <v>63.57</v>
      </c>
      <c r="C703" s="25">
        <f>Sales!$B703*Sales!$A703</f>
        <v>2288.52</v>
      </c>
      <c r="D703" s="26">
        <v>38501</v>
      </c>
      <c r="E703" s="27" t="s">
        <v>69</v>
      </c>
      <c r="F703" s="27">
        <v>2</v>
      </c>
      <c r="G703" s="27">
        <v>5</v>
      </c>
      <c r="H703" s="27">
        <v>2005</v>
      </c>
      <c r="I703" s="27" t="s">
        <v>112</v>
      </c>
      <c r="J703" s="25">
        <v>60</v>
      </c>
      <c r="K703" s="25">
        <f>Sales!$B703-Sales!$J703</f>
        <v>3.5700000000000003</v>
      </c>
      <c r="L703" s="28">
        <f>(Sales!$J703-Sales!$B703)/Sales!$J703</f>
        <v>-5.9500000000000004E-2</v>
      </c>
      <c r="M703" s="28" t="str">
        <f t="shared" si="10"/>
        <v>Below 0%</v>
      </c>
      <c r="N703" s="27" t="s">
        <v>40</v>
      </c>
      <c r="O703" s="27" t="s">
        <v>27</v>
      </c>
      <c r="P703" s="27" t="s">
        <v>28</v>
      </c>
      <c r="Q703" s="27" t="s">
        <v>14</v>
      </c>
    </row>
    <row r="704" spans="1:17" x14ac:dyDescent="0.3">
      <c r="A704" s="22">
        <v>29</v>
      </c>
      <c r="B704" s="19">
        <v>100</v>
      </c>
      <c r="C704" s="20">
        <f>Sales!$B704*Sales!$A704</f>
        <v>2900</v>
      </c>
      <c r="D704" s="21">
        <v>37652</v>
      </c>
      <c r="E704" s="22" t="s">
        <v>9</v>
      </c>
      <c r="F704" s="22">
        <v>1</v>
      </c>
      <c r="G704" s="22">
        <v>1</v>
      </c>
      <c r="H704" s="22">
        <v>2003</v>
      </c>
      <c r="I704" s="22" t="s">
        <v>104</v>
      </c>
      <c r="J704" s="20">
        <v>122</v>
      </c>
      <c r="K704" s="20">
        <f>Sales!$B704-Sales!$J704</f>
        <v>-22</v>
      </c>
      <c r="L704" s="23">
        <f>(Sales!$J704-Sales!$B704)/Sales!$J704</f>
        <v>0.18032786885245902</v>
      </c>
      <c r="M704" s="23" t="str">
        <f t="shared" si="10"/>
        <v>15%-20%</v>
      </c>
      <c r="N704" s="22" t="s">
        <v>45</v>
      </c>
      <c r="O704" s="22" t="s">
        <v>46</v>
      </c>
      <c r="P704" s="22" t="s">
        <v>17</v>
      </c>
      <c r="Q704" s="22" t="s">
        <v>19</v>
      </c>
    </row>
    <row r="705" spans="1:17" x14ac:dyDescent="0.3">
      <c r="A705" s="27">
        <v>39</v>
      </c>
      <c r="B705" s="24">
        <v>100</v>
      </c>
      <c r="C705" s="25">
        <f>Sales!$B705*Sales!$A705</f>
        <v>3900</v>
      </c>
      <c r="D705" s="26">
        <v>37712</v>
      </c>
      <c r="E705" s="27" t="s">
        <v>9</v>
      </c>
      <c r="F705" s="27">
        <v>2</v>
      </c>
      <c r="G705" s="27">
        <v>4</v>
      </c>
      <c r="H705" s="27">
        <v>2003</v>
      </c>
      <c r="I705" s="27" t="s">
        <v>104</v>
      </c>
      <c r="J705" s="25">
        <v>122</v>
      </c>
      <c r="K705" s="25">
        <f>Sales!$B705-Sales!$J705</f>
        <v>-22</v>
      </c>
      <c r="L705" s="28">
        <f>(Sales!$J705-Sales!$B705)/Sales!$J705</f>
        <v>0.18032786885245902</v>
      </c>
      <c r="M705" s="28" t="str">
        <f t="shared" si="10"/>
        <v>15%-20%</v>
      </c>
      <c r="N705" s="27" t="s">
        <v>18</v>
      </c>
      <c r="O705" s="27" t="s">
        <v>16</v>
      </c>
      <c r="P705" s="27" t="s">
        <v>17</v>
      </c>
      <c r="Q705" s="27" t="s">
        <v>19</v>
      </c>
    </row>
    <row r="706" spans="1:17" x14ac:dyDescent="0.3">
      <c r="A706" s="22">
        <v>45</v>
      </c>
      <c r="B706" s="19">
        <v>100</v>
      </c>
      <c r="C706" s="20">
        <f>Sales!$B706*Sales!$A706</f>
        <v>4500</v>
      </c>
      <c r="D706" s="21">
        <v>37775</v>
      </c>
      <c r="E706" s="22" t="s">
        <v>9</v>
      </c>
      <c r="F706" s="22">
        <v>2</v>
      </c>
      <c r="G706" s="22">
        <v>6</v>
      </c>
      <c r="H706" s="22">
        <v>2003</v>
      </c>
      <c r="I706" s="22" t="s">
        <v>104</v>
      </c>
      <c r="J706" s="20">
        <v>122</v>
      </c>
      <c r="K706" s="20">
        <f>Sales!$B706-Sales!$J706</f>
        <v>-22</v>
      </c>
      <c r="L706" s="23">
        <f>(Sales!$J706-Sales!$B706)/Sales!$J706</f>
        <v>0.18032786885245902</v>
      </c>
      <c r="M706" s="23" t="str">
        <f t="shared" si="10"/>
        <v>15%-20%</v>
      </c>
      <c r="N706" s="22" t="s">
        <v>11</v>
      </c>
      <c r="O706" s="22" t="s">
        <v>12</v>
      </c>
      <c r="P706" s="22" t="s">
        <v>13</v>
      </c>
      <c r="Q706" s="22" t="s">
        <v>19</v>
      </c>
    </row>
    <row r="707" spans="1:17" x14ac:dyDescent="0.3">
      <c r="A707" s="27">
        <v>47</v>
      </c>
      <c r="B707" s="24">
        <v>100</v>
      </c>
      <c r="C707" s="25">
        <f>Sales!$B707*Sales!$A707</f>
        <v>4700</v>
      </c>
      <c r="D707" s="26">
        <v>37834</v>
      </c>
      <c r="E707" s="27" t="s">
        <v>9</v>
      </c>
      <c r="F707" s="27">
        <v>3</v>
      </c>
      <c r="G707" s="27">
        <v>8</v>
      </c>
      <c r="H707" s="27">
        <v>2003</v>
      </c>
      <c r="I707" s="27" t="s">
        <v>104</v>
      </c>
      <c r="J707" s="25">
        <v>122</v>
      </c>
      <c r="K707" s="25">
        <f>Sales!$B707-Sales!$J707</f>
        <v>-22</v>
      </c>
      <c r="L707" s="28">
        <f>(Sales!$J707-Sales!$B707)/Sales!$J707</f>
        <v>0.18032786885245902</v>
      </c>
      <c r="M707" s="28" t="str">
        <f t="shared" ref="M707:M770" si="11">IF(L707&lt;0%,"Below 0%",IF(L707=0%,"0%",IF(AND(L707&lt;=5%,L707&gt;0%),"0%-5%",IF(AND(L707&lt;=10%,L707&gt;5%),"5%-10%",IF(AND(L707&lt;=15%,L707&gt;10%),"10%-15%",IF(AND(L707&lt;=20%,L707&gt;15%),"15%-20%","+20%"))))))</f>
        <v>15%-20%</v>
      </c>
      <c r="N707" s="27" t="s">
        <v>99</v>
      </c>
      <c r="O707" s="27" t="s">
        <v>34</v>
      </c>
      <c r="P707" s="27" t="s">
        <v>17</v>
      </c>
      <c r="Q707" s="27" t="s">
        <v>19</v>
      </c>
    </row>
    <row r="708" spans="1:17" x14ac:dyDescent="0.3">
      <c r="A708" s="22">
        <v>49</v>
      </c>
      <c r="B708" s="19">
        <v>100</v>
      </c>
      <c r="C708" s="20">
        <f>Sales!$B708*Sales!$A708</f>
        <v>4900</v>
      </c>
      <c r="D708" s="21">
        <v>37885</v>
      </c>
      <c r="E708" s="22" t="s">
        <v>9</v>
      </c>
      <c r="F708" s="22">
        <v>3</v>
      </c>
      <c r="G708" s="22">
        <v>9</v>
      </c>
      <c r="H708" s="22">
        <v>2003</v>
      </c>
      <c r="I708" s="22" t="s">
        <v>104</v>
      </c>
      <c r="J708" s="20">
        <v>122</v>
      </c>
      <c r="K708" s="20">
        <f>Sales!$B708-Sales!$J708</f>
        <v>-22</v>
      </c>
      <c r="L708" s="23">
        <f>(Sales!$J708-Sales!$B708)/Sales!$J708</f>
        <v>0.18032786885245902</v>
      </c>
      <c r="M708" s="23" t="str">
        <f t="shared" si="11"/>
        <v>15%-20%</v>
      </c>
      <c r="N708" s="22" t="s">
        <v>85</v>
      </c>
      <c r="O708" s="22" t="s">
        <v>34</v>
      </c>
      <c r="P708" s="22" t="s">
        <v>17</v>
      </c>
      <c r="Q708" s="22" t="s">
        <v>19</v>
      </c>
    </row>
    <row r="709" spans="1:17" x14ac:dyDescent="0.3">
      <c r="A709" s="27">
        <v>46</v>
      </c>
      <c r="B709" s="24">
        <v>100</v>
      </c>
      <c r="C709" s="25">
        <f>Sales!$B709*Sales!$A709</f>
        <v>4600</v>
      </c>
      <c r="D709" s="26">
        <v>37916</v>
      </c>
      <c r="E709" s="27" t="s">
        <v>9</v>
      </c>
      <c r="F709" s="27">
        <v>4</v>
      </c>
      <c r="G709" s="27">
        <v>10</v>
      </c>
      <c r="H709" s="27">
        <v>2003</v>
      </c>
      <c r="I709" s="27" t="s">
        <v>104</v>
      </c>
      <c r="J709" s="25">
        <v>122</v>
      </c>
      <c r="K709" s="25">
        <f>Sales!$B709-Sales!$J709</f>
        <v>-22</v>
      </c>
      <c r="L709" s="28">
        <f>(Sales!$J709-Sales!$B709)/Sales!$J709</f>
        <v>0.18032786885245902</v>
      </c>
      <c r="M709" s="28" t="str">
        <f t="shared" si="11"/>
        <v>15%-20%</v>
      </c>
      <c r="N709" s="27" t="s">
        <v>50</v>
      </c>
      <c r="O709" s="27" t="s">
        <v>50</v>
      </c>
      <c r="P709" s="27" t="s">
        <v>28</v>
      </c>
      <c r="Q709" s="27" t="s">
        <v>19</v>
      </c>
    </row>
    <row r="710" spans="1:17" x14ac:dyDescent="0.3">
      <c r="A710" s="22">
        <v>48</v>
      </c>
      <c r="B710" s="19">
        <v>100</v>
      </c>
      <c r="C710" s="20">
        <f>Sales!$B710*Sales!$A710</f>
        <v>4800</v>
      </c>
      <c r="D710" s="21">
        <v>37931</v>
      </c>
      <c r="E710" s="22" t="s">
        <v>9</v>
      </c>
      <c r="F710" s="22">
        <v>4</v>
      </c>
      <c r="G710" s="22">
        <v>11</v>
      </c>
      <c r="H710" s="22">
        <v>2003</v>
      </c>
      <c r="I710" s="22" t="s">
        <v>104</v>
      </c>
      <c r="J710" s="20">
        <v>122</v>
      </c>
      <c r="K710" s="20">
        <f>Sales!$B710-Sales!$J710</f>
        <v>-22</v>
      </c>
      <c r="L710" s="23">
        <f>(Sales!$J710-Sales!$B710)/Sales!$J710</f>
        <v>0.18032786885245902</v>
      </c>
      <c r="M710" s="23" t="str">
        <f t="shared" si="11"/>
        <v>15%-20%</v>
      </c>
      <c r="N710" s="22" t="s">
        <v>74</v>
      </c>
      <c r="O710" s="22" t="s">
        <v>43</v>
      </c>
      <c r="P710" s="22" t="s">
        <v>17</v>
      </c>
      <c r="Q710" s="22" t="s">
        <v>19</v>
      </c>
    </row>
    <row r="711" spans="1:17" x14ac:dyDescent="0.3">
      <c r="A711" s="27">
        <v>46</v>
      </c>
      <c r="B711" s="24">
        <v>100</v>
      </c>
      <c r="C711" s="25">
        <f>Sales!$B711*Sales!$A711</f>
        <v>4600</v>
      </c>
      <c r="D711" s="26">
        <v>37939</v>
      </c>
      <c r="E711" s="27" t="s">
        <v>9</v>
      </c>
      <c r="F711" s="27">
        <v>4</v>
      </c>
      <c r="G711" s="27">
        <v>11</v>
      </c>
      <c r="H711" s="27">
        <v>2003</v>
      </c>
      <c r="I711" s="27" t="s">
        <v>104</v>
      </c>
      <c r="J711" s="25">
        <v>122</v>
      </c>
      <c r="K711" s="25">
        <f>Sales!$B711-Sales!$J711</f>
        <v>-22</v>
      </c>
      <c r="L711" s="28">
        <f>(Sales!$J711-Sales!$B711)/Sales!$J711</f>
        <v>0.18032786885245902</v>
      </c>
      <c r="M711" s="28" t="str">
        <f t="shared" si="11"/>
        <v>15%-20%</v>
      </c>
      <c r="N711" s="27" t="s">
        <v>106</v>
      </c>
      <c r="O711" s="27" t="s">
        <v>46</v>
      </c>
      <c r="P711" s="27" t="s">
        <v>17</v>
      </c>
      <c r="Q711" s="27" t="s">
        <v>19</v>
      </c>
    </row>
    <row r="712" spans="1:17" x14ac:dyDescent="0.3">
      <c r="A712" s="22">
        <v>35</v>
      </c>
      <c r="B712" s="19">
        <v>100</v>
      </c>
      <c r="C712" s="20">
        <f>Sales!$B712*Sales!$A712</f>
        <v>3500</v>
      </c>
      <c r="D712" s="21">
        <v>37950</v>
      </c>
      <c r="E712" s="22" t="s">
        <v>9</v>
      </c>
      <c r="F712" s="22">
        <v>4</v>
      </c>
      <c r="G712" s="22">
        <v>11</v>
      </c>
      <c r="H712" s="22">
        <v>2003</v>
      </c>
      <c r="I712" s="22" t="s">
        <v>104</v>
      </c>
      <c r="J712" s="20">
        <v>122</v>
      </c>
      <c r="K712" s="20">
        <f>Sales!$B712-Sales!$J712</f>
        <v>-22</v>
      </c>
      <c r="L712" s="23">
        <f>(Sales!$J712-Sales!$B712)/Sales!$J712</f>
        <v>0.18032786885245902</v>
      </c>
      <c r="M712" s="23" t="str">
        <f t="shared" si="11"/>
        <v>15%-20%</v>
      </c>
      <c r="N712" s="22" t="s">
        <v>71</v>
      </c>
      <c r="O712" s="22" t="s">
        <v>12</v>
      </c>
      <c r="P712" s="22" t="s">
        <v>13</v>
      </c>
      <c r="Q712" s="22" t="s">
        <v>19</v>
      </c>
    </row>
    <row r="713" spans="1:17" x14ac:dyDescent="0.3">
      <c r="A713" s="27">
        <v>43</v>
      </c>
      <c r="B713" s="24">
        <v>100</v>
      </c>
      <c r="C713" s="25">
        <f>Sales!$B713*Sales!$A713</f>
        <v>4300</v>
      </c>
      <c r="D713" s="26">
        <v>37964</v>
      </c>
      <c r="E713" s="27" t="s">
        <v>9</v>
      </c>
      <c r="F713" s="27">
        <v>4</v>
      </c>
      <c r="G713" s="27">
        <v>12</v>
      </c>
      <c r="H713" s="27">
        <v>2003</v>
      </c>
      <c r="I713" s="27" t="s">
        <v>104</v>
      </c>
      <c r="J713" s="25">
        <v>122</v>
      </c>
      <c r="K713" s="25">
        <f>Sales!$B713-Sales!$J713</f>
        <v>-22</v>
      </c>
      <c r="L713" s="28">
        <f>(Sales!$J713-Sales!$B713)/Sales!$J713</f>
        <v>0.18032786885245902</v>
      </c>
      <c r="M713" s="28" t="str">
        <f t="shared" si="11"/>
        <v>15%-20%</v>
      </c>
      <c r="N713" s="27" t="s">
        <v>83</v>
      </c>
      <c r="O713" s="27" t="s">
        <v>12</v>
      </c>
      <c r="P713" s="27" t="s">
        <v>13</v>
      </c>
      <c r="Q713" s="27" t="s">
        <v>19</v>
      </c>
    </row>
    <row r="714" spans="1:17" x14ac:dyDescent="0.3">
      <c r="A714" s="22">
        <v>26</v>
      </c>
      <c r="B714" s="19">
        <v>100</v>
      </c>
      <c r="C714" s="20">
        <f>Sales!$B714*Sales!$A714</f>
        <v>2600</v>
      </c>
      <c r="D714" s="21">
        <v>38057</v>
      </c>
      <c r="E714" s="22" t="s">
        <v>9</v>
      </c>
      <c r="F714" s="22">
        <v>1</v>
      </c>
      <c r="G714" s="22">
        <v>3</v>
      </c>
      <c r="H714" s="22">
        <v>2004</v>
      </c>
      <c r="I714" s="22" t="s">
        <v>104</v>
      </c>
      <c r="J714" s="20">
        <v>122</v>
      </c>
      <c r="K714" s="20">
        <f>Sales!$B714-Sales!$J714</f>
        <v>-22</v>
      </c>
      <c r="L714" s="23">
        <f>(Sales!$J714-Sales!$B714)/Sales!$J714</f>
        <v>0.18032786885245902</v>
      </c>
      <c r="M714" s="23" t="str">
        <f t="shared" si="11"/>
        <v>15%-20%</v>
      </c>
      <c r="N714" s="22" t="s">
        <v>64</v>
      </c>
      <c r="O714" s="22" t="s">
        <v>12</v>
      </c>
      <c r="P714" s="22" t="s">
        <v>13</v>
      </c>
      <c r="Q714" s="22" t="s">
        <v>19</v>
      </c>
    </row>
    <row r="715" spans="1:17" x14ac:dyDescent="0.3">
      <c r="A715" s="27">
        <v>22</v>
      </c>
      <c r="B715" s="24">
        <v>98.18</v>
      </c>
      <c r="C715" s="25">
        <f>Sales!$B715*Sales!$A715</f>
        <v>2159.96</v>
      </c>
      <c r="D715" s="26">
        <v>38112</v>
      </c>
      <c r="E715" s="27" t="s">
        <v>9</v>
      </c>
      <c r="F715" s="27">
        <v>2</v>
      </c>
      <c r="G715" s="27">
        <v>5</v>
      </c>
      <c r="H715" s="27">
        <v>2004</v>
      </c>
      <c r="I715" s="27" t="s">
        <v>104</v>
      </c>
      <c r="J715" s="25">
        <v>122</v>
      </c>
      <c r="K715" s="25">
        <f>Sales!$B715-Sales!$J715</f>
        <v>-23.819999999999993</v>
      </c>
      <c r="L715" s="28">
        <f>(Sales!$J715-Sales!$B715)/Sales!$J715</f>
        <v>0.19524590163934422</v>
      </c>
      <c r="M715" s="28" t="str">
        <f t="shared" si="11"/>
        <v>15%-20%</v>
      </c>
      <c r="N715" s="27" t="s">
        <v>45</v>
      </c>
      <c r="O715" s="27" t="s">
        <v>46</v>
      </c>
      <c r="P715" s="27" t="s">
        <v>17</v>
      </c>
      <c r="Q715" s="27" t="s">
        <v>14</v>
      </c>
    </row>
    <row r="716" spans="1:17" x14ac:dyDescent="0.3">
      <c r="A716" s="22">
        <v>34</v>
      </c>
      <c r="B716" s="19">
        <v>99.41</v>
      </c>
      <c r="C716" s="20">
        <f>Sales!$B716*Sales!$A716</f>
        <v>3379.94</v>
      </c>
      <c r="D716" s="21">
        <v>38153</v>
      </c>
      <c r="E716" s="22" t="s">
        <v>9</v>
      </c>
      <c r="F716" s="22">
        <v>2</v>
      </c>
      <c r="G716" s="22">
        <v>6</v>
      </c>
      <c r="H716" s="22">
        <v>2004</v>
      </c>
      <c r="I716" s="22" t="s">
        <v>104</v>
      </c>
      <c r="J716" s="20">
        <v>122</v>
      </c>
      <c r="K716" s="20">
        <f>Sales!$B716-Sales!$J716</f>
        <v>-22.590000000000003</v>
      </c>
      <c r="L716" s="23">
        <f>(Sales!$J716-Sales!$B716)/Sales!$J716</f>
        <v>0.18516393442622953</v>
      </c>
      <c r="M716" s="23" t="str">
        <f t="shared" si="11"/>
        <v>15%-20%</v>
      </c>
      <c r="N716" s="22" t="s">
        <v>50</v>
      </c>
      <c r="O716" s="22" t="s">
        <v>50</v>
      </c>
      <c r="P716" s="22" t="s">
        <v>28</v>
      </c>
      <c r="Q716" s="22" t="s">
        <v>19</v>
      </c>
    </row>
    <row r="717" spans="1:17" x14ac:dyDescent="0.3">
      <c r="A717" s="27">
        <v>50</v>
      </c>
      <c r="B717" s="24">
        <v>100</v>
      </c>
      <c r="C717" s="25">
        <f>Sales!$B717*Sales!$A717</f>
        <v>5000</v>
      </c>
      <c r="D717" s="26">
        <v>38188</v>
      </c>
      <c r="E717" s="27" t="s">
        <v>9</v>
      </c>
      <c r="F717" s="27">
        <v>3</v>
      </c>
      <c r="G717" s="27">
        <v>7</v>
      </c>
      <c r="H717" s="27">
        <v>2004</v>
      </c>
      <c r="I717" s="27" t="s">
        <v>104</v>
      </c>
      <c r="J717" s="25">
        <v>122</v>
      </c>
      <c r="K717" s="25">
        <f>Sales!$B717-Sales!$J717</f>
        <v>-22</v>
      </c>
      <c r="L717" s="28">
        <f>(Sales!$J717-Sales!$B717)/Sales!$J717</f>
        <v>0.18032786885245902</v>
      </c>
      <c r="M717" s="28" t="str">
        <f t="shared" si="11"/>
        <v>15%-20%</v>
      </c>
      <c r="N717" s="27" t="s">
        <v>64</v>
      </c>
      <c r="O717" s="27" t="s">
        <v>12</v>
      </c>
      <c r="P717" s="27" t="s">
        <v>13</v>
      </c>
      <c r="Q717" s="27" t="s">
        <v>19</v>
      </c>
    </row>
    <row r="718" spans="1:17" x14ac:dyDescent="0.3">
      <c r="A718" s="22">
        <v>48</v>
      </c>
      <c r="B718" s="19">
        <v>100</v>
      </c>
      <c r="C718" s="20">
        <f>Sales!$B718*Sales!$A718</f>
        <v>4800</v>
      </c>
      <c r="D718" s="21">
        <v>38218</v>
      </c>
      <c r="E718" s="22" t="s">
        <v>9</v>
      </c>
      <c r="F718" s="22">
        <v>3</v>
      </c>
      <c r="G718" s="22">
        <v>8</v>
      </c>
      <c r="H718" s="22">
        <v>2004</v>
      </c>
      <c r="I718" s="22" t="s">
        <v>104</v>
      </c>
      <c r="J718" s="20">
        <v>122</v>
      </c>
      <c r="K718" s="20">
        <f>Sales!$B718-Sales!$J718</f>
        <v>-22</v>
      </c>
      <c r="L718" s="23">
        <f>(Sales!$J718-Sales!$B718)/Sales!$J718</f>
        <v>0.18032786885245902</v>
      </c>
      <c r="M718" s="23" t="str">
        <f t="shared" si="11"/>
        <v>15%-20%</v>
      </c>
      <c r="N718" s="22" t="s">
        <v>36</v>
      </c>
      <c r="O718" s="22" t="s">
        <v>12</v>
      </c>
      <c r="P718" s="22" t="s">
        <v>13</v>
      </c>
      <c r="Q718" s="22" t="s">
        <v>19</v>
      </c>
    </row>
    <row r="719" spans="1:17" x14ac:dyDescent="0.3">
      <c r="A719" s="27">
        <v>41</v>
      </c>
      <c r="B719" s="24">
        <v>100</v>
      </c>
      <c r="C719" s="25">
        <f>Sales!$B719*Sales!$A719</f>
        <v>4100</v>
      </c>
      <c r="D719" s="26">
        <v>38238</v>
      </c>
      <c r="E719" s="27" t="s">
        <v>9</v>
      </c>
      <c r="F719" s="27">
        <v>3</v>
      </c>
      <c r="G719" s="27">
        <v>9</v>
      </c>
      <c r="H719" s="27">
        <v>2004</v>
      </c>
      <c r="I719" s="27" t="s">
        <v>104</v>
      </c>
      <c r="J719" s="25">
        <v>122</v>
      </c>
      <c r="K719" s="25">
        <f>Sales!$B719-Sales!$J719</f>
        <v>-22</v>
      </c>
      <c r="L719" s="28">
        <f>(Sales!$J719-Sales!$B719)/Sales!$J719</f>
        <v>0.18032786885245902</v>
      </c>
      <c r="M719" s="28" t="str">
        <f t="shared" si="11"/>
        <v>15%-20%</v>
      </c>
      <c r="N719" s="27" t="s">
        <v>11</v>
      </c>
      <c r="O719" s="27" t="s">
        <v>12</v>
      </c>
      <c r="P719" s="27" t="s">
        <v>13</v>
      </c>
      <c r="Q719" s="27" t="s">
        <v>19</v>
      </c>
    </row>
    <row r="720" spans="1:17" x14ac:dyDescent="0.3">
      <c r="A720" s="22">
        <v>36</v>
      </c>
      <c r="B720" s="19">
        <v>100</v>
      </c>
      <c r="C720" s="20">
        <f>Sales!$B720*Sales!$A720</f>
        <v>3600</v>
      </c>
      <c r="D720" s="21">
        <v>38273</v>
      </c>
      <c r="E720" s="22" t="s">
        <v>9</v>
      </c>
      <c r="F720" s="22">
        <v>4</v>
      </c>
      <c r="G720" s="22">
        <v>10</v>
      </c>
      <c r="H720" s="22">
        <v>2004</v>
      </c>
      <c r="I720" s="22" t="s">
        <v>104</v>
      </c>
      <c r="J720" s="20">
        <v>122</v>
      </c>
      <c r="K720" s="20">
        <f>Sales!$B720-Sales!$J720</f>
        <v>-22</v>
      </c>
      <c r="L720" s="23">
        <f>(Sales!$J720-Sales!$B720)/Sales!$J720</f>
        <v>0.18032786885245902</v>
      </c>
      <c r="M720" s="23" t="str">
        <f t="shared" si="11"/>
        <v>15%-20%</v>
      </c>
      <c r="N720" s="22" t="s">
        <v>32</v>
      </c>
      <c r="O720" s="22" t="s">
        <v>12</v>
      </c>
      <c r="P720" s="22" t="s">
        <v>13</v>
      </c>
      <c r="Q720" s="22" t="s">
        <v>19</v>
      </c>
    </row>
    <row r="721" spans="1:17" x14ac:dyDescent="0.3">
      <c r="A721" s="27">
        <v>29</v>
      </c>
      <c r="B721" s="24">
        <v>100</v>
      </c>
      <c r="C721" s="25">
        <f>Sales!$B721*Sales!$A721</f>
        <v>2900</v>
      </c>
      <c r="D721" s="26">
        <v>38282</v>
      </c>
      <c r="E721" s="27" t="s">
        <v>9</v>
      </c>
      <c r="F721" s="27">
        <v>4</v>
      </c>
      <c r="G721" s="27">
        <v>10</v>
      </c>
      <c r="H721" s="27">
        <v>2004</v>
      </c>
      <c r="I721" s="27" t="s">
        <v>104</v>
      </c>
      <c r="J721" s="25">
        <v>122</v>
      </c>
      <c r="K721" s="25">
        <f>Sales!$B721-Sales!$J721</f>
        <v>-22</v>
      </c>
      <c r="L721" s="28">
        <f>(Sales!$J721-Sales!$B721)/Sales!$J721</f>
        <v>0.18032786885245902</v>
      </c>
      <c r="M721" s="28" t="str">
        <f t="shared" si="11"/>
        <v>15%-20%</v>
      </c>
      <c r="N721" s="27" t="s">
        <v>55</v>
      </c>
      <c r="O721" s="27" t="s">
        <v>56</v>
      </c>
      <c r="P721" s="27" t="s">
        <v>13</v>
      </c>
      <c r="Q721" s="27" t="s">
        <v>19</v>
      </c>
    </row>
    <row r="722" spans="1:17" x14ac:dyDescent="0.3">
      <c r="A722" s="22">
        <v>33</v>
      </c>
      <c r="B722" s="19">
        <v>37.479999999999997</v>
      </c>
      <c r="C722" s="20">
        <f>Sales!$B722*Sales!$A722</f>
        <v>1236.8399999999999</v>
      </c>
      <c r="D722" s="21">
        <v>38296</v>
      </c>
      <c r="E722" s="22" t="s">
        <v>9</v>
      </c>
      <c r="F722" s="22">
        <v>4</v>
      </c>
      <c r="G722" s="22">
        <v>11</v>
      </c>
      <c r="H722" s="22">
        <v>2004</v>
      </c>
      <c r="I722" s="22" t="s">
        <v>104</v>
      </c>
      <c r="J722" s="20">
        <v>122</v>
      </c>
      <c r="K722" s="20">
        <f>Sales!$B722-Sales!$J722</f>
        <v>-84.52000000000001</v>
      </c>
      <c r="L722" s="23">
        <f>(Sales!$J722-Sales!$B722)/Sales!$J722</f>
        <v>0.69278688524590171</v>
      </c>
      <c r="M722" s="23" t="str">
        <f t="shared" si="11"/>
        <v>+20%</v>
      </c>
      <c r="N722" s="22" t="s">
        <v>11</v>
      </c>
      <c r="O722" s="22" t="s">
        <v>12</v>
      </c>
      <c r="P722" s="22" t="s">
        <v>13</v>
      </c>
      <c r="Q722" s="22" t="s">
        <v>14</v>
      </c>
    </row>
    <row r="723" spans="1:17" x14ac:dyDescent="0.3">
      <c r="A723" s="27">
        <v>46</v>
      </c>
      <c r="B723" s="24">
        <v>100</v>
      </c>
      <c r="C723" s="25">
        <f>Sales!$B723*Sales!$A723</f>
        <v>4600</v>
      </c>
      <c r="D723" s="26">
        <v>38310</v>
      </c>
      <c r="E723" s="27" t="s">
        <v>87</v>
      </c>
      <c r="F723" s="27">
        <v>4</v>
      </c>
      <c r="G723" s="27">
        <v>11</v>
      </c>
      <c r="H723" s="27">
        <v>2004</v>
      </c>
      <c r="I723" s="27" t="s">
        <v>104</v>
      </c>
      <c r="J723" s="25">
        <v>122</v>
      </c>
      <c r="K723" s="25">
        <f>Sales!$B723-Sales!$J723</f>
        <v>-22</v>
      </c>
      <c r="L723" s="28">
        <f>(Sales!$J723-Sales!$B723)/Sales!$J723</f>
        <v>0.18032786885245902</v>
      </c>
      <c r="M723" s="28" t="str">
        <f t="shared" si="11"/>
        <v>15%-20%</v>
      </c>
      <c r="N723" s="27" t="s">
        <v>48</v>
      </c>
      <c r="O723" s="27" t="s">
        <v>49</v>
      </c>
      <c r="P723" s="27" t="s">
        <v>17</v>
      </c>
      <c r="Q723" s="27" t="s">
        <v>19</v>
      </c>
    </row>
    <row r="724" spans="1:17" x14ac:dyDescent="0.3">
      <c r="A724" s="22">
        <v>38</v>
      </c>
      <c r="B724" s="19">
        <v>100</v>
      </c>
      <c r="C724" s="20">
        <f>Sales!$B724*Sales!$A724</f>
        <v>3800</v>
      </c>
      <c r="D724" s="21">
        <v>38322</v>
      </c>
      <c r="E724" s="22" t="s">
        <v>9</v>
      </c>
      <c r="F724" s="22">
        <v>4</v>
      </c>
      <c r="G724" s="22">
        <v>12</v>
      </c>
      <c r="H724" s="22">
        <v>2004</v>
      </c>
      <c r="I724" s="22" t="s">
        <v>104</v>
      </c>
      <c r="J724" s="20">
        <v>122</v>
      </c>
      <c r="K724" s="20">
        <f>Sales!$B724-Sales!$J724</f>
        <v>-22</v>
      </c>
      <c r="L724" s="23">
        <f>(Sales!$J724-Sales!$B724)/Sales!$J724</f>
        <v>0.18032786885245902</v>
      </c>
      <c r="M724" s="23" t="str">
        <f t="shared" si="11"/>
        <v>15%-20%</v>
      </c>
      <c r="N724" s="22" t="s">
        <v>11</v>
      </c>
      <c r="O724" s="22" t="s">
        <v>12</v>
      </c>
      <c r="P724" s="22" t="s">
        <v>13</v>
      </c>
      <c r="Q724" s="22" t="s">
        <v>19</v>
      </c>
    </row>
    <row r="725" spans="1:17" x14ac:dyDescent="0.3">
      <c r="A725" s="27">
        <v>20</v>
      </c>
      <c r="B725" s="24">
        <v>36.42</v>
      </c>
      <c r="C725" s="25">
        <f>Sales!$B725*Sales!$A725</f>
        <v>728.40000000000009</v>
      </c>
      <c r="D725" s="26">
        <v>38331</v>
      </c>
      <c r="E725" s="27" t="s">
        <v>9</v>
      </c>
      <c r="F725" s="27">
        <v>4</v>
      </c>
      <c r="G725" s="27">
        <v>12</v>
      </c>
      <c r="H725" s="27">
        <v>2004</v>
      </c>
      <c r="I725" s="27" t="s">
        <v>104</v>
      </c>
      <c r="J725" s="25">
        <v>122</v>
      </c>
      <c r="K725" s="25">
        <f>Sales!$B725-Sales!$J725</f>
        <v>-85.58</v>
      </c>
      <c r="L725" s="28">
        <f>(Sales!$J725-Sales!$B725)/Sales!$J725</f>
        <v>0.7014754098360656</v>
      </c>
      <c r="M725" s="28" t="str">
        <f t="shared" si="11"/>
        <v>+20%</v>
      </c>
      <c r="N725" s="27" t="s">
        <v>45</v>
      </c>
      <c r="O725" s="27" t="s">
        <v>46</v>
      </c>
      <c r="P725" s="27" t="s">
        <v>17</v>
      </c>
      <c r="Q725" s="27" t="s">
        <v>14</v>
      </c>
    </row>
    <row r="726" spans="1:17" x14ac:dyDescent="0.3">
      <c r="A726" s="22">
        <v>22</v>
      </c>
      <c r="B726" s="19">
        <v>100</v>
      </c>
      <c r="C726" s="20">
        <f>Sales!$B726*Sales!$A726</f>
        <v>2200</v>
      </c>
      <c r="D726" s="21">
        <v>38372</v>
      </c>
      <c r="E726" s="22" t="s">
        <v>9</v>
      </c>
      <c r="F726" s="22">
        <v>1</v>
      </c>
      <c r="G726" s="22">
        <v>1</v>
      </c>
      <c r="H726" s="22">
        <v>2005</v>
      </c>
      <c r="I726" s="22" t="s">
        <v>104</v>
      </c>
      <c r="J726" s="20">
        <v>122</v>
      </c>
      <c r="K726" s="20">
        <f>Sales!$B726-Sales!$J726</f>
        <v>-22</v>
      </c>
      <c r="L726" s="23">
        <f>(Sales!$J726-Sales!$B726)/Sales!$J726</f>
        <v>0.18032786885245902</v>
      </c>
      <c r="M726" s="23" t="str">
        <f t="shared" si="11"/>
        <v>15%-20%</v>
      </c>
      <c r="N726" s="22" t="s">
        <v>67</v>
      </c>
      <c r="O726" s="22" t="s">
        <v>27</v>
      </c>
      <c r="P726" s="22" t="s">
        <v>28</v>
      </c>
      <c r="Q726" s="22" t="s">
        <v>19</v>
      </c>
    </row>
    <row r="727" spans="1:17" x14ac:dyDescent="0.3">
      <c r="A727" s="27">
        <v>27</v>
      </c>
      <c r="B727" s="24">
        <v>100</v>
      </c>
      <c r="C727" s="25">
        <f>Sales!$B727*Sales!$A727</f>
        <v>2700</v>
      </c>
      <c r="D727" s="26">
        <v>38405</v>
      </c>
      <c r="E727" s="27" t="s">
        <v>9</v>
      </c>
      <c r="F727" s="27">
        <v>1</v>
      </c>
      <c r="G727" s="27">
        <v>2</v>
      </c>
      <c r="H727" s="27">
        <v>2005</v>
      </c>
      <c r="I727" s="27" t="s">
        <v>104</v>
      </c>
      <c r="J727" s="25">
        <v>122</v>
      </c>
      <c r="K727" s="25">
        <f>Sales!$B727-Sales!$J727</f>
        <v>-22</v>
      </c>
      <c r="L727" s="28">
        <f>(Sales!$J727-Sales!$B727)/Sales!$J727</f>
        <v>0.18032786885245902</v>
      </c>
      <c r="M727" s="28" t="str">
        <f t="shared" si="11"/>
        <v>15%-20%</v>
      </c>
      <c r="N727" s="27" t="s">
        <v>45</v>
      </c>
      <c r="O727" s="27" t="s">
        <v>46</v>
      </c>
      <c r="P727" s="27" t="s">
        <v>17</v>
      </c>
      <c r="Q727" s="27" t="s">
        <v>19</v>
      </c>
    </row>
    <row r="728" spans="1:17" x14ac:dyDescent="0.3">
      <c r="A728" s="22">
        <v>56</v>
      </c>
      <c r="B728" s="19">
        <v>98.18</v>
      </c>
      <c r="C728" s="20">
        <f>Sales!$B728*Sales!$A728</f>
        <v>5498.08</v>
      </c>
      <c r="D728" s="21">
        <v>38475</v>
      </c>
      <c r="E728" s="22" t="s">
        <v>9</v>
      </c>
      <c r="F728" s="22">
        <v>2</v>
      </c>
      <c r="G728" s="22">
        <v>5</v>
      </c>
      <c r="H728" s="22">
        <v>2005</v>
      </c>
      <c r="I728" s="22" t="s">
        <v>104</v>
      </c>
      <c r="J728" s="20">
        <v>122</v>
      </c>
      <c r="K728" s="20">
        <f>Sales!$B728-Sales!$J728</f>
        <v>-23.819999999999993</v>
      </c>
      <c r="L728" s="23">
        <f>(Sales!$J728-Sales!$B728)/Sales!$J728</f>
        <v>0.19524590163934422</v>
      </c>
      <c r="M728" s="23" t="str">
        <f t="shared" si="11"/>
        <v>15%-20%</v>
      </c>
      <c r="N728" s="22" t="s">
        <v>45</v>
      </c>
      <c r="O728" s="22" t="s">
        <v>46</v>
      </c>
      <c r="P728" s="22" t="s">
        <v>17</v>
      </c>
      <c r="Q728" s="22" t="s">
        <v>19</v>
      </c>
    </row>
    <row r="729" spans="1:17" x14ac:dyDescent="0.3">
      <c r="A729" s="27">
        <v>38</v>
      </c>
      <c r="B729" s="24">
        <v>99.41</v>
      </c>
      <c r="C729" s="25">
        <f>Sales!$B729*Sales!$A729</f>
        <v>3777.58</v>
      </c>
      <c r="D729" s="26">
        <v>38503</v>
      </c>
      <c r="E729" s="27" t="s">
        <v>69</v>
      </c>
      <c r="F729" s="27">
        <v>2</v>
      </c>
      <c r="G729" s="27">
        <v>5</v>
      </c>
      <c r="H729" s="27">
        <v>2005</v>
      </c>
      <c r="I729" s="27" t="s">
        <v>104</v>
      </c>
      <c r="J729" s="25">
        <v>122</v>
      </c>
      <c r="K729" s="25">
        <f>Sales!$B729-Sales!$J729</f>
        <v>-22.590000000000003</v>
      </c>
      <c r="L729" s="28">
        <f>(Sales!$J729-Sales!$B729)/Sales!$J729</f>
        <v>0.18516393442622953</v>
      </c>
      <c r="M729" s="28" t="str">
        <f t="shared" si="11"/>
        <v>15%-20%</v>
      </c>
      <c r="N729" s="27" t="s">
        <v>31</v>
      </c>
      <c r="O729" s="27" t="s">
        <v>16</v>
      </c>
      <c r="P729" s="27" t="s">
        <v>17</v>
      </c>
      <c r="Q729" s="27" t="s">
        <v>19</v>
      </c>
    </row>
    <row r="730" spans="1:17" x14ac:dyDescent="0.3">
      <c r="A730" s="22">
        <v>25</v>
      </c>
      <c r="B730" s="19">
        <v>100</v>
      </c>
      <c r="C730" s="20">
        <f>Sales!$B730*Sales!$A730</f>
        <v>2500</v>
      </c>
      <c r="D730" s="21">
        <v>37630</v>
      </c>
      <c r="E730" s="22" t="s">
        <v>9</v>
      </c>
      <c r="F730" s="22">
        <v>1</v>
      </c>
      <c r="G730" s="22">
        <v>1</v>
      </c>
      <c r="H730" s="22">
        <v>2003</v>
      </c>
      <c r="I730" s="22" t="s">
        <v>112</v>
      </c>
      <c r="J730" s="20">
        <v>127</v>
      </c>
      <c r="K730" s="20">
        <f>Sales!$B730-Sales!$J730</f>
        <v>-27</v>
      </c>
      <c r="L730" s="23">
        <f>(Sales!$J730-Sales!$B730)/Sales!$J730</f>
        <v>0.2125984251968504</v>
      </c>
      <c r="M730" s="23" t="str">
        <f t="shared" si="11"/>
        <v>+20%</v>
      </c>
      <c r="N730" s="22" t="s">
        <v>98</v>
      </c>
      <c r="O730" s="22" t="s">
        <v>94</v>
      </c>
      <c r="P730" s="22" t="s">
        <v>17</v>
      </c>
      <c r="Q730" s="22" t="s">
        <v>19</v>
      </c>
    </row>
    <row r="731" spans="1:17" x14ac:dyDescent="0.3">
      <c r="A731" s="27">
        <v>33</v>
      </c>
      <c r="B731" s="24">
        <v>100</v>
      </c>
      <c r="C731" s="25">
        <f>Sales!$B731*Sales!$A731</f>
        <v>3300</v>
      </c>
      <c r="D731" s="26">
        <v>37698</v>
      </c>
      <c r="E731" s="27" t="s">
        <v>9</v>
      </c>
      <c r="F731" s="27">
        <v>1</v>
      </c>
      <c r="G731" s="27">
        <v>3</v>
      </c>
      <c r="H731" s="27">
        <v>2003</v>
      </c>
      <c r="I731" s="27" t="s">
        <v>112</v>
      </c>
      <c r="J731" s="25">
        <v>127</v>
      </c>
      <c r="K731" s="25">
        <f>Sales!$B731-Sales!$J731</f>
        <v>-27</v>
      </c>
      <c r="L731" s="28">
        <f>(Sales!$J731-Sales!$B731)/Sales!$J731</f>
        <v>0.2125984251968504</v>
      </c>
      <c r="M731" s="28" t="str">
        <f t="shared" si="11"/>
        <v>+20%</v>
      </c>
      <c r="N731" s="27" t="s">
        <v>102</v>
      </c>
      <c r="O731" s="27" t="s">
        <v>43</v>
      </c>
      <c r="P731" s="27" t="s">
        <v>17</v>
      </c>
      <c r="Q731" s="27" t="s">
        <v>19</v>
      </c>
    </row>
    <row r="732" spans="1:17" x14ac:dyDescent="0.3">
      <c r="A732" s="22">
        <v>42</v>
      </c>
      <c r="B732" s="19">
        <v>100</v>
      </c>
      <c r="C732" s="20">
        <f>Sales!$B732*Sales!$A732</f>
        <v>4200</v>
      </c>
      <c r="D732" s="21">
        <v>37762</v>
      </c>
      <c r="E732" s="22" t="s">
        <v>9</v>
      </c>
      <c r="F732" s="22">
        <v>2</v>
      </c>
      <c r="G732" s="22">
        <v>5</v>
      </c>
      <c r="H732" s="22">
        <v>2003</v>
      </c>
      <c r="I732" s="22" t="s">
        <v>112</v>
      </c>
      <c r="J732" s="20">
        <v>127</v>
      </c>
      <c r="K732" s="20">
        <f>Sales!$B732-Sales!$J732</f>
        <v>-27</v>
      </c>
      <c r="L732" s="23">
        <f>(Sales!$J732-Sales!$B732)/Sales!$J732</f>
        <v>0.2125984251968504</v>
      </c>
      <c r="M732" s="23" t="str">
        <f t="shared" si="11"/>
        <v>+20%</v>
      </c>
      <c r="N732" s="22" t="s">
        <v>109</v>
      </c>
      <c r="O732" s="22" t="s">
        <v>12</v>
      </c>
      <c r="P732" s="22" t="s">
        <v>13</v>
      </c>
      <c r="Q732" s="22" t="s">
        <v>19</v>
      </c>
    </row>
    <row r="733" spans="1:17" x14ac:dyDescent="0.3">
      <c r="A733" s="27">
        <v>33</v>
      </c>
      <c r="B733" s="24">
        <v>100</v>
      </c>
      <c r="C733" s="25">
        <f>Sales!$B733*Sales!$A733</f>
        <v>3300</v>
      </c>
      <c r="D733" s="26">
        <v>37876</v>
      </c>
      <c r="E733" s="27" t="s">
        <v>9</v>
      </c>
      <c r="F733" s="27">
        <v>3</v>
      </c>
      <c r="G733" s="27">
        <v>9</v>
      </c>
      <c r="H733" s="27">
        <v>2003</v>
      </c>
      <c r="I733" s="27" t="s">
        <v>112</v>
      </c>
      <c r="J733" s="25">
        <v>127</v>
      </c>
      <c r="K733" s="25">
        <f>Sales!$B733-Sales!$J733</f>
        <v>-27</v>
      </c>
      <c r="L733" s="28">
        <f>(Sales!$J733-Sales!$B733)/Sales!$J733</f>
        <v>0.2125984251968504</v>
      </c>
      <c r="M733" s="28" t="str">
        <f t="shared" si="11"/>
        <v>+20%</v>
      </c>
      <c r="N733" s="27" t="s">
        <v>107</v>
      </c>
      <c r="O733" s="27" t="s">
        <v>12</v>
      </c>
      <c r="P733" s="27" t="s">
        <v>13</v>
      </c>
      <c r="Q733" s="27" t="s">
        <v>19</v>
      </c>
    </row>
    <row r="734" spans="1:17" x14ac:dyDescent="0.3">
      <c r="A734" s="22">
        <v>38</v>
      </c>
      <c r="B734" s="19">
        <v>100</v>
      </c>
      <c r="C734" s="20">
        <f>Sales!$B734*Sales!$A734</f>
        <v>3800</v>
      </c>
      <c r="D734" s="21">
        <v>37912</v>
      </c>
      <c r="E734" s="22" t="s">
        <v>9</v>
      </c>
      <c r="F734" s="22">
        <v>4</v>
      </c>
      <c r="G734" s="22">
        <v>10</v>
      </c>
      <c r="H734" s="22">
        <v>2003</v>
      </c>
      <c r="I734" s="22" t="s">
        <v>112</v>
      </c>
      <c r="J734" s="20">
        <v>127</v>
      </c>
      <c r="K734" s="20">
        <f>Sales!$B734-Sales!$J734</f>
        <v>-27</v>
      </c>
      <c r="L734" s="23">
        <f>(Sales!$J734-Sales!$B734)/Sales!$J734</f>
        <v>0.2125984251968504</v>
      </c>
      <c r="M734" s="23" t="str">
        <f t="shared" si="11"/>
        <v>+20%</v>
      </c>
      <c r="N734" s="22" t="s">
        <v>21</v>
      </c>
      <c r="O734" s="22" t="s">
        <v>12</v>
      </c>
      <c r="P734" s="22" t="s">
        <v>13</v>
      </c>
      <c r="Q734" s="22" t="s">
        <v>19</v>
      </c>
    </row>
    <row r="735" spans="1:17" x14ac:dyDescent="0.3">
      <c r="A735" s="27">
        <v>31</v>
      </c>
      <c r="B735" s="24">
        <v>100</v>
      </c>
      <c r="C735" s="25">
        <f>Sales!$B735*Sales!$A735</f>
        <v>3100</v>
      </c>
      <c r="D735" s="26">
        <v>37930</v>
      </c>
      <c r="E735" s="27" t="s">
        <v>9</v>
      </c>
      <c r="F735" s="27">
        <v>4</v>
      </c>
      <c r="G735" s="27">
        <v>11</v>
      </c>
      <c r="H735" s="27">
        <v>2003</v>
      </c>
      <c r="I735" s="27" t="s">
        <v>112</v>
      </c>
      <c r="J735" s="25">
        <v>127</v>
      </c>
      <c r="K735" s="25">
        <f>Sales!$B735-Sales!$J735</f>
        <v>-27</v>
      </c>
      <c r="L735" s="28">
        <f>(Sales!$J735-Sales!$B735)/Sales!$J735</f>
        <v>0.2125984251968504</v>
      </c>
      <c r="M735" s="28" t="str">
        <f t="shared" si="11"/>
        <v>+20%</v>
      </c>
      <c r="N735" s="27" t="s">
        <v>113</v>
      </c>
      <c r="O735" s="27" t="s">
        <v>61</v>
      </c>
      <c r="P735" s="27" t="s">
        <v>17</v>
      </c>
      <c r="Q735" s="27" t="s">
        <v>19</v>
      </c>
    </row>
    <row r="736" spans="1:17" x14ac:dyDescent="0.3">
      <c r="A736" s="22">
        <v>20</v>
      </c>
      <c r="B736" s="19">
        <v>100</v>
      </c>
      <c r="C736" s="20">
        <f>Sales!$B736*Sales!$A736</f>
        <v>2000</v>
      </c>
      <c r="D736" s="21">
        <v>37937</v>
      </c>
      <c r="E736" s="22" t="s">
        <v>9</v>
      </c>
      <c r="F736" s="22">
        <v>4</v>
      </c>
      <c r="G736" s="22">
        <v>11</v>
      </c>
      <c r="H736" s="22">
        <v>2003</v>
      </c>
      <c r="I736" s="22" t="s">
        <v>112</v>
      </c>
      <c r="J736" s="20">
        <v>127</v>
      </c>
      <c r="K736" s="20">
        <f>Sales!$B736-Sales!$J736</f>
        <v>-27</v>
      </c>
      <c r="L736" s="23">
        <f>(Sales!$J736-Sales!$B736)/Sales!$J736</f>
        <v>0.2125984251968504</v>
      </c>
      <c r="M736" s="23" t="str">
        <f t="shared" si="11"/>
        <v>+20%</v>
      </c>
      <c r="N736" s="22" t="s">
        <v>64</v>
      </c>
      <c r="O736" s="22" t="s">
        <v>12</v>
      </c>
      <c r="P736" s="22" t="s">
        <v>13</v>
      </c>
      <c r="Q736" s="22" t="s">
        <v>14</v>
      </c>
    </row>
    <row r="737" spans="1:17" x14ac:dyDescent="0.3">
      <c r="A737" s="27">
        <v>44</v>
      </c>
      <c r="B737" s="24">
        <v>100</v>
      </c>
      <c r="C737" s="25">
        <f>Sales!$B737*Sales!$A737</f>
        <v>4400</v>
      </c>
      <c r="D737" s="26">
        <v>37946</v>
      </c>
      <c r="E737" s="27" t="s">
        <v>9</v>
      </c>
      <c r="F737" s="27">
        <v>4</v>
      </c>
      <c r="G737" s="27">
        <v>11</v>
      </c>
      <c r="H737" s="27">
        <v>2003</v>
      </c>
      <c r="I737" s="27" t="s">
        <v>112</v>
      </c>
      <c r="J737" s="25">
        <v>127</v>
      </c>
      <c r="K737" s="25">
        <f>Sales!$B737-Sales!$J737</f>
        <v>-27</v>
      </c>
      <c r="L737" s="28">
        <f>(Sales!$J737-Sales!$B737)/Sales!$J737</f>
        <v>0.2125984251968504</v>
      </c>
      <c r="M737" s="28" t="str">
        <f t="shared" si="11"/>
        <v>+20%</v>
      </c>
      <c r="N737" s="27" t="s">
        <v>114</v>
      </c>
      <c r="O737" s="27" t="s">
        <v>27</v>
      </c>
      <c r="P737" s="27" t="s">
        <v>28</v>
      </c>
      <c r="Q737" s="27" t="s">
        <v>19</v>
      </c>
    </row>
    <row r="738" spans="1:17" x14ac:dyDescent="0.3">
      <c r="A738" s="22">
        <v>26</v>
      </c>
      <c r="B738" s="19">
        <v>100</v>
      </c>
      <c r="C738" s="20">
        <f>Sales!$B738*Sales!$A738</f>
        <v>2600</v>
      </c>
      <c r="D738" s="21">
        <v>37957</v>
      </c>
      <c r="E738" s="22" t="s">
        <v>9</v>
      </c>
      <c r="F738" s="22">
        <v>4</v>
      </c>
      <c r="G738" s="22">
        <v>12</v>
      </c>
      <c r="H738" s="22">
        <v>2003</v>
      </c>
      <c r="I738" s="22" t="s">
        <v>112</v>
      </c>
      <c r="J738" s="20">
        <v>127</v>
      </c>
      <c r="K738" s="20">
        <f>Sales!$B738-Sales!$J738</f>
        <v>-27</v>
      </c>
      <c r="L738" s="23">
        <f>(Sales!$J738-Sales!$B738)/Sales!$J738</f>
        <v>0.2125984251968504</v>
      </c>
      <c r="M738" s="23" t="str">
        <f t="shared" si="11"/>
        <v>+20%</v>
      </c>
      <c r="N738" s="22" t="s">
        <v>11</v>
      </c>
      <c r="O738" s="22" t="s">
        <v>12</v>
      </c>
      <c r="P738" s="22" t="s">
        <v>13</v>
      </c>
      <c r="Q738" s="22" t="s">
        <v>19</v>
      </c>
    </row>
    <row r="739" spans="1:17" x14ac:dyDescent="0.3">
      <c r="A739" s="27">
        <v>27</v>
      </c>
      <c r="B739" s="24">
        <v>100</v>
      </c>
      <c r="C739" s="25">
        <f>Sales!$B739*Sales!$A739</f>
        <v>2700</v>
      </c>
      <c r="D739" s="26">
        <v>38012</v>
      </c>
      <c r="E739" s="27" t="s">
        <v>9</v>
      </c>
      <c r="F739" s="27">
        <v>1</v>
      </c>
      <c r="G739" s="27">
        <v>1</v>
      </c>
      <c r="H739" s="27">
        <v>2004</v>
      </c>
      <c r="I739" s="27" t="s">
        <v>112</v>
      </c>
      <c r="J739" s="25">
        <v>127</v>
      </c>
      <c r="K739" s="25">
        <f>Sales!$B739-Sales!$J739</f>
        <v>-27</v>
      </c>
      <c r="L739" s="28">
        <f>(Sales!$J739-Sales!$B739)/Sales!$J739</f>
        <v>0.2125984251968504</v>
      </c>
      <c r="M739" s="28" t="str">
        <f t="shared" si="11"/>
        <v>+20%</v>
      </c>
      <c r="N739" s="27" t="s">
        <v>45</v>
      </c>
      <c r="O739" s="27" t="s">
        <v>46</v>
      </c>
      <c r="P739" s="27" t="s">
        <v>17</v>
      </c>
      <c r="Q739" s="27" t="s">
        <v>19</v>
      </c>
    </row>
    <row r="740" spans="1:17" x14ac:dyDescent="0.3">
      <c r="A740" s="22">
        <v>46</v>
      </c>
      <c r="B740" s="19">
        <v>100</v>
      </c>
      <c r="C740" s="20">
        <f>Sales!$B740*Sales!$A740</f>
        <v>4600</v>
      </c>
      <c r="D740" s="21">
        <v>38048</v>
      </c>
      <c r="E740" s="22" t="s">
        <v>9</v>
      </c>
      <c r="F740" s="22">
        <v>1</v>
      </c>
      <c r="G740" s="22">
        <v>3</v>
      </c>
      <c r="H740" s="22">
        <v>2004</v>
      </c>
      <c r="I740" s="22" t="s">
        <v>112</v>
      </c>
      <c r="J740" s="20">
        <v>127</v>
      </c>
      <c r="K740" s="20">
        <f>Sales!$B740-Sales!$J740</f>
        <v>-27</v>
      </c>
      <c r="L740" s="23">
        <f>(Sales!$J740-Sales!$B740)/Sales!$J740</f>
        <v>0.2125984251968504</v>
      </c>
      <c r="M740" s="23" t="str">
        <f t="shared" si="11"/>
        <v>+20%</v>
      </c>
      <c r="N740" s="22" t="s">
        <v>54</v>
      </c>
      <c r="O740" s="22" t="s">
        <v>16</v>
      </c>
      <c r="P740" s="22" t="s">
        <v>17</v>
      </c>
      <c r="Q740" s="22" t="s">
        <v>39</v>
      </c>
    </row>
    <row r="741" spans="1:17" x14ac:dyDescent="0.3">
      <c r="A741" s="27">
        <v>47</v>
      </c>
      <c r="B741" s="24">
        <v>100</v>
      </c>
      <c r="C741" s="25">
        <f>Sales!$B741*Sales!$A741</f>
        <v>4700</v>
      </c>
      <c r="D741" s="26">
        <v>38103</v>
      </c>
      <c r="E741" s="27" t="s">
        <v>9</v>
      </c>
      <c r="F741" s="27">
        <v>2</v>
      </c>
      <c r="G741" s="27">
        <v>4</v>
      </c>
      <c r="H741" s="27">
        <v>2004</v>
      </c>
      <c r="I741" s="27" t="s">
        <v>112</v>
      </c>
      <c r="J741" s="25">
        <v>127</v>
      </c>
      <c r="K741" s="25">
        <f>Sales!$B741-Sales!$J741</f>
        <v>-27</v>
      </c>
      <c r="L741" s="28">
        <f>(Sales!$J741-Sales!$B741)/Sales!$J741</f>
        <v>0.2125984251968504</v>
      </c>
      <c r="M741" s="28" t="str">
        <f t="shared" si="11"/>
        <v>+20%</v>
      </c>
      <c r="N741" s="27" t="s">
        <v>83</v>
      </c>
      <c r="O741" s="27" t="s">
        <v>12</v>
      </c>
      <c r="P741" s="27" t="s">
        <v>13</v>
      </c>
      <c r="Q741" s="27" t="s">
        <v>19</v>
      </c>
    </row>
    <row r="742" spans="1:17" x14ac:dyDescent="0.3">
      <c r="A742" s="22">
        <v>37</v>
      </c>
      <c r="B742" s="19">
        <v>100</v>
      </c>
      <c r="C742" s="20">
        <f>Sales!$B742*Sales!$A742</f>
        <v>3700</v>
      </c>
      <c r="D742" s="21">
        <v>38216</v>
      </c>
      <c r="E742" s="22" t="s">
        <v>9</v>
      </c>
      <c r="F742" s="22">
        <v>3</v>
      </c>
      <c r="G742" s="22">
        <v>8</v>
      </c>
      <c r="H742" s="22">
        <v>2004</v>
      </c>
      <c r="I742" s="22" t="s">
        <v>112</v>
      </c>
      <c r="J742" s="20">
        <v>127</v>
      </c>
      <c r="K742" s="20">
        <f>Sales!$B742-Sales!$J742</f>
        <v>-27</v>
      </c>
      <c r="L742" s="23">
        <f>(Sales!$J742-Sales!$B742)/Sales!$J742</f>
        <v>0.2125984251968504</v>
      </c>
      <c r="M742" s="23" t="str">
        <f t="shared" si="11"/>
        <v>+20%</v>
      </c>
      <c r="N742" s="22" t="s">
        <v>60</v>
      </c>
      <c r="O742" s="22" t="s">
        <v>61</v>
      </c>
      <c r="P742" s="22" t="s">
        <v>17</v>
      </c>
      <c r="Q742" s="22" t="s">
        <v>19</v>
      </c>
    </row>
    <row r="743" spans="1:17" x14ac:dyDescent="0.3">
      <c r="A743" s="27">
        <v>31</v>
      </c>
      <c r="B743" s="24">
        <v>100</v>
      </c>
      <c r="C743" s="25">
        <f>Sales!$B743*Sales!$A743</f>
        <v>3100</v>
      </c>
      <c r="D743" s="26">
        <v>38231</v>
      </c>
      <c r="E743" s="27" t="s">
        <v>9</v>
      </c>
      <c r="F743" s="27">
        <v>3</v>
      </c>
      <c r="G743" s="27">
        <v>9</v>
      </c>
      <c r="H743" s="27">
        <v>2004</v>
      </c>
      <c r="I743" s="27" t="s">
        <v>112</v>
      </c>
      <c r="J743" s="25">
        <v>127</v>
      </c>
      <c r="K743" s="25">
        <f>Sales!$B743-Sales!$J743</f>
        <v>-27</v>
      </c>
      <c r="L743" s="28">
        <f>(Sales!$J743-Sales!$B743)/Sales!$J743</f>
        <v>0.2125984251968504</v>
      </c>
      <c r="M743" s="28" t="str">
        <f t="shared" si="11"/>
        <v>+20%</v>
      </c>
      <c r="N743" s="27" t="s">
        <v>50</v>
      </c>
      <c r="O743" s="27" t="s">
        <v>50</v>
      </c>
      <c r="P743" s="27" t="s">
        <v>28</v>
      </c>
      <c r="Q743" s="27" t="s">
        <v>19</v>
      </c>
    </row>
    <row r="744" spans="1:17" x14ac:dyDescent="0.3">
      <c r="A744" s="22">
        <v>24</v>
      </c>
      <c r="B744" s="19">
        <v>100</v>
      </c>
      <c r="C744" s="20">
        <f>Sales!$B744*Sales!$A744</f>
        <v>2400</v>
      </c>
      <c r="D744" s="21">
        <v>38271</v>
      </c>
      <c r="E744" s="22" t="s">
        <v>9</v>
      </c>
      <c r="F744" s="22">
        <v>4</v>
      </c>
      <c r="G744" s="22">
        <v>10</v>
      </c>
      <c r="H744" s="22">
        <v>2004</v>
      </c>
      <c r="I744" s="22" t="s">
        <v>112</v>
      </c>
      <c r="J744" s="20">
        <v>127</v>
      </c>
      <c r="K744" s="20">
        <f>Sales!$B744-Sales!$J744</f>
        <v>-27</v>
      </c>
      <c r="L744" s="23">
        <f>(Sales!$J744-Sales!$B744)/Sales!$J744</f>
        <v>0.2125984251968504</v>
      </c>
      <c r="M744" s="23" t="str">
        <f t="shared" si="11"/>
        <v>+20%</v>
      </c>
      <c r="N744" s="22" t="s">
        <v>63</v>
      </c>
      <c r="O744" s="22" t="s">
        <v>16</v>
      </c>
      <c r="P744" s="22" t="s">
        <v>17</v>
      </c>
      <c r="Q744" s="22" t="s">
        <v>14</v>
      </c>
    </row>
    <row r="745" spans="1:17" x14ac:dyDescent="0.3">
      <c r="A745" s="27">
        <v>31</v>
      </c>
      <c r="B745" s="24">
        <v>100</v>
      </c>
      <c r="C745" s="25">
        <f>Sales!$B745*Sales!$A745</f>
        <v>3100</v>
      </c>
      <c r="D745" s="26">
        <v>38281</v>
      </c>
      <c r="E745" s="27" t="s">
        <v>9</v>
      </c>
      <c r="F745" s="27">
        <v>4</v>
      </c>
      <c r="G745" s="27">
        <v>10</v>
      </c>
      <c r="H745" s="27">
        <v>2004</v>
      </c>
      <c r="I745" s="27" t="s">
        <v>112</v>
      </c>
      <c r="J745" s="25">
        <v>127</v>
      </c>
      <c r="K745" s="25">
        <f>Sales!$B745-Sales!$J745</f>
        <v>-27</v>
      </c>
      <c r="L745" s="28">
        <f>(Sales!$J745-Sales!$B745)/Sales!$J745</f>
        <v>0.2125984251968504</v>
      </c>
      <c r="M745" s="28" t="str">
        <f t="shared" si="11"/>
        <v>+20%</v>
      </c>
      <c r="N745" s="27" t="s">
        <v>64</v>
      </c>
      <c r="O745" s="27" t="s">
        <v>12</v>
      </c>
      <c r="P745" s="27" t="s">
        <v>13</v>
      </c>
      <c r="Q745" s="27" t="s">
        <v>19</v>
      </c>
    </row>
    <row r="746" spans="1:17" x14ac:dyDescent="0.3">
      <c r="A746" s="22">
        <v>50</v>
      </c>
      <c r="B746" s="19">
        <v>100</v>
      </c>
      <c r="C746" s="20">
        <f>Sales!$B746*Sales!$A746</f>
        <v>5000</v>
      </c>
      <c r="D746" s="21">
        <v>38295</v>
      </c>
      <c r="E746" s="22" t="s">
        <v>9</v>
      </c>
      <c r="F746" s="22">
        <v>4</v>
      </c>
      <c r="G746" s="22">
        <v>11</v>
      </c>
      <c r="H746" s="22">
        <v>2004</v>
      </c>
      <c r="I746" s="22" t="s">
        <v>112</v>
      </c>
      <c r="J746" s="20">
        <v>127</v>
      </c>
      <c r="K746" s="20">
        <f>Sales!$B746-Sales!$J746</f>
        <v>-27</v>
      </c>
      <c r="L746" s="23">
        <f>(Sales!$J746-Sales!$B746)/Sales!$J746</f>
        <v>0.2125984251968504</v>
      </c>
      <c r="M746" s="23" t="str">
        <f t="shared" si="11"/>
        <v>+20%</v>
      </c>
      <c r="N746" s="22" t="s">
        <v>65</v>
      </c>
      <c r="O746" s="22" t="s">
        <v>12</v>
      </c>
      <c r="P746" s="22" t="s">
        <v>13</v>
      </c>
      <c r="Q746" s="22" t="s">
        <v>39</v>
      </c>
    </row>
    <row r="747" spans="1:17" x14ac:dyDescent="0.3">
      <c r="A747" s="27">
        <v>35</v>
      </c>
      <c r="B747" s="24">
        <v>64.69</v>
      </c>
      <c r="C747" s="25">
        <f>Sales!$B747*Sales!$A747</f>
        <v>2264.15</v>
      </c>
      <c r="D747" s="26">
        <v>38308</v>
      </c>
      <c r="E747" s="27" t="s">
        <v>9</v>
      </c>
      <c r="F747" s="27">
        <v>4</v>
      </c>
      <c r="G747" s="27">
        <v>11</v>
      </c>
      <c r="H747" s="27">
        <v>2004</v>
      </c>
      <c r="I747" s="27" t="s">
        <v>112</v>
      </c>
      <c r="J747" s="25">
        <v>127</v>
      </c>
      <c r="K747" s="25">
        <f>Sales!$B747-Sales!$J747</f>
        <v>-62.31</v>
      </c>
      <c r="L747" s="28">
        <f>(Sales!$J747-Sales!$B747)/Sales!$J747</f>
        <v>0.49062992125984256</v>
      </c>
      <c r="M747" s="28" t="str">
        <f t="shared" si="11"/>
        <v>+20%</v>
      </c>
      <c r="N747" s="27" t="s">
        <v>102</v>
      </c>
      <c r="O747" s="27" t="s">
        <v>43</v>
      </c>
      <c r="P747" s="27" t="s">
        <v>17</v>
      </c>
      <c r="Q747" s="27" t="s">
        <v>14</v>
      </c>
    </row>
    <row r="748" spans="1:17" x14ac:dyDescent="0.3">
      <c r="A748" s="22">
        <v>30</v>
      </c>
      <c r="B748" s="19">
        <v>100</v>
      </c>
      <c r="C748" s="20">
        <f>Sales!$B748*Sales!$A748</f>
        <v>3000</v>
      </c>
      <c r="D748" s="21">
        <v>38316</v>
      </c>
      <c r="E748" s="22" t="s">
        <v>9</v>
      </c>
      <c r="F748" s="22">
        <v>4</v>
      </c>
      <c r="G748" s="22">
        <v>11</v>
      </c>
      <c r="H748" s="22">
        <v>2004</v>
      </c>
      <c r="I748" s="22" t="s">
        <v>112</v>
      </c>
      <c r="J748" s="20">
        <v>127</v>
      </c>
      <c r="K748" s="20">
        <f>Sales!$B748-Sales!$J748</f>
        <v>-27</v>
      </c>
      <c r="L748" s="23">
        <f>(Sales!$J748-Sales!$B748)/Sales!$J748</f>
        <v>0.2125984251968504</v>
      </c>
      <c r="M748" s="23" t="str">
        <f t="shared" si="11"/>
        <v>+20%</v>
      </c>
      <c r="N748" s="22" t="s">
        <v>92</v>
      </c>
      <c r="O748" s="22" t="s">
        <v>16</v>
      </c>
      <c r="P748" s="22" t="s">
        <v>17</v>
      </c>
      <c r="Q748" s="22" t="s">
        <v>19</v>
      </c>
    </row>
    <row r="749" spans="1:17" x14ac:dyDescent="0.3">
      <c r="A749" s="27">
        <v>29</v>
      </c>
      <c r="B749" s="24">
        <v>100</v>
      </c>
      <c r="C749" s="25">
        <f>Sales!$B749*Sales!$A749</f>
        <v>2900</v>
      </c>
      <c r="D749" s="26">
        <v>38330</v>
      </c>
      <c r="E749" s="27" t="s">
        <v>9</v>
      </c>
      <c r="F749" s="27">
        <v>4</v>
      </c>
      <c r="G749" s="27">
        <v>12</v>
      </c>
      <c r="H749" s="27">
        <v>2004</v>
      </c>
      <c r="I749" s="27" t="s">
        <v>112</v>
      </c>
      <c r="J749" s="25">
        <v>127</v>
      </c>
      <c r="K749" s="25">
        <f>Sales!$B749-Sales!$J749</f>
        <v>-27</v>
      </c>
      <c r="L749" s="28">
        <f>(Sales!$J749-Sales!$B749)/Sales!$J749</f>
        <v>0.2125984251968504</v>
      </c>
      <c r="M749" s="28" t="str">
        <f t="shared" si="11"/>
        <v>+20%</v>
      </c>
      <c r="N749" s="27" t="s">
        <v>18</v>
      </c>
      <c r="O749" s="27" t="s">
        <v>16</v>
      </c>
      <c r="P749" s="27" t="s">
        <v>17</v>
      </c>
      <c r="Q749" s="27" t="s">
        <v>19</v>
      </c>
    </row>
    <row r="750" spans="1:17" x14ac:dyDescent="0.3">
      <c r="A750" s="22">
        <v>27</v>
      </c>
      <c r="B750" s="19">
        <v>100</v>
      </c>
      <c r="C750" s="20">
        <f>Sales!$B750*Sales!$A750</f>
        <v>2700</v>
      </c>
      <c r="D750" s="21">
        <v>38364</v>
      </c>
      <c r="E750" s="22" t="s">
        <v>88</v>
      </c>
      <c r="F750" s="22">
        <v>1</v>
      </c>
      <c r="G750" s="22">
        <v>1</v>
      </c>
      <c r="H750" s="22">
        <v>2005</v>
      </c>
      <c r="I750" s="22" t="s">
        <v>112</v>
      </c>
      <c r="J750" s="20">
        <v>127</v>
      </c>
      <c r="K750" s="20">
        <f>Sales!$B750-Sales!$J750</f>
        <v>-27</v>
      </c>
      <c r="L750" s="23">
        <f>(Sales!$J750-Sales!$B750)/Sales!$J750</f>
        <v>0.2125984251968504</v>
      </c>
      <c r="M750" s="23" t="str">
        <f t="shared" si="11"/>
        <v>+20%</v>
      </c>
      <c r="N750" s="22" t="s">
        <v>20</v>
      </c>
      <c r="O750" s="22" t="s">
        <v>12</v>
      </c>
      <c r="P750" s="22" t="s">
        <v>13</v>
      </c>
      <c r="Q750" s="22" t="s">
        <v>19</v>
      </c>
    </row>
    <row r="751" spans="1:17" x14ac:dyDescent="0.3">
      <c r="A751" s="27">
        <v>40</v>
      </c>
      <c r="B751" s="24">
        <v>100</v>
      </c>
      <c r="C751" s="25">
        <f>Sales!$B751*Sales!$A751</f>
        <v>4000</v>
      </c>
      <c r="D751" s="26">
        <v>38399</v>
      </c>
      <c r="E751" s="27" t="s">
        <v>9</v>
      </c>
      <c r="F751" s="27">
        <v>1</v>
      </c>
      <c r="G751" s="27">
        <v>2</v>
      </c>
      <c r="H751" s="27">
        <v>2005</v>
      </c>
      <c r="I751" s="27" t="s">
        <v>112</v>
      </c>
      <c r="J751" s="25">
        <v>127</v>
      </c>
      <c r="K751" s="25">
        <f>Sales!$B751-Sales!$J751</f>
        <v>-27</v>
      </c>
      <c r="L751" s="28">
        <f>(Sales!$J751-Sales!$B751)/Sales!$J751</f>
        <v>0.2125984251968504</v>
      </c>
      <c r="M751" s="28" t="str">
        <f t="shared" si="11"/>
        <v>+20%</v>
      </c>
      <c r="N751" s="27" t="s">
        <v>45</v>
      </c>
      <c r="O751" s="27" t="s">
        <v>46</v>
      </c>
      <c r="P751" s="27" t="s">
        <v>17</v>
      </c>
      <c r="Q751" s="27" t="s">
        <v>19</v>
      </c>
    </row>
    <row r="752" spans="1:17" x14ac:dyDescent="0.3">
      <c r="A752" s="22">
        <v>31</v>
      </c>
      <c r="B752" s="19">
        <v>98.99</v>
      </c>
      <c r="C752" s="20">
        <f>Sales!$B752*Sales!$A752</f>
        <v>3068.69</v>
      </c>
      <c r="D752" s="21">
        <v>38415</v>
      </c>
      <c r="E752" s="22" t="s">
        <v>9</v>
      </c>
      <c r="F752" s="22">
        <v>1</v>
      </c>
      <c r="G752" s="22">
        <v>3</v>
      </c>
      <c r="H752" s="22">
        <v>2005</v>
      </c>
      <c r="I752" s="22" t="s">
        <v>112</v>
      </c>
      <c r="J752" s="20">
        <v>127</v>
      </c>
      <c r="K752" s="20">
        <f>Sales!$B752-Sales!$J752</f>
        <v>-28.010000000000005</v>
      </c>
      <c r="L752" s="23">
        <f>(Sales!$J752-Sales!$B752)/Sales!$J752</f>
        <v>0.22055118110236224</v>
      </c>
      <c r="M752" s="23" t="str">
        <f t="shared" si="11"/>
        <v>+20%</v>
      </c>
      <c r="N752" s="22" t="s">
        <v>64</v>
      </c>
      <c r="O752" s="22" t="s">
        <v>12</v>
      </c>
      <c r="P752" s="22" t="s">
        <v>13</v>
      </c>
      <c r="Q752" s="22" t="s">
        <v>19</v>
      </c>
    </row>
    <row r="753" spans="1:17" x14ac:dyDescent="0.3">
      <c r="A753" s="27">
        <v>6</v>
      </c>
      <c r="B753" s="24">
        <v>100</v>
      </c>
      <c r="C753" s="25">
        <f>Sales!$B753*Sales!$A753</f>
        <v>600</v>
      </c>
      <c r="D753" s="26">
        <v>38465</v>
      </c>
      <c r="E753" s="27" t="s">
        <v>9</v>
      </c>
      <c r="F753" s="27">
        <v>2</v>
      </c>
      <c r="G753" s="27">
        <v>4</v>
      </c>
      <c r="H753" s="27">
        <v>2005</v>
      </c>
      <c r="I753" s="27" t="s">
        <v>112</v>
      </c>
      <c r="J753" s="25">
        <v>127</v>
      </c>
      <c r="K753" s="25">
        <f>Sales!$B753-Sales!$J753</f>
        <v>-27</v>
      </c>
      <c r="L753" s="28">
        <f>(Sales!$J753-Sales!$B753)/Sales!$J753</f>
        <v>0.2125984251968504</v>
      </c>
      <c r="M753" s="28" t="str">
        <f t="shared" si="11"/>
        <v>+20%</v>
      </c>
      <c r="N753" s="27" t="s">
        <v>50</v>
      </c>
      <c r="O753" s="27" t="s">
        <v>50</v>
      </c>
      <c r="P753" s="27" t="s">
        <v>28</v>
      </c>
      <c r="Q753" s="27" t="s">
        <v>14</v>
      </c>
    </row>
    <row r="754" spans="1:17" x14ac:dyDescent="0.3">
      <c r="A754" s="22">
        <v>45</v>
      </c>
      <c r="B754" s="19">
        <v>100</v>
      </c>
      <c r="C754" s="20">
        <f>Sales!$B754*Sales!$A754</f>
        <v>4500</v>
      </c>
      <c r="D754" s="21">
        <v>38501</v>
      </c>
      <c r="E754" s="22" t="s">
        <v>69</v>
      </c>
      <c r="F754" s="22">
        <v>2</v>
      </c>
      <c r="G754" s="22">
        <v>5</v>
      </c>
      <c r="H754" s="22">
        <v>2005</v>
      </c>
      <c r="I754" s="22" t="s">
        <v>112</v>
      </c>
      <c r="J754" s="20">
        <v>127</v>
      </c>
      <c r="K754" s="20">
        <f>Sales!$B754-Sales!$J754</f>
        <v>-27</v>
      </c>
      <c r="L754" s="23">
        <f>(Sales!$J754-Sales!$B754)/Sales!$J754</f>
        <v>0.2125984251968504</v>
      </c>
      <c r="M754" s="23" t="str">
        <f t="shared" si="11"/>
        <v>+20%</v>
      </c>
      <c r="N754" s="22" t="s">
        <v>40</v>
      </c>
      <c r="O754" s="22" t="s">
        <v>27</v>
      </c>
      <c r="P754" s="22" t="s">
        <v>28</v>
      </c>
      <c r="Q754" s="22" t="s">
        <v>19</v>
      </c>
    </row>
    <row r="755" spans="1:17" x14ac:dyDescent="0.3">
      <c r="A755" s="27">
        <v>22</v>
      </c>
      <c r="B755" s="24">
        <v>54.09</v>
      </c>
      <c r="C755" s="25">
        <f>Sales!$B755*Sales!$A755</f>
        <v>1189.98</v>
      </c>
      <c r="D755" s="26">
        <v>37650</v>
      </c>
      <c r="E755" s="27" t="s">
        <v>9</v>
      </c>
      <c r="F755" s="27">
        <v>1</v>
      </c>
      <c r="G755" s="27">
        <v>1</v>
      </c>
      <c r="H755" s="27">
        <v>2003</v>
      </c>
      <c r="I755" s="27" t="s">
        <v>104</v>
      </c>
      <c r="J755" s="25">
        <v>60</v>
      </c>
      <c r="K755" s="25">
        <f>Sales!$B755-Sales!$J755</f>
        <v>-5.9099999999999966</v>
      </c>
      <c r="L755" s="28">
        <f>(Sales!$J755-Sales!$B755)/Sales!$J755</f>
        <v>9.8499999999999949E-2</v>
      </c>
      <c r="M755" s="28" t="str">
        <f t="shared" si="11"/>
        <v>5%-10%</v>
      </c>
      <c r="N755" s="27" t="s">
        <v>35</v>
      </c>
      <c r="O755" s="27" t="s">
        <v>25</v>
      </c>
      <c r="P755" s="27" t="s">
        <v>17</v>
      </c>
      <c r="Q755" s="27" t="s">
        <v>14</v>
      </c>
    </row>
    <row r="756" spans="1:17" x14ac:dyDescent="0.3">
      <c r="A756" s="22">
        <v>45</v>
      </c>
      <c r="B756" s="19">
        <v>68.67</v>
      </c>
      <c r="C756" s="20">
        <f>Sales!$B756*Sales!$A756</f>
        <v>3090.15</v>
      </c>
      <c r="D756" s="21">
        <v>37712</v>
      </c>
      <c r="E756" s="22" t="s">
        <v>9</v>
      </c>
      <c r="F756" s="22">
        <v>2</v>
      </c>
      <c r="G756" s="22">
        <v>4</v>
      </c>
      <c r="H756" s="22">
        <v>2003</v>
      </c>
      <c r="I756" s="22" t="s">
        <v>104</v>
      </c>
      <c r="J756" s="20">
        <v>60</v>
      </c>
      <c r="K756" s="20">
        <f>Sales!$B756-Sales!$J756</f>
        <v>8.6700000000000017</v>
      </c>
      <c r="L756" s="23">
        <f>(Sales!$J756-Sales!$B756)/Sales!$J756</f>
        <v>-0.14450000000000002</v>
      </c>
      <c r="M756" s="23" t="str">
        <f t="shared" si="11"/>
        <v>Below 0%</v>
      </c>
      <c r="N756" s="22" t="s">
        <v>18</v>
      </c>
      <c r="O756" s="22" t="s">
        <v>16</v>
      </c>
      <c r="P756" s="22" t="s">
        <v>17</v>
      </c>
      <c r="Q756" s="22" t="s">
        <v>19</v>
      </c>
    </row>
    <row r="757" spans="1:17" x14ac:dyDescent="0.3">
      <c r="A757" s="27">
        <v>43</v>
      </c>
      <c r="B757" s="24">
        <v>65.02</v>
      </c>
      <c r="C757" s="25">
        <f>Sales!$B757*Sales!$A757</f>
        <v>2795.8599999999997</v>
      </c>
      <c r="D757" s="26">
        <v>37769</v>
      </c>
      <c r="E757" s="27" t="s">
        <v>9</v>
      </c>
      <c r="F757" s="27">
        <v>2</v>
      </c>
      <c r="G757" s="27">
        <v>5</v>
      </c>
      <c r="H757" s="27">
        <v>2003</v>
      </c>
      <c r="I757" s="27" t="s">
        <v>104</v>
      </c>
      <c r="J757" s="25">
        <v>60</v>
      </c>
      <c r="K757" s="25">
        <f>Sales!$B757-Sales!$J757</f>
        <v>5.019999999999996</v>
      </c>
      <c r="L757" s="28">
        <f>(Sales!$J757-Sales!$B757)/Sales!$J757</f>
        <v>-8.3666666666666598E-2</v>
      </c>
      <c r="M757" s="28" t="str">
        <f t="shared" si="11"/>
        <v>Below 0%</v>
      </c>
      <c r="N757" s="27" t="s">
        <v>45</v>
      </c>
      <c r="O757" s="27" t="s">
        <v>46</v>
      </c>
      <c r="P757" s="27" t="s">
        <v>17</v>
      </c>
      <c r="Q757" s="27" t="s">
        <v>14</v>
      </c>
    </row>
    <row r="758" spans="1:17" x14ac:dyDescent="0.3">
      <c r="A758" s="22">
        <v>46</v>
      </c>
      <c r="B758" s="19">
        <v>61.99</v>
      </c>
      <c r="C758" s="20">
        <f>Sales!$B758*Sales!$A758</f>
        <v>2851.54</v>
      </c>
      <c r="D758" s="21">
        <v>37826</v>
      </c>
      <c r="E758" s="22" t="s">
        <v>9</v>
      </c>
      <c r="F758" s="22">
        <v>3</v>
      </c>
      <c r="G758" s="22">
        <v>7</v>
      </c>
      <c r="H758" s="22">
        <v>2003</v>
      </c>
      <c r="I758" s="22" t="s">
        <v>104</v>
      </c>
      <c r="J758" s="20">
        <v>60</v>
      </c>
      <c r="K758" s="20">
        <f>Sales!$B758-Sales!$J758</f>
        <v>1.990000000000002</v>
      </c>
      <c r="L758" s="23">
        <f>(Sales!$J758-Sales!$B758)/Sales!$J758</f>
        <v>-3.3166666666666698E-2</v>
      </c>
      <c r="M758" s="23" t="str">
        <f t="shared" si="11"/>
        <v>Below 0%</v>
      </c>
      <c r="N758" s="22" t="s">
        <v>22</v>
      </c>
      <c r="O758" s="22" t="s">
        <v>12</v>
      </c>
      <c r="P758" s="22" t="s">
        <v>13</v>
      </c>
      <c r="Q758" s="22" t="s">
        <v>14</v>
      </c>
    </row>
    <row r="759" spans="1:17" x14ac:dyDescent="0.3">
      <c r="A759" s="27">
        <v>39</v>
      </c>
      <c r="B759" s="24">
        <v>69.28</v>
      </c>
      <c r="C759" s="25">
        <f>Sales!$B759*Sales!$A759</f>
        <v>2701.92</v>
      </c>
      <c r="D759" s="26">
        <v>37885</v>
      </c>
      <c r="E759" s="27" t="s">
        <v>9</v>
      </c>
      <c r="F759" s="27">
        <v>3</v>
      </c>
      <c r="G759" s="27">
        <v>9</v>
      </c>
      <c r="H759" s="27">
        <v>2003</v>
      </c>
      <c r="I759" s="27" t="s">
        <v>104</v>
      </c>
      <c r="J759" s="25">
        <v>60</v>
      </c>
      <c r="K759" s="25">
        <f>Sales!$B759-Sales!$J759</f>
        <v>9.2800000000000011</v>
      </c>
      <c r="L759" s="28">
        <f>(Sales!$J759-Sales!$B759)/Sales!$J759</f>
        <v>-0.15466666666666667</v>
      </c>
      <c r="M759" s="28" t="str">
        <f t="shared" si="11"/>
        <v>Below 0%</v>
      </c>
      <c r="N759" s="27" t="s">
        <v>85</v>
      </c>
      <c r="O759" s="27" t="s">
        <v>34</v>
      </c>
      <c r="P759" s="27" t="s">
        <v>17</v>
      </c>
      <c r="Q759" s="27" t="s">
        <v>14</v>
      </c>
    </row>
    <row r="760" spans="1:17" x14ac:dyDescent="0.3">
      <c r="A760" s="22">
        <v>31</v>
      </c>
      <c r="B760" s="19">
        <v>71.099999999999994</v>
      </c>
      <c r="C760" s="20">
        <f>Sales!$B760*Sales!$A760</f>
        <v>2204.1</v>
      </c>
      <c r="D760" s="21">
        <v>37916</v>
      </c>
      <c r="E760" s="22" t="s">
        <v>9</v>
      </c>
      <c r="F760" s="22">
        <v>4</v>
      </c>
      <c r="G760" s="22">
        <v>10</v>
      </c>
      <c r="H760" s="22">
        <v>2003</v>
      </c>
      <c r="I760" s="22" t="s">
        <v>104</v>
      </c>
      <c r="J760" s="20">
        <v>60</v>
      </c>
      <c r="K760" s="20">
        <f>Sales!$B760-Sales!$J760</f>
        <v>11.099999999999994</v>
      </c>
      <c r="L760" s="23">
        <f>(Sales!$J760-Sales!$B760)/Sales!$J760</f>
        <v>-0.18499999999999991</v>
      </c>
      <c r="M760" s="23" t="str">
        <f t="shared" si="11"/>
        <v>Below 0%</v>
      </c>
      <c r="N760" s="22" t="s">
        <v>50</v>
      </c>
      <c r="O760" s="22" t="s">
        <v>50</v>
      </c>
      <c r="P760" s="22" t="s">
        <v>28</v>
      </c>
      <c r="Q760" s="22" t="s">
        <v>14</v>
      </c>
    </row>
    <row r="761" spans="1:17" x14ac:dyDescent="0.3">
      <c r="A761" s="27">
        <v>41</v>
      </c>
      <c r="B761" s="24">
        <v>69.28</v>
      </c>
      <c r="C761" s="25">
        <f>Sales!$B761*Sales!$A761</f>
        <v>2840.48</v>
      </c>
      <c r="D761" s="26">
        <v>37931</v>
      </c>
      <c r="E761" s="27" t="s">
        <v>9</v>
      </c>
      <c r="F761" s="27">
        <v>4</v>
      </c>
      <c r="G761" s="27">
        <v>11</v>
      </c>
      <c r="H761" s="27">
        <v>2003</v>
      </c>
      <c r="I761" s="27" t="s">
        <v>104</v>
      </c>
      <c r="J761" s="25">
        <v>60</v>
      </c>
      <c r="K761" s="25">
        <f>Sales!$B761-Sales!$J761</f>
        <v>9.2800000000000011</v>
      </c>
      <c r="L761" s="28">
        <f>(Sales!$J761-Sales!$B761)/Sales!$J761</f>
        <v>-0.15466666666666667</v>
      </c>
      <c r="M761" s="28" t="str">
        <f t="shared" si="11"/>
        <v>Below 0%</v>
      </c>
      <c r="N761" s="27" t="s">
        <v>74</v>
      </c>
      <c r="O761" s="27" t="s">
        <v>43</v>
      </c>
      <c r="P761" s="27" t="s">
        <v>17</v>
      </c>
      <c r="Q761" s="27" t="s">
        <v>14</v>
      </c>
    </row>
    <row r="762" spans="1:17" x14ac:dyDescent="0.3">
      <c r="A762" s="22">
        <v>44</v>
      </c>
      <c r="B762" s="19">
        <v>60.16</v>
      </c>
      <c r="C762" s="20">
        <f>Sales!$B762*Sales!$A762</f>
        <v>2647.04</v>
      </c>
      <c r="D762" s="21">
        <v>37939</v>
      </c>
      <c r="E762" s="22" t="s">
        <v>9</v>
      </c>
      <c r="F762" s="22">
        <v>4</v>
      </c>
      <c r="G762" s="22">
        <v>11</v>
      </c>
      <c r="H762" s="22">
        <v>2003</v>
      </c>
      <c r="I762" s="22" t="s">
        <v>104</v>
      </c>
      <c r="J762" s="20">
        <v>60</v>
      </c>
      <c r="K762" s="20">
        <f>Sales!$B762-Sales!$J762</f>
        <v>0.15999999999999659</v>
      </c>
      <c r="L762" s="23">
        <f>(Sales!$J762-Sales!$B762)/Sales!$J762</f>
        <v>-2.6666666666666098E-3</v>
      </c>
      <c r="M762" s="23" t="s">
        <v>130</v>
      </c>
      <c r="N762" s="22" t="s">
        <v>106</v>
      </c>
      <c r="O762" s="22" t="s">
        <v>46</v>
      </c>
      <c r="P762" s="22" t="s">
        <v>17</v>
      </c>
      <c r="Q762" s="22" t="s">
        <v>14</v>
      </c>
    </row>
    <row r="763" spans="1:17" x14ac:dyDescent="0.3">
      <c r="A763" s="27">
        <v>45</v>
      </c>
      <c r="B763" s="24">
        <v>70.489999999999995</v>
      </c>
      <c r="C763" s="25">
        <f>Sales!$B763*Sales!$A763</f>
        <v>3172.0499999999997</v>
      </c>
      <c r="D763" s="26">
        <v>37950</v>
      </c>
      <c r="E763" s="27" t="s">
        <v>9</v>
      </c>
      <c r="F763" s="27">
        <v>4</v>
      </c>
      <c r="G763" s="27">
        <v>11</v>
      </c>
      <c r="H763" s="27">
        <v>2003</v>
      </c>
      <c r="I763" s="27" t="s">
        <v>104</v>
      </c>
      <c r="J763" s="25">
        <v>60</v>
      </c>
      <c r="K763" s="25">
        <f>Sales!$B763-Sales!$J763</f>
        <v>10.489999999999995</v>
      </c>
      <c r="L763" s="28">
        <f>(Sales!$J763-Sales!$B763)/Sales!$J763</f>
        <v>-0.17483333333333326</v>
      </c>
      <c r="M763" s="28" t="str">
        <f t="shared" si="11"/>
        <v>Below 0%</v>
      </c>
      <c r="N763" s="27" t="s">
        <v>54</v>
      </c>
      <c r="O763" s="27" t="s">
        <v>16</v>
      </c>
      <c r="P763" s="27" t="s">
        <v>17</v>
      </c>
      <c r="Q763" s="27" t="s">
        <v>19</v>
      </c>
    </row>
    <row r="764" spans="1:17" x14ac:dyDescent="0.3">
      <c r="A764" s="22">
        <v>37</v>
      </c>
      <c r="B764" s="19">
        <v>69.89</v>
      </c>
      <c r="C764" s="20">
        <f>Sales!$B764*Sales!$A764</f>
        <v>2585.9299999999998</v>
      </c>
      <c r="D764" s="21">
        <v>37964</v>
      </c>
      <c r="E764" s="22" t="s">
        <v>9</v>
      </c>
      <c r="F764" s="22">
        <v>4</v>
      </c>
      <c r="G764" s="22">
        <v>12</v>
      </c>
      <c r="H764" s="22">
        <v>2003</v>
      </c>
      <c r="I764" s="22" t="s">
        <v>104</v>
      </c>
      <c r="J764" s="20">
        <v>60</v>
      </c>
      <c r="K764" s="20">
        <f>Sales!$B764-Sales!$J764</f>
        <v>9.89</v>
      </c>
      <c r="L764" s="23">
        <f>(Sales!$J764-Sales!$B764)/Sales!$J764</f>
        <v>-0.16483333333333333</v>
      </c>
      <c r="M764" s="23" t="str">
        <f t="shared" si="11"/>
        <v>Below 0%</v>
      </c>
      <c r="N764" s="22" t="s">
        <v>83</v>
      </c>
      <c r="O764" s="22" t="s">
        <v>12</v>
      </c>
      <c r="P764" s="22" t="s">
        <v>13</v>
      </c>
      <c r="Q764" s="22" t="s">
        <v>14</v>
      </c>
    </row>
    <row r="765" spans="1:17" x14ac:dyDescent="0.3">
      <c r="A765" s="27">
        <v>35</v>
      </c>
      <c r="B765" s="24">
        <v>61.38</v>
      </c>
      <c r="C765" s="25">
        <f>Sales!$B765*Sales!$A765</f>
        <v>2148.3000000000002</v>
      </c>
      <c r="D765" s="26">
        <v>38021</v>
      </c>
      <c r="E765" s="27" t="s">
        <v>9</v>
      </c>
      <c r="F765" s="27">
        <v>1</v>
      </c>
      <c r="G765" s="27">
        <v>2</v>
      </c>
      <c r="H765" s="27">
        <v>2004</v>
      </c>
      <c r="I765" s="27" t="s">
        <v>104</v>
      </c>
      <c r="J765" s="25">
        <v>60</v>
      </c>
      <c r="K765" s="25">
        <f>Sales!$B765-Sales!$J765</f>
        <v>1.3800000000000026</v>
      </c>
      <c r="L765" s="28">
        <f>(Sales!$J765-Sales!$B765)/Sales!$J765</f>
        <v>-2.3000000000000041E-2</v>
      </c>
      <c r="M765" s="28" t="str">
        <f t="shared" si="11"/>
        <v>Below 0%</v>
      </c>
      <c r="N765" s="27" t="s">
        <v>50</v>
      </c>
      <c r="O765" s="27" t="s">
        <v>50</v>
      </c>
      <c r="P765" s="27" t="s">
        <v>28</v>
      </c>
      <c r="Q765" s="27" t="s">
        <v>14</v>
      </c>
    </row>
    <row r="766" spans="1:17" x14ac:dyDescent="0.3">
      <c r="A766" s="22">
        <v>28</v>
      </c>
      <c r="B766" s="19">
        <v>59.55</v>
      </c>
      <c r="C766" s="20">
        <f>Sales!$B766*Sales!$A766</f>
        <v>1667.3999999999999</v>
      </c>
      <c r="D766" s="21">
        <v>38057</v>
      </c>
      <c r="E766" s="22" t="s">
        <v>9</v>
      </c>
      <c r="F766" s="22">
        <v>1</v>
      </c>
      <c r="G766" s="22">
        <v>3</v>
      </c>
      <c r="H766" s="22">
        <v>2004</v>
      </c>
      <c r="I766" s="22" t="s">
        <v>104</v>
      </c>
      <c r="J766" s="20">
        <v>60</v>
      </c>
      <c r="K766" s="20">
        <f>Sales!$B766-Sales!$J766</f>
        <v>-0.45000000000000284</v>
      </c>
      <c r="L766" s="23">
        <f>(Sales!$J766-Sales!$B766)/Sales!$J766</f>
        <v>7.5000000000000474E-3</v>
      </c>
      <c r="M766" s="23" t="str">
        <f t="shared" si="11"/>
        <v>0%-5%</v>
      </c>
      <c r="N766" s="22" t="s">
        <v>64</v>
      </c>
      <c r="O766" s="22" t="s">
        <v>12</v>
      </c>
      <c r="P766" s="22" t="s">
        <v>13</v>
      </c>
      <c r="Q766" s="22" t="s">
        <v>14</v>
      </c>
    </row>
    <row r="767" spans="1:17" x14ac:dyDescent="0.3">
      <c r="A767" s="27">
        <v>30</v>
      </c>
      <c r="B767" s="24">
        <v>61.99</v>
      </c>
      <c r="C767" s="25">
        <f>Sales!$B767*Sales!$A767</f>
        <v>1859.7</v>
      </c>
      <c r="D767" s="26">
        <v>38112</v>
      </c>
      <c r="E767" s="27" t="s">
        <v>9</v>
      </c>
      <c r="F767" s="27">
        <v>2</v>
      </c>
      <c r="G767" s="27">
        <v>5</v>
      </c>
      <c r="H767" s="27">
        <v>2004</v>
      </c>
      <c r="I767" s="27" t="s">
        <v>104</v>
      </c>
      <c r="J767" s="25">
        <v>60</v>
      </c>
      <c r="K767" s="25">
        <f>Sales!$B767-Sales!$J767</f>
        <v>1.990000000000002</v>
      </c>
      <c r="L767" s="28">
        <f>(Sales!$J767-Sales!$B767)/Sales!$J767</f>
        <v>-3.3166666666666698E-2</v>
      </c>
      <c r="M767" s="28" t="str">
        <f t="shared" si="11"/>
        <v>Below 0%</v>
      </c>
      <c r="N767" s="27" t="s">
        <v>45</v>
      </c>
      <c r="O767" s="27" t="s">
        <v>46</v>
      </c>
      <c r="P767" s="27" t="s">
        <v>17</v>
      </c>
      <c r="Q767" s="27" t="s">
        <v>14</v>
      </c>
    </row>
    <row r="768" spans="1:17" x14ac:dyDescent="0.3">
      <c r="A768" s="22">
        <v>30</v>
      </c>
      <c r="B768" s="19">
        <v>49.22</v>
      </c>
      <c r="C768" s="20">
        <f>Sales!$B768*Sales!$A768</f>
        <v>1476.6</v>
      </c>
      <c r="D768" s="21">
        <v>38153</v>
      </c>
      <c r="E768" s="22" t="s">
        <v>9</v>
      </c>
      <c r="F768" s="22">
        <v>2</v>
      </c>
      <c r="G768" s="22">
        <v>6</v>
      </c>
      <c r="H768" s="22">
        <v>2004</v>
      </c>
      <c r="I768" s="22" t="s">
        <v>104</v>
      </c>
      <c r="J768" s="20">
        <v>60</v>
      </c>
      <c r="K768" s="20">
        <f>Sales!$B768-Sales!$J768</f>
        <v>-10.780000000000001</v>
      </c>
      <c r="L768" s="23">
        <f>(Sales!$J768-Sales!$B768)/Sales!$J768</f>
        <v>0.1796666666666667</v>
      </c>
      <c r="M768" s="23" t="str">
        <f t="shared" si="11"/>
        <v>15%-20%</v>
      </c>
      <c r="N768" s="22" t="s">
        <v>50</v>
      </c>
      <c r="O768" s="22" t="s">
        <v>50</v>
      </c>
      <c r="P768" s="22" t="s">
        <v>28</v>
      </c>
      <c r="Q768" s="22" t="s">
        <v>14</v>
      </c>
    </row>
    <row r="769" spans="1:17" x14ac:dyDescent="0.3">
      <c r="A769" s="27">
        <v>25</v>
      </c>
      <c r="B769" s="24">
        <v>69.28</v>
      </c>
      <c r="C769" s="25">
        <f>Sales!$B769*Sales!$A769</f>
        <v>1732</v>
      </c>
      <c r="D769" s="26">
        <v>38188</v>
      </c>
      <c r="E769" s="27" t="s">
        <v>9</v>
      </c>
      <c r="F769" s="27">
        <v>3</v>
      </c>
      <c r="G769" s="27">
        <v>7</v>
      </c>
      <c r="H769" s="27">
        <v>2004</v>
      </c>
      <c r="I769" s="27" t="s">
        <v>104</v>
      </c>
      <c r="J769" s="25">
        <v>60</v>
      </c>
      <c r="K769" s="25">
        <f>Sales!$B769-Sales!$J769</f>
        <v>9.2800000000000011</v>
      </c>
      <c r="L769" s="28">
        <f>(Sales!$J769-Sales!$B769)/Sales!$J769</f>
        <v>-0.15466666666666667</v>
      </c>
      <c r="M769" s="28" t="str">
        <f t="shared" si="11"/>
        <v>Below 0%</v>
      </c>
      <c r="N769" s="27" t="s">
        <v>64</v>
      </c>
      <c r="O769" s="27" t="s">
        <v>12</v>
      </c>
      <c r="P769" s="27" t="s">
        <v>13</v>
      </c>
      <c r="Q769" s="27" t="s">
        <v>14</v>
      </c>
    </row>
    <row r="770" spans="1:17" x14ac:dyDescent="0.3">
      <c r="A770" s="22">
        <v>29</v>
      </c>
      <c r="B770" s="19">
        <v>57.73</v>
      </c>
      <c r="C770" s="20">
        <f>Sales!$B770*Sales!$A770</f>
        <v>1674.1699999999998</v>
      </c>
      <c r="D770" s="21">
        <v>38218</v>
      </c>
      <c r="E770" s="22" t="s">
        <v>9</v>
      </c>
      <c r="F770" s="22">
        <v>3</v>
      </c>
      <c r="G770" s="22">
        <v>8</v>
      </c>
      <c r="H770" s="22">
        <v>2004</v>
      </c>
      <c r="I770" s="22" t="s">
        <v>104</v>
      </c>
      <c r="J770" s="20">
        <v>60</v>
      </c>
      <c r="K770" s="20">
        <f>Sales!$B770-Sales!$J770</f>
        <v>-2.2700000000000031</v>
      </c>
      <c r="L770" s="23">
        <f>(Sales!$J770-Sales!$B770)/Sales!$J770</f>
        <v>3.7833333333333385E-2</v>
      </c>
      <c r="M770" s="23" t="str">
        <f t="shared" si="11"/>
        <v>0%-5%</v>
      </c>
      <c r="N770" s="22" t="s">
        <v>36</v>
      </c>
      <c r="O770" s="22" t="s">
        <v>12</v>
      </c>
      <c r="P770" s="22" t="s">
        <v>13</v>
      </c>
      <c r="Q770" s="22" t="s">
        <v>14</v>
      </c>
    </row>
    <row r="771" spans="1:17" x14ac:dyDescent="0.3">
      <c r="A771" s="27">
        <v>26</v>
      </c>
      <c r="B771" s="24">
        <v>57.73</v>
      </c>
      <c r="C771" s="25">
        <f>Sales!$B771*Sales!$A771</f>
        <v>1500.98</v>
      </c>
      <c r="D771" s="26">
        <v>38238</v>
      </c>
      <c r="E771" s="27" t="s">
        <v>9</v>
      </c>
      <c r="F771" s="27">
        <v>3</v>
      </c>
      <c r="G771" s="27">
        <v>9</v>
      </c>
      <c r="H771" s="27">
        <v>2004</v>
      </c>
      <c r="I771" s="27" t="s">
        <v>104</v>
      </c>
      <c r="J771" s="25">
        <v>60</v>
      </c>
      <c r="K771" s="25">
        <f>Sales!$B771-Sales!$J771</f>
        <v>-2.2700000000000031</v>
      </c>
      <c r="L771" s="28">
        <f>(Sales!$J771-Sales!$B771)/Sales!$J771</f>
        <v>3.7833333333333385E-2</v>
      </c>
      <c r="M771" s="28" t="str">
        <f t="shared" ref="M771:M834" si="12">IF(L771&lt;0%,"Below 0%",IF(L771=0%,"0%",IF(AND(L771&lt;=5%,L771&gt;0%),"0%-5%",IF(AND(L771&lt;=10%,L771&gt;5%),"5%-10%",IF(AND(L771&lt;=15%,L771&gt;10%),"10%-15%",IF(AND(L771&lt;=20%,L771&gt;15%),"15%-20%","+20%"))))))</f>
        <v>0%-5%</v>
      </c>
      <c r="N771" s="27" t="s">
        <v>62</v>
      </c>
      <c r="O771" s="27" t="s">
        <v>49</v>
      </c>
      <c r="P771" s="27" t="s">
        <v>17</v>
      </c>
      <c r="Q771" s="27" t="s">
        <v>14</v>
      </c>
    </row>
    <row r="772" spans="1:17" x14ac:dyDescent="0.3">
      <c r="A772" s="22">
        <v>41</v>
      </c>
      <c r="B772" s="19">
        <v>53.48</v>
      </c>
      <c r="C772" s="20">
        <f>Sales!$B772*Sales!$A772</f>
        <v>2192.6799999999998</v>
      </c>
      <c r="D772" s="21">
        <v>38273</v>
      </c>
      <c r="E772" s="22" t="s">
        <v>9</v>
      </c>
      <c r="F772" s="22">
        <v>4</v>
      </c>
      <c r="G772" s="22">
        <v>10</v>
      </c>
      <c r="H772" s="22">
        <v>2004</v>
      </c>
      <c r="I772" s="22" t="s">
        <v>104</v>
      </c>
      <c r="J772" s="20">
        <v>60</v>
      </c>
      <c r="K772" s="20">
        <f>Sales!$B772-Sales!$J772</f>
        <v>-6.5200000000000031</v>
      </c>
      <c r="L772" s="23">
        <f>(Sales!$J772-Sales!$B772)/Sales!$J772</f>
        <v>0.10866666666666672</v>
      </c>
      <c r="M772" s="23" t="str">
        <f t="shared" si="12"/>
        <v>10%-15%</v>
      </c>
      <c r="N772" s="22" t="s">
        <v>32</v>
      </c>
      <c r="O772" s="22" t="s">
        <v>12</v>
      </c>
      <c r="P772" s="22" t="s">
        <v>13</v>
      </c>
      <c r="Q772" s="22" t="s">
        <v>14</v>
      </c>
    </row>
    <row r="773" spans="1:17" x14ac:dyDescent="0.3">
      <c r="A773" s="27">
        <v>34</v>
      </c>
      <c r="B773" s="24">
        <v>52.87</v>
      </c>
      <c r="C773" s="25">
        <f>Sales!$B773*Sales!$A773</f>
        <v>1797.58</v>
      </c>
      <c r="D773" s="26">
        <v>38282</v>
      </c>
      <c r="E773" s="27" t="s">
        <v>9</v>
      </c>
      <c r="F773" s="27">
        <v>4</v>
      </c>
      <c r="G773" s="27">
        <v>10</v>
      </c>
      <c r="H773" s="27">
        <v>2004</v>
      </c>
      <c r="I773" s="27" t="s">
        <v>104</v>
      </c>
      <c r="J773" s="25">
        <v>60</v>
      </c>
      <c r="K773" s="25">
        <f>Sales!$B773-Sales!$J773</f>
        <v>-7.1300000000000026</v>
      </c>
      <c r="L773" s="28">
        <f>(Sales!$J773-Sales!$B773)/Sales!$J773</f>
        <v>0.11883333333333337</v>
      </c>
      <c r="M773" s="28" t="str">
        <f t="shared" si="12"/>
        <v>10%-15%</v>
      </c>
      <c r="N773" s="27" t="s">
        <v>55</v>
      </c>
      <c r="O773" s="27" t="s">
        <v>56</v>
      </c>
      <c r="P773" s="27" t="s">
        <v>13</v>
      </c>
      <c r="Q773" s="27" t="s">
        <v>14</v>
      </c>
    </row>
    <row r="774" spans="1:17" x14ac:dyDescent="0.3">
      <c r="A774" s="22">
        <v>35</v>
      </c>
      <c r="B774" s="19">
        <v>61.21</v>
      </c>
      <c r="C774" s="20">
        <f>Sales!$B774*Sales!$A774</f>
        <v>2142.35</v>
      </c>
      <c r="D774" s="21">
        <v>38295</v>
      </c>
      <c r="E774" s="22" t="s">
        <v>9</v>
      </c>
      <c r="F774" s="22">
        <v>4</v>
      </c>
      <c r="G774" s="22">
        <v>11</v>
      </c>
      <c r="H774" s="22">
        <v>2004</v>
      </c>
      <c r="I774" s="22" t="s">
        <v>104</v>
      </c>
      <c r="J774" s="20">
        <v>60</v>
      </c>
      <c r="K774" s="20">
        <f>Sales!$B774-Sales!$J774</f>
        <v>1.2100000000000009</v>
      </c>
      <c r="L774" s="23">
        <f>(Sales!$J774-Sales!$B774)/Sales!$J774</f>
        <v>-2.016666666666668E-2</v>
      </c>
      <c r="M774" s="23" t="str">
        <f t="shared" si="12"/>
        <v>Below 0%</v>
      </c>
      <c r="N774" s="22" t="s">
        <v>65</v>
      </c>
      <c r="O774" s="22" t="s">
        <v>12</v>
      </c>
      <c r="P774" s="22" t="s">
        <v>13</v>
      </c>
      <c r="Q774" s="22" t="s">
        <v>14</v>
      </c>
    </row>
    <row r="775" spans="1:17" x14ac:dyDescent="0.3">
      <c r="A775" s="27">
        <v>34</v>
      </c>
      <c r="B775" s="24">
        <v>61.38</v>
      </c>
      <c r="C775" s="25">
        <f>Sales!$B775*Sales!$A775</f>
        <v>2086.92</v>
      </c>
      <c r="D775" s="26">
        <v>38310</v>
      </c>
      <c r="E775" s="27" t="s">
        <v>87</v>
      </c>
      <c r="F775" s="27">
        <v>4</v>
      </c>
      <c r="G775" s="27">
        <v>11</v>
      </c>
      <c r="H775" s="27">
        <v>2004</v>
      </c>
      <c r="I775" s="27" t="s">
        <v>104</v>
      </c>
      <c r="J775" s="25">
        <v>60</v>
      </c>
      <c r="K775" s="25">
        <f>Sales!$B775-Sales!$J775</f>
        <v>1.3800000000000026</v>
      </c>
      <c r="L775" s="28">
        <f>(Sales!$J775-Sales!$B775)/Sales!$J775</f>
        <v>-2.3000000000000041E-2</v>
      </c>
      <c r="M775" s="28" t="str">
        <f t="shared" si="12"/>
        <v>Below 0%</v>
      </c>
      <c r="N775" s="27" t="s">
        <v>48</v>
      </c>
      <c r="O775" s="27" t="s">
        <v>49</v>
      </c>
      <c r="P775" s="27" t="s">
        <v>17</v>
      </c>
      <c r="Q775" s="27" t="s">
        <v>14</v>
      </c>
    </row>
    <row r="776" spans="1:17" x14ac:dyDescent="0.3">
      <c r="A776" s="22">
        <v>50</v>
      </c>
      <c r="B776" s="19">
        <v>100</v>
      </c>
      <c r="C776" s="20">
        <f>Sales!$B776*Sales!$A776</f>
        <v>5000</v>
      </c>
      <c r="D776" s="21">
        <v>38320</v>
      </c>
      <c r="E776" s="22" t="s">
        <v>9</v>
      </c>
      <c r="F776" s="22">
        <v>4</v>
      </c>
      <c r="G776" s="22">
        <v>11</v>
      </c>
      <c r="H776" s="22">
        <v>2004</v>
      </c>
      <c r="I776" s="22" t="s">
        <v>104</v>
      </c>
      <c r="J776" s="20">
        <v>60</v>
      </c>
      <c r="K776" s="20">
        <f>Sales!$B776-Sales!$J776</f>
        <v>40</v>
      </c>
      <c r="L776" s="23">
        <f>(Sales!$J776-Sales!$B776)/Sales!$J776</f>
        <v>-0.66666666666666663</v>
      </c>
      <c r="M776" s="23" t="str">
        <f t="shared" si="12"/>
        <v>Below 0%</v>
      </c>
      <c r="N776" s="22" t="s">
        <v>26</v>
      </c>
      <c r="O776" s="22" t="s">
        <v>27</v>
      </c>
      <c r="P776" s="22" t="s">
        <v>28</v>
      </c>
      <c r="Q776" s="22" t="s">
        <v>19</v>
      </c>
    </row>
    <row r="777" spans="1:17" x14ac:dyDescent="0.3">
      <c r="A777" s="27">
        <v>41</v>
      </c>
      <c r="B777" s="24">
        <v>61.99</v>
      </c>
      <c r="C777" s="25">
        <f>Sales!$B777*Sales!$A777</f>
        <v>2541.59</v>
      </c>
      <c r="D777" s="26">
        <v>38331</v>
      </c>
      <c r="E777" s="27" t="s">
        <v>9</v>
      </c>
      <c r="F777" s="27">
        <v>4</v>
      </c>
      <c r="G777" s="27">
        <v>12</v>
      </c>
      <c r="H777" s="27">
        <v>2004</v>
      </c>
      <c r="I777" s="27" t="s">
        <v>104</v>
      </c>
      <c r="J777" s="25">
        <v>60</v>
      </c>
      <c r="K777" s="25">
        <f>Sales!$B777-Sales!$J777</f>
        <v>1.990000000000002</v>
      </c>
      <c r="L777" s="28">
        <f>(Sales!$J777-Sales!$B777)/Sales!$J777</f>
        <v>-3.3166666666666698E-2</v>
      </c>
      <c r="M777" s="28" t="str">
        <f t="shared" si="12"/>
        <v>Below 0%</v>
      </c>
      <c r="N777" s="27" t="s">
        <v>64</v>
      </c>
      <c r="O777" s="27" t="s">
        <v>12</v>
      </c>
      <c r="P777" s="27" t="s">
        <v>13</v>
      </c>
      <c r="Q777" s="27" t="s">
        <v>14</v>
      </c>
    </row>
    <row r="778" spans="1:17" x14ac:dyDescent="0.3">
      <c r="A778" s="22">
        <v>22</v>
      </c>
      <c r="B778" s="19">
        <v>96.86</v>
      </c>
      <c r="C778" s="20">
        <f>Sales!$B778*Sales!$A778</f>
        <v>2130.92</v>
      </c>
      <c r="D778" s="21">
        <v>38372</v>
      </c>
      <c r="E778" s="22" t="s">
        <v>9</v>
      </c>
      <c r="F778" s="22">
        <v>1</v>
      </c>
      <c r="G778" s="22">
        <v>1</v>
      </c>
      <c r="H778" s="22">
        <v>2005</v>
      </c>
      <c r="I778" s="22" t="s">
        <v>104</v>
      </c>
      <c r="J778" s="20">
        <v>60</v>
      </c>
      <c r="K778" s="20">
        <f>Sales!$B778-Sales!$J778</f>
        <v>36.86</v>
      </c>
      <c r="L778" s="23">
        <f>(Sales!$J778-Sales!$B778)/Sales!$J778</f>
        <v>-0.61433333333333329</v>
      </c>
      <c r="M778" s="23" t="str">
        <f t="shared" si="12"/>
        <v>Below 0%</v>
      </c>
      <c r="N778" s="22" t="s">
        <v>67</v>
      </c>
      <c r="O778" s="22" t="s">
        <v>27</v>
      </c>
      <c r="P778" s="22" t="s">
        <v>28</v>
      </c>
      <c r="Q778" s="22" t="s">
        <v>14</v>
      </c>
    </row>
    <row r="779" spans="1:17" x14ac:dyDescent="0.3">
      <c r="A779" s="27">
        <v>35</v>
      </c>
      <c r="B779" s="24">
        <v>48.62</v>
      </c>
      <c r="C779" s="25">
        <f>Sales!$B779*Sales!$A779</f>
        <v>1701.6999999999998</v>
      </c>
      <c r="D779" s="26">
        <v>38400</v>
      </c>
      <c r="E779" s="27" t="s">
        <v>9</v>
      </c>
      <c r="F779" s="27">
        <v>1</v>
      </c>
      <c r="G779" s="27">
        <v>2</v>
      </c>
      <c r="H779" s="27">
        <v>2005</v>
      </c>
      <c r="I779" s="27" t="s">
        <v>104</v>
      </c>
      <c r="J779" s="25">
        <v>60</v>
      </c>
      <c r="K779" s="25">
        <f>Sales!$B779-Sales!$J779</f>
        <v>-11.380000000000003</v>
      </c>
      <c r="L779" s="28">
        <f>(Sales!$J779-Sales!$B779)/Sales!$J779</f>
        <v>0.18966666666666671</v>
      </c>
      <c r="M779" s="28" t="str">
        <f t="shared" si="12"/>
        <v>15%-20%</v>
      </c>
      <c r="N779" s="27" t="s">
        <v>21</v>
      </c>
      <c r="O779" s="27" t="s">
        <v>12</v>
      </c>
      <c r="P779" s="27" t="s">
        <v>13</v>
      </c>
      <c r="Q779" s="27" t="s">
        <v>14</v>
      </c>
    </row>
    <row r="780" spans="1:17" x14ac:dyDescent="0.3">
      <c r="A780" s="22">
        <v>44</v>
      </c>
      <c r="B780" s="19">
        <v>38.5</v>
      </c>
      <c r="C780" s="20">
        <f>Sales!$B780*Sales!$A780</f>
        <v>1694</v>
      </c>
      <c r="D780" s="21">
        <v>38420</v>
      </c>
      <c r="E780" s="22" t="s">
        <v>9</v>
      </c>
      <c r="F780" s="22">
        <v>1</v>
      </c>
      <c r="G780" s="22">
        <v>3</v>
      </c>
      <c r="H780" s="22">
        <v>2005</v>
      </c>
      <c r="I780" s="22" t="s">
        <v>104</v>
      </c>
      <c r="J780" s="20">
        <v>60</v>
      </c>
      <c r="K780" s="20">
        <f>Sales!$B780-Sales!$J780</f>
        <v>-21.5</v>
      </c>
      <c r="L780" s="23">
        <f>(Sales!$J780-Sales!$B780)/Sales!$J780</f>
        <v>0.35833333333333334</v>
      </c>
      <c r="M780" s="23" t="str">
        <f t="shared" si="12"/>
        <v>+20%</v>
      </c>
      <c r="N780" s="22" t="s">
        <v>67</v>
      </c>
      <c r="O780" s="22" t="s">
        <v>27</v>
      </c>
      <c r="P780" s="22" t="s">
        <v>28</v>
      </c>
      <c r="Q780" s="22" t="s">
        <v>14</v>
      </c>
    </row>
    <row r="781" spans="1:17" x14ac:dyDescent="0.3">
      <c r="A781" s="27">
        <v>47</v>
      </c>
      <c r="B781" s="24">
        <v>61.99</v>
      </c>
      <c r="C781" s="25">
        <f>Sales!$B781*Sales!$A781</f>
        <v>2913.53</v>
      </c>
      <c r="D781" s="26">
        <v>38475</v>
      </c>
      <c r="E781" s="27" t="s">
        <v>9</v>
      </c>
      <c r="F781" s="27">
        <v>2</v>
      </c>
      <c r="G781" s="27">
        <v>5</v>
      </c>
      <c r="H781" s="27">
        <v>2005</v>
      </c>
      <c r="I781" s="27" t="s">
        <v>104</v>
      </c>
      <c r="J781" s="25">
        <v>60</v>
      </c>
      <c r="K781" s="25">
        <f>Sales!$B781-Sales!$J781</f>
        <v>1.990000000000002</v>
      </c>
      <c r="L781" s="28">
        <f>(Sales!$J781-Sales!$B781)/Sales!$J781</f>
        <v>-3.3166666666666698E-2</v>
      </c>
      <c r="M781" s="28" t="str">
        <f t="shared" si="12"/>
        <v>Below 0%</v>
      </c>
      <c r="N781" s="27" t="s">
        <v>45</v>
      </c>
      <c r="O781" s="27" t="s">
        <v>46</v>
      </c>
      <c r="P781" s="27" t="s">
        <v>17</v>
      </c>
      <c r="Q781" s="27" t="s">
        <v>14</v>
      </c>
    </row>
    <row r="782" spans="1:17" x14ac:dyDescent="0.3">
      <c r="A782" s="22">
        <v>19</v>
      </c>
      <c r="B782" s="19">
        <v>49.22</v>
      </c>
      <c r="C782" s="20">
        <f>Sales!$B782*Sales!$A782</f>
        <v>935.18</v>
      </c>
      <c r="D782" s="21">
        <v>38503</v>
      </c>
      <c r="E782" s="22" t="s">
        <v>69</v>
      </c>
      <c r="F782" s="22">
        <v>2</v>
      </c>
      <c r="G782" s="22">
        <v>5</v>
      </c>
      <c r="H782" s="22">
        <v>2005</v>
      </c>
      <c r="I782" s="22" t="s">
        <v>104</v>
      </c>
      <c r="J782" s="20">
        <v>60</v>
      </c>
      <c r="K782" s="20">
        <f>Sales!$B782-Sales!$J782</f>
        <v>-10.780000000000001</v>
      </c>
      <c r="L782" s="23">
        <f>(Sales!$J782-Sales!$B782)/Sales!$J782</f>
        <v>0.1796666666666667</v>
      </c>
      <c r="M782" s="23" t="str">
        <f t="shared" si="12"/>
        <v>15%-20%</v>
      </c>
      <c r="N782" s="22" t="s">
        <v>31</v>
      </c>
      <c r="O782" s="22" t="s">
        <v>16</v>
      </c>
      <c r="P782" s="22" t="s">
        <v>17</v>
      </c>
      <c r="Q782" s="22" t="s">
        <v>14</v>
      </c>
    </row>
    <row r="783" spans="1:17" x14ac:dyDescent="0.3">
      <c r="A783" s="27">
        <v>34</v>
      </c>
      <c r="B783" s="24">
        <v>90.39</v>
      </c>
      <c r="C783" s="25">
        <f>Sales!$B783*Sales!$A783</f>
        <v>3073.26</v>
      </c>
      <c r="D783" s="26">
        <v>37669</v>
      </c>
      <c r="E783" s="27" t="s">
        <v>9</v>
      </c>
      <c r="F783" s="27">
        <v>1</v>
      </c>
      <c r="G783" s="27">
        <v>2</v>
      </c>
      <c r="H783" s="27">
        <v>2003</v>
      </c>
      <c r="I783" s="27" t="s">
        <v>115</v>
      </c>
      <c r="J783" s="25">
        <v>84</v>
      </c>
      <c r="K783" s="25">
        <f>Sales!$B783-Sales!$J783</f>
        <v>6.3900000000000006</v>
      </c>
      <c r="L783" s="28">
        <f>(Sales!$J783-Sales!$B783)/Sales!$J783</f>
        <v>-7.6071428571428581E-2</v>
      </c>
      <c r="M783" s="28" t="str">
        <f t="shared" si="12"/>
        <v>Below 0%</v>
      </c>
      <c r="N783" s="27" t="s">
        <v>113</v>
      </c>
      <c r="O783" s="27" t="s">
        <v>61</v>
      </c>
      <c r="P783" s="27" t="s">
        <v>17</v>
      </c>
      <c r="Q783" s="27" t="s">
        <v>19</v>
      </c>
    </row>
    <row r="784" spans="1:17" x14ac:dyDescent="0.3">
      <c r="A784" s="22">
        <v>29</v>
      </c>
      <c r="B784" s="19">
        <v>71.81</v>
      </c>
      <c r="C784" s="20">
        <f>Sales!$B784*Sales!$A784</f>
        <v>2082.4900000000002</v>
      </c>
      <c r="D784" s="21">
        <v>37740</v>
      </c>
      <c r="E784" s="22" t="s">
        <v>9</v>
      </c>
      <c r="F784" s="22">
        <v>2</v>
      </c>
      <c r="G784" s="22">
        <v>4</v>
      </c>
      <c r="H784" s="22">
        <v>2003</v>
      </c>
      <c r="I784" s="22" t="s">
        <v>115</v>
      </c>
      <c r="J784" s="20">
        <v>84</v>
      </c>
      <c r="K784" s="20">
        <f>Sales!$B784-Sales!$J784</f>
        <v>-12.189999999999998</v>
      </c>
      <c r="L784" s="23">
        <f>(Sales!$J784-Sales!$B784)/Sales!$J784</f>
        <v>0.14511904761904759</v>
      </c>
      <c r="M784" s="23" t="str">
        <f t="shared" si="12"/>
        <v>10%-15%</v>
      </c>
      <c r="N784" s="22" t="s">
        <v>26</v>
      </c>
      <c r="O784" s="22" t="s">
        <v>27</v>
      </c>
      <c r="P784" s="22" t="s">
        <v>28</v>
      </c>
      <c r="Q784" s="22" t="s">
        <v>14</v>
      </c>
    </row>
    <row r="785" spans="1:17" x14ac:dyDescent="0.3">
      <c r="A785" s="27">
        <v>49</v>
      </c>
      <c r="B785" s="24">
        <v>69.27</v>
      </c>
      <c r="C785" s="25">
        <f>Sales!$B785*Sales!$A785</f>
        <v>3394.23</v>
      </c>
      <c r="D785" s="26">
        <v>37799</v>
      </c>
      <c r="E785" s="27" t="s">
        <v>9</v>
      </c>
      <c r="F785" s="27">
        <v>2</v>
      </c>
      <c r="G785" s="27">
        <v>6</v>
      </c>
      <c r="H785" s="27">
        <v>2003</v>
      </c>
      <c r="I785" s="27" t="s">
        <v>115</v>
      </c>
      <c r="J785" s="25">
        <v>84</v>
      </c>
      <c r="K785" s="25">
        <f>Sales!$B785-Sales!$J785</f>
        <v>-14.730000000000004</v>
      </c>
      <c r="L785" s="28">
        <f>(Sales!$J785-Sales!$B785)/Sales!$J785</f>
        <v>0.17535714285714291</v>
      </c>
      <c r="M785" s="28" t="str">
        <f t="shared" si="12"/>
        <v>15%-20%</v>
      </c>
      <c r="N785" s="27" t="s">
        <v>45</v>
      </c>
      <c r="O785" s="27" t="s">
        <v>46</v>
      </c>
      <c r="P785" s="27" t="s">
        <v>17</v>
      </c>
      <c r="Q785" s="27" t="s">
        <v>19</v>
      </c>
    </row>
    <row r="786" spans="1:17" x14ac:dyDescent="0.3">
      <c r="A786" s="22">
        <v>30</v>
      </c>
      <c r="B786" s="19">
        <v>85.32</v>
      </c>
      <c r="C786" s="20">
        <f>Sales!$B786*Sales!$A786</f>
        <v>2559.6</v>
      </c>
      <c r="D786" s="21">
        <v>37858</v>
      </c>
      <c r="E786" s="22" t="s">
        <v>9</v>
      </c>
      <c r="F786" s="22">
        <v>3</v>
      </c>
      <c r="G786" s="22">
        <v>8</v>
      </c>
      <c r="H786" s="22">
        <v>2003</v>
      </c>
      <c r="I786" s="22" t="s">
        <v>115</v>
      </c>
      <c r="J786" s="20">
        <v>84</v>
      </c>
      <c r="K786" s="20">
        <f>Sales!$B786-Sales!$J786</f>
        <v>1.3199999999999932</v>
      </c>
      <c r="L786" s="23">
        <f>(Sales!$J786-Sales!$B786)/Sales!$J786</f>
        <v>-1.5714285714285632E-2</v>
      </c>
      <c r="M786" s="23" t="str">
        <f t="shared" si="12"/>
        <v>Below 0%</v>
      </c>
      <c r="N786" s="22" t="s">
        <v>20</v>
      </c>
      <c r="O786" s="22" t="s">
        <v>12</v>
      </c>
      <c r="P786" s="22" t="s">
        <v>13</v>
      </c>
      <c r="Q786" s="22" t="s">
        <v>14</v>
      </c>
    </row>
    <row r="787" spans="1:17" x14ac:dyDescent="0.3">
      <c r="A787" s="27">
        <v>21</v>
      </c>
      <c r="B787" s="24">
        <v>70.959999999999994</v>
      </c>
      <c r="C787" s="25">
        <f>Sales!$B787*Sales!$A787</f>
        <v>1490.1599999999999</v>
      </c>
      <c r="D787" s="26">
        <v>37922</v>
      </c>
      <c r="E787" s="27" t="s">
        <v>9</v>
      </c>
      <c r="F787" s="27">
        <v>4</v>
      </c>
      <c r="G787" s="27">
        <v>10</v>
      </c>
      <c r="H787" s="27">
        <v>2003</v>
      </c>
      <c r="I787" s="27" t="s">
        <v>115</v>
      </c>
      <c r="J787" s="25">
        <v>84</v>
      </c>
      <c r="K787" s="25">
        <f>Sales!$B787-Sales!$J787</f>
        <v>-13.040000000000006</v>
      </c>
      <c r="L787" s="28">
        <f>(Sales!$J787-Sales!$B787)/Sales!$J787</f>
        <v>0.15523809523809531</v>
      </c>
      <c r="M787" s="28" t="str">
        <f t="shared" si="12"/>
        <v>15%-20%</v>
      </c>
      <c r="N787" s="27" t="s">
        <v>22</v>
      </c>
      <c r="O787" s="27" t="s">
        <v>12</v>
      </c>
      <c r="P787" s="27" t="s">
        <v>13</v>
      </c>
      <c r="Q787" s="27" t="s">
        <v>14</v>
      </c>
    </row>
    <row r="788" spans="1:17" x14ac:dyDescent="0.3">
      <c r="A788" s="22">
        <v>50</v>
      </c>
      <c r="B788" s="19">
        <v>76.88</v>
      </c>
      <c r="C788" s="20">
        <f>Sales!$B788*Sales!$A788</f>
        <v>3844</v>
      </c>
      <c r="D788" s="21">
        <v>37998</v>
      </c>
      <c r="E788" s="22" t="s">
        <v>9</v>
      </c>
      <c r="F788" s="22">
        <v>1</v>
      </c>
      <c r="G788" s="22">
        <v>1</v>
      </c>
      <c r="H788" s="22">
        <v>2004</v>
      </c>
      <c r="I788" s="22" t="s">
        <v>115</v>
      </c>
      <c r="J788" s="20">
        <v>84</v>
      </c>
      <c r="K788" s="20">
        <f>Sales!$B788-Sales!$J788</f>
        <v>-7.1200000000000045</v>
      </c>
      <c r="L788" s="23">
        <f>(Sales!$J788-Sales!$B788)/Sales!$J788</f>
        <v>8.4761904761904816E-2</v>
      </c>
      <c r="M788" s="23" t="str">
        <f t="shared" si="12"/>
        <v>5%-10%</v>
      </c>
      <c r="N788" s="22" t="s">
        <v>70</v>
      </c>
      <c r="O788" s="22" t="s">
        <v>51</v>
      </c>
      <c r="P788" s="22" t="s">
        <v>51</v>
      </c>
      <c r="Q788" s="22" t="s">
        <v>19</v>
      </c>
    </row>
    <row r="789" spans="1:17" x14ac:dyDescent="0.3">
      <c r="A789" s="27">
        <v>47</v>
      </c>
      <c r="B789" s="24">
        <v>100</v>
      </c>
      <c r="C789" s="25">
        <f>Sales!$B789*Sales!$A789</f>
        <v>4700</v>
      </c>
      <c r="D789" s="26">
        <v>38037</v>
      </c>
      <c r="E789" s="27" t="s">
        <v>9</v>
      </c>
      <c r="F789" s="27">
        <v>1</v>
      </c>
      <c r="G789" s="27">
        <v>2</v>
      </c>
      <c r="H789" s="27">
        <v>2004</v>
      </c>
      <c r="I789" s="27" t="s">
        <v>115</v>
      </c>
      <c r="J789" s="25">
        <v>84</v>
      </c>
      <c r="K789" s="25">
        <f>Sales!$B789-Sales!$J789</f>
        <v>16</v>
      </c>
      <c r="L789" s="28">
        <f>(Sales!$J789-Sales!$B789)/Sales!$J789</f>
        <v>-0.19047619047619047</v>
      </c>
      <c r="M789" s="28" t="str">
        <f t="shared" si="12"/>
        <v>Below 0%</v>
      </c>
      <c r="N789" s="27" t="s">
        <v>26</v>
      </c>
      <c r="O789" s="27" t="s">
        <v>27</v>
      </c>
      <c r="P789" s="27" t="s">
        <v>28</v>
      </c>
      <c r="Q789" s="27" t="s">
        <v>19</v>
      </c>
    </row>
    <row r="790" spans="1:17" x14ac:dyDescent="0.3">
      <c r="A790" s="22">
        <v>24</v>
      </c>
      <c r="B790" s="19">
        <v>76.03</v>
      </c>
      <c r="C790" s="20">
        <f>Sales!$B790*Sales!$A790</f>
        <v>1824.72</v>
      </c>
      <c r="D790" s="21">
        <v>38079</v>
      </c>
      <c r="E790" s="22" t="s">
        <v>9</v>
      </c>
      <c r="F790" s="22">
        <v>2</v>
      </c>
      <c r="G790" s="22">
        <v>4</v>
      </c>
      <c r="H790" s="22">
        <v>2004</v>
      </c>
      <c r="I790" s="22" t="s">
        <v>115</v>
      </c>
      <c r="J790" s="20">
        <v>84</v>
      </c>
      <c r="K790" s="20">
        <f>Sales!$B790-Sales!$J790</f>
        <v>-7.9699999999999989</v>
      </c>
      <c r="L790" s="23">
        <f>(Sales!$J790-Sales!$B790)/Sales!$J790</f>
        <v>9.4880952380952371E-2</v>
      </c>
      <c r="M790" s="23" t="str">
        <f t="shared" si="12"/>
        <v>5%-10%</v>
      </c>
      <c r="N790" s="22" t="s">
        <v>82</v>
      </c>
      <c r="O790" s="22" t="s">
        <v>56</v>
      </c>
      <c r="P790" s="22" t="s">
        <v>13</v>
      </c>
      <c r="Q790" s="22" t="s">
        <v>14</v>
      </c>
    </row>
    <row r="791" spans="1:17" x14ac:dyDescent="0.3">
      <c r="A791" s="27">
        <v>27</v>
      </c>
      <c r="B791" s="24">
        <v>98.84</v>
      </c>
      <c r="C791" s="25">
        <f>Sales!$B791*Sales!$A791</f>
        <v>2668.6800000000003</v>
      </c>
      <c r="D791" s="26">
        <v>38118</v>
      </c>
      <c r="E791" s="27" t="s">
        <v>9</v>
      </c>
      <c r="F791" s="27">
        <v>2</v>
      </c>
      <c r="G791" s="27">
        <v>5</v>
      </c>
      <c r="H791" s="27">
        <v>2004</v>
      </c>
      <c r="I791" s="27" t="s">
        <v>115</v>
      </c>
      <c r="J791" s="25">
        <v>84</v>
      </c>
      <c r="K791" s="25">
        <f>Sales!$B791-Sales!$J791</f>
        <v>14.840000000000003</v>
      </c>
      <c r="L791" s="28">
        <f>(Sales!$J791-Sales!$B791)/Sales!$J791</f>
        <v>-0.17666666666666669</v>
      </c>
      <c r="M791" s="28" t="str">
        <f t="shared" si="12"/>
        <v>Below 0%</v>
      </c>
      <c r="N791" s="27" t="s">
        <v>86</v>
      </c>
      <c r="O791" s="27" t="s">
        <v>12</v>
      </c>
      <c r="P791" s="27" t="s">
        <v>13</v>
      </c>
      <c r="Q791" s="27" t="s">
        <v>14</v>
      </c>
    </row>
    <row r="792" spans="1:17" x14ac:dyDescent="0.3">
      <c r="A792" s="22">
        <v>33</v>
      </c>
      <c r="B792" s="19">
        <v>86.17</v>
      </c>
      <c r="C792" s="20">
        <f>Sales!$B792*Sales!$A792</f>
        <v>2843.61</v>
      </c>
      <c r="D792" s="21">
        <v>38166</v>
      </c>
      <c r="E792" s="22" t="s">
        <v>9</v>
      </c>
      <c r="F792" s="22">
        <v>2</v>
      </c>
      <c r="G792" s="22">
        <v>6</v>
      </c>
      <c r="H792" s="22">
        <v>2004</v>
      </c>
      <c r="I792" s="22" t="s">
        <v>115</v>
      </c>
      <c r="J792" s="20">
        <v>84</v>
      </c>
      <c r="K792" s="20">
        <f>Sales!$B792-Sales!$J792</f>
        <v>2.1700000000000017</v>
      </c>
      <c r="L792" s="23">
        <f>(Sales!$J792-Sales!$B792)/Sales!$J792</f>
        <v>-2.5833333333333354E-2</v>
      </c>
      <c r="M792" s="23" t="str">
        <f t="shared" si="12"/>
        <v>Below 0%</v>
      </c>
      <c r="N792" s="22" t="s">
        <v>30</v>
      </c>
      <c r="O792" s="22" t="s">
        <v>12</v>
      </c>
      <c r="P792" s="22" t="s">
        <v>13</v>
      </c>
      <c r="Q792" s="22" t="s">
        <v>14</v>
      </c>
    </row>
    <row r="793" spans="1:17" x14ac:dyDescent="0.3">
      <c r="A793" s="27">
        <v>35</v>
      </c>
      <c r="B793" s="24">
        <v>90.39</v>
      </c>
      <c r="C793" s="25">
        <f>Sales!$B793*Sales!$A793</f>
        <v>3163.65</v>
      </c>
      <c r="D793" s="26">
        <v>38191</v>
      </c>
      <c r="E793" s="27" t="s">
        <v>9</v>
      </c>
      <c r="F793" s="27">
        <v>3</v>
      </c>
      <c r="G793" s="27">
        <v>7</v>
      </c>
      <c r="H793" s="27">
        <v>2004</v>
      </c>
      <c r="I793" s="27" t="s">
        <v>115</v>
      </c>
      <c r="J793" s="25">
        <v>84</v>
      </c>
      <c r="K793" s="25">
        <f>Sales!$B793-Sales!$J793</f>
        <v>6.3900000000000006</v>
      </c>
      <c r="L793" s="28">
        <f>(Sales!$J793-Sales!$B793)/Sales!$J793</f>
        <v>-7.6071428571428581E-2</v>
      </c>
      <c r="M793" s="28" t="str">
        <f t="shared" si="12"/>
        <v>Below 0%</v>
      </c>
      <c r="N793" s="27" t="s">
        <v>31</v>
      </c>
      <c r="O793" s="27" t="s">
        <v>16</v>
      </c>
      <c r="P793" s="27" t="s">
        <v>17</v>
      </c>
      <c r="Q793" s="27" t="s">
        <v>19</v>
      </c>
    </row>
    <row r="794" spans="1:17" x14ac:dyDescent="0.3">
      <c r="A794" s="22">
        <v>31</v>
      </c>
      <c r="B794" s="19">
        <v>71.81</v>
      </c>
      <c r="C794" s="20">
        <f>Sales!$B794*Sales!$A794</f>
        <v>2226.11</v>
      </c>
      <c r="D794" s="21">
        <v>38220</v>
      </c>
      <c r="E794" s="22" t="s">
        <v>9</v>
      </c>
      <c r="F794" s="22">
        <v>3</v>
      </c>
      <c r="G794" s="22">
        <v>8</v>
      </c>
      <c r="H794" s="22">
        <v>2004</v>
      </c>
      <c r="I794" s="22" t="s">
        <v>115</v>
      </c>
      <c r="J794" s="20">
        <v>84</v>
      </c>
      <c r="K794" s="20">
        <f>Sales!$B794-Sales!$J794</f>
        <v>-12.189999999999998</v>
      </c>
      <c r="L794" s="23">
        <f>(Sales!$J794-Sales!$B794)/Sales!$J794</f>
        <v>0.14511904761904759</v>
      </c>
      <c r="M794" s="23" t="str">
        <f t="shared" si="12"/>
        <v>10%-15%</v>
      </c>
      <c r="N794" s="22" t="s">
        <v>110</v>
      </c>
      <c r="O794" s="22" t="s">
        <v>25</v>
      </c>
      <c r="P794" s="22" t="s">
        <v>17</v>
      </c>
      <c r="Q794" s="22" t="s">
        <v>14</v>
      </c>
    </row>
    <row r="795" spans="1:17" x14ac:dyDescent="0.3">
      <c r="A795" s="27">
        <v>25</v>
      </c>
      <c r="B795" s="24">
        <v>82.79</v>
      </c>
      <c r="C795" s="25">
        <f>Sales!$B795*Sales!$A795</f>
        <v>2069.75</v>
      </c>
      <c r="D795" s="26">
        <v>38246</v>
      </c>
      <c r="E795" s="27" t="s">
        <v>9</v>
      </c>
      <c r="F795" s="27">
        <v>3</v>
      </c>
      <c r="G795" s="27">
        <v>9</v>
      </c>
      <c r="H795" s="27">
        <v>2004</v>
      </c>
      <c r="I795" s="27" t="s">
        <v>115</v>
      </c>
      <c r="J795" s="25">
        <v>84</v>
      </c>
      <c r="K795" s="25">
        <f>Sales!$B795-Sales!$J795</f>
        <v>-1.2099999999999937</v>
      </c>
      <c r="L795" s="28">
        <f>(Sales!$J795-Sales!$B795)/Sales!$J795</f>
        <v>1.440476190476183E-2</v>
      </c>
      <c r="M795" s="28" t="str">
        <f t="shared" si="12"/>
        <v>0%-5%</v>
      </c>
      <c r="N795" s="27" t="s">
        <v>100</v>
      </c>
      <c r="O795" s="27" t="s">
        <v>101</v>
      </c>
      <c r="P795" s="27" t="s">
        <v>17</v>
      </c>
      <c r="Q795" s="27" t="s">
        <v>14</v>
      </c>
    </row>
    <row r="796" spans="1:17" x14ac:dyDescent="0.3">
      <c r="A796" s="22">
        <v>27</v>
      </c>
      <c r="B796" s="19">
        <v>82.79</v>
      </c>
      <c r="C796" s="20">
        <f>Sales!$B796*Sales!$A796</f>
        <v>2235.3300000000004</v>
      </c>
      <c r="D796" s="21">
        <v>38275</v>
      </c>
      <c r="E796" s="22" t="s">
        <v>9</v>
      </c>
      <c r="F796" s="22">
        <v>4</v>
      </c>
      <c r="G796" s="22">
        <v>10</v>
      </c>
      <c r="H796" s="22">
        <v>2004</v>
      </c>
      <c r="I796" s="22" t="s">
        <v>115</v>
      </c>
      <c r="J796" s="20">
        <v>84</v>
      </c>
      <c r="K796" s="20">
        <f>Sales!$B796-Sales!$J796</f>
        <v>-1.2099999999999937</v>
      </c>
      <c r="L796" s="23">
        <f>(Sales!$J796-Sales!$B796)/Sales!$J796</f>
        <v>1.440476190476183E-2</v>
      </c>
      <c r="M796" s="23" t="str">
        <f t="shared" si="12"/>
        <v>0%-5%</v>
      </c>
      <c r="N796" s="22" t="s">
        <v>71</v>
      </c>
      <c r="O796" s="22" t="s">
        <v>12</v>
      </c>
      <c r="P796" s="22" t="s">
        <v>13</v>
      </c>
      <c r="Q796" s="22" t="s">
        <v>14</v>
      </c>
    </row>
    <row r="797" spans="1:17" x14ac:dyDescent="0.3">
      <c r="A797" s="27">
        <v>31</v>
      </c>
      <c r="B797" s="24">
        <v>100</v>
      </c>
      <c r="C797" s="25">
        <f>Sales!$B797*Sales!$A797</f>
        <v>3100</v>
      </c>
      <c r="D797" s="26">
        <v>38293</v>
      </c>
      <c r="E797" s="27" t="s">
        <v>9</v>
      </c>
      <c r="F797" s="27">
        <v>4</v>
      </c>
      <c r="G797" s="27">
        <v>11</v>
      </c>
      <c r="H797" s="27">
        <v>2004</v>
      </c>
      <c r="I797" s="27" t="s">
        <v>115</v>
      </c>
      <c r="J797" s="25">
        <v>84</v>
      </c>
      <c r="K797" s="25">
        <f>Sales!$B797-Sales!$J797</f>
        <v>16</v>
      </c>
      <c r="L797" s="28">
        <f>(Sales!$J797-Sales!$B797)/Sales!$J797</f>
        <v>-0.19047619047619047</v>
      </c>
      <c r="M797" s="28" t="str">
        <f t="shared" si="12"/>
        <v>Below 0%</v>
      </c>
      <c r="N797" s="27" t="s">
        <v>36</v>
      </c>
      <c r="O797" s="27" t="s">
        <v>12</v>
      </c>
      <c r="P797" s="27" t="s">
        <v>13</v>
      </c>
      <c r="Q797" s="27" t="s">
        <v>19</v>
      </c>
    </row>
    <row r="798" spans="1:17" x14ac:dyDescent="0.3">
      <c r="A798" s="22">
        <v>45</v>
      </c>
      <c r="B798" s="19">
        <v>100</v>
      </c>
      <c r="C798" s="20">
        <f>Sales!$B798*Sales!$A798</f>
        <v>4500</v>
      </c>
      <c r="D798" s="21">
        <v>38301</v>
      </c>
      <c r="E798" s="22" t="s">
        <v>88</v>
      </c>
      <c r="F798" s="22">
        <v>4</v>
      </c>
      <c r="G798" s="22">
        <v>11</v>
      </c>
      <c r="H798" s="22">
        <v>2004</v>
      </c>
      <c r="I798" s="22" t="s">
        <v>115</v>
      </c>
      <c r="J798" s="20">
        <v>84</v>
      </c>
      <c r="K798" s="20">
        <f>Sales!$B798-Sales!$J798</f>
        <v>16</v>
      </c>
      <c r="L798" s="23">
        <f>(Sales!$J798-Sales!$B798)/Sales!$J798</f>
        <v>-0.19047619047619047</v>
      </c>
      <c r="M798" s="23" t="str">
        <f t="shared" si="12"/>
        <v>Below 0%</v>
      </c>
      <c r="N798" s="22" t="s">
        <v>72</v>
      </c>
      <c r="O798" s="22" t="s">
        <v>73</v>
      </c>
      <c r="P798" s="22" t="s">
        <v>17</v>
      </c>
      <c r="Q798" s="22" t="s">
        <v>19</v>
      </c>
    </row>
    <row r="799" spans="1:17" x14ac:dyDescent="0.3">
      <c r="A799" s="27">
        <v>27</v>
      </c>
      <c r="B799" s="24">
        <v>100</v>
      </c>
      <c r="C799" s="25">
        <f>Sales!$B799*Sales!$A799</f>
        <v>2700</v>
      </c>
      <c r="D799" s="26">
        <v>38314</v>
      </c>
      <c r="E799" s="27" t="s">
        <v>9</v>
      </c>
      <c r="F799" s="27">
        <v>4</v>
      </c>
      <c r="G799" s="27">
        <v>11</v>
      </c>
      <c r="H799" s="27">
        <v>2004</v>
      </c>
      <c r="I799" s="27" t="s">
        <v>115</v>
      </c>
      <c r="J799" s="25">
        <v>84</v>
      </c>
      <c r="K799" s="25">
        <f>Sales!$B799-Sales!$J799</f>
        <v>16</v>
      </c>
      <c r="L799" s="28">
        <f>(Sales!$J799-Sales!$B799)/Sales!$J799</f>
        <v>-0.19047619047619047</v>
      </c>
      <c r="M799" s="28" t="str">
        <f t="shared" si="12"/>
        <v>Below 0%</v>
      </c>
      <c r="N799" s="27" t="s">
        <v>59</v>
      </c>
      <c r="O799" s="27" t="s">
        <v>51</v>
      </c>
      <c r="P799" s="27" t="s">
        <v>51</v>
      </c>
      <c r="Q799" s="27" t="s">
        <v>14</v>
      </c>
    </row>
    <row r="800" spans="1:17" x14ac:dyDescent="0.3">
      <c r="A800" s="22">
        <v>27</v>
      </c>
      <c r="B800" s="19">
        <v>100</v>
      </c>
      <c r="C800" s="20">
        <f>Sales!$B800*Sales!$A800</f>
        <v>2700</v>
      </c>
      <c r="D800" s="21">
        <v>38325</v>
      </c>
      <c r="E800" s="22" t="s">
        <v>9</v>
      </c>
      <c r="F800" s="22">
        <v>4</v>
      </c>
      <c r="G800" s="22">
        <v>12</v>
      </c>
      <c r="H800" s="22">
        <v>2004</v>
      </c>
      <c r="I800" s="22" t="s">
        <v>115</v>
      </c>
      <c r="J800" s="20">
        <v>84</v>
      </c>
      <c r="K800" s="20">
        <f>Sales!$B800-Sales!$J800</f>
        <v>16</v>
      </c>
      <c r="L800" s="23">
        <f>(Sales!$J800-Sales!$B800)/Sales!$J800</f>
        <v>-0.19047619047619047</v>
      </c>
      <c r="M800" s="23" t="str">
        <f t="shared" si="12"/>
        <v>Below 0%</v>
      </c>
      <c r="N800" s="22" t="s">
        <v>105</v>
      </c>
      <c r="O800" s="22" t="s">
        <v>12</v>
      </c>
      <c r="P800" s="22" t="s">
        <v>13</v>
      </c>
      <c r="Q800" s="22" t="s">
        <v>19</v>
      </c>
    </row>
    <row r="801" spans="1:17" x14ac:dyDescent="0.3">
      <c r="A801" s="27">
        <v>42</v>
      </c>
      <c r="B801" s="24">
        <v>69.27</v>
      </c>
      <c r="C801" s="25">
        <f>Sales!$B801*Sales!$A801</f>
        <v>2909.3399999999997</v>
      </c>
      <c r="D801" s="26">
        <v>38385</v>
      </c>
      <c r="E801" s="27" t="s">
        <v>9</v>
      </c>
      <c r="F801" s="27">
        <v>1</v>
      </c>
      <c r="G801" s="27">
        <v>2</v>
      </c>
      <c r="H801" s="27">
        <v>2005</v>
      </c>
      <c r="I801" s="27" t="s">
        <v>115</v>
      </c>
      <c r="J801" s="25">
        <v>84</v>
      </c>
      <c r="K801" s="25">
        <f>Sales!$B801-Sales!$J801</f>
        <v>-14.730000000000004</v>
      </c>
      <c r="L801" s="28">
        <f>(Sales!$J801-Sales!$B801)/Sales!$J801</f>
        <v>0.17535714285714291</v>
      </c>
      <c r="M801" s="28" t="str">
        <f t="shared" si="12"/>
        <v>15%-20%</v>
      </c>
      <c r="N801" s="27" t="s">
        <v>52</v>
      </c>
      <c r="O801" s="27" t="s">
        <v>27</v>
      </c>
      <c r="P801" s="27" t="s">
        <v>28</v>
      </c>
      <c r="Q801" s="27" t="s">
        <v>14</v>
      </c>
    </row>
    <row r="802" spans="1:17" x14ac:dyDescent="0.3">
      <c r="A802" s="22">
        <v>21</v>
      </c>
      <c r="B802" s="19">
        <v>74.77</v>
      </c>
      <c r="C802" s="20">
        <f>Sales!$B802*Sales!$A802</f>
        <v>1570.1699999999998</v>
      </c>
      <c r="D802" s="21">
        <v>38412</v>
      </c>
      <c r="E802" s="22" t="s">
        <v>88</v>
      </c>
      <c r="F802" s="22">
        <v>1</v>
      </c>
      <c r="G802" s="22">
        <v>3</v>
      </c>
      <c r="H802" s="22">
        <v>2005</v>
      </c>
      <c r="I802" s="22" t="s">
        <v>115</v>
      </c>
      <c r="J802" s="20">
        <v>84</v>
      </c>
      <c r="K802" s="20">
        <f>Sales!$B802-Sales!$J802</f>
        <v>-9.230000000000004</v>
      </c>
      <c r="L802" s="23">
        <f>(Sales!$J802-Sales!$B802)/Sales!$J802</f>
        <v>0.10988095238095243</v>
      </c>
      <c r="M802" s="23" t="str">
        <f t="shared" si="12"/>
        <v>10%-15%</v>
      </c>
      <c r="N802" s="22" t="s">
        <v>45</v>
      </c>
      <c r="O802" s="22" t="s">
        <v>46</v>
      </c>
      <c r="P802" s="22" t="s">
        <v>17</v>
      </c>
      <c r="Q802" s="22" t="s">
        <v>14</v>
      </c>
    </row>
    <row r="803" spans="1:17" x14ac:dyDescent="0.3">
      <c r="A803" s="27">
        <v>34</v>
      </c>
      <c r="B803" s="24">
        <v>76.88</v>
      </c>
      <c r="C803" s="25">
        <f>Sales!$B803*Sales!$A803</f>
        <v>2613.92</v>
      </c>
      <c r="D803" s="26">
        <v>38441</v>
      </c>
      <c r="E803" s="27" t="s">
        <v>9</v>
      </c>
      <c r="F803" s="27">
        <v>1</v>
      </c>
      <c r="G803" s="27">
        <v>3</v>
      </c>
      <c r="H803" s="27">
        <v>2005</v>
      </c>
      <c r="I803" s="27" t="s">
        <v>115</v>
      </c>
      <c r="J803" s="25">
        <v>84</v>
      </c>
      <c r="K803" s="25">
        <f>Sales!$B803-Sales!$J803</f>
        <v>-7.1200000000000045</v>
      </c>
      <c r="L803" s="28">
        <f>(Sales!$J803-Sales!$B803)/Sales!$J803</f>
        <v>8.4761904761904816E-2</v>
      </c>
      <c r="M803" s="28" t="str">
        <f t="shared" si="12"/>
        <v>5%-10%</v>
      </c>
      <c r="N803" s="27" t="s">
        <v>15</v>
      </c>
      <c r="O803" s="27" t="s">
        <v>16</v>
      </c>
      <c r="P803" s="27" t="s">
        <v>17</v>
      </c>
      <c r="Q803" s="27" t="s">
        <v>14</v>
      </c>
    </row>
    <row r="804" spans="1:17" x14ac:dyDescent="0.3">
      <c r="A804" s="22">
        <v>42</v>
      </c>
      <c r="B804" s="19">
        <v>76.03</v>
      </c>
      <c r="C804" s="20">
        <f>Sales!$B804*Sales!$A804</f>
        <v>3193.26</v>
      </c>
      <c r="D804" s="21">
        <v>38445</v>
      </c>
      <c r="E804" s="22" t="s">
        <v>87</v>
      </c>
      <c r="F804" s="22">
        <v>2</v>
      </c>
      <c r="G804" s="22">
        <v>4</v>
      </c>
      <c r="H804" s="22">
        <v>2005</v>
      </c>
      <c r="I804" s="22" t="s">
        <v>115</v>
      </c>
      <c r="J804" s="20">
        <v>84</v>
      </c>
      <c r="K804" s="20">
        <f>Sales!$B804-Sales!$J804</f>
        <v>-7.9699999999999989</v>
      </c>
      <c r="L804" s="23">
        <f>(Sales!$J804-Sales!$B804)/Sales!$J804</f>
        <v>9.4880952380952371E-2</v>
      </c>
      <c r="M804" s="23" t="str">
        <f t="shared" si="12"/>
        <v>5%-10%</v>
      </c>
      <c r="N804" s="22" t="s">
        <v>29</v>
      </c>
      <c r="O804" s="22" t="s">
        <v>12</v>
      </c>
      <c r="P804" s="22" t="s">
        <v>13</v>
      </c>
      <c r="Q804" s="22" t="s">
        <v>19</v>
      </c>
    </row>
    <row r="805" spans="1:17" x14ac:dyDescent="0.3">
      <c r="A805" s="27">
        <v>15</v>
      </c>
      <c r="B805" s="24">
        <v>98.84</v>
      </c>
      <c r="C805" s="25">
        <f>Sales!$B805*Sales!$A805</f>
        <v>1482.6000000000001</v>
      </c>
      <c r="D805" s="26">
        <v>38482</v>
      </c>
      <c r="E805" s="27" t="s">
        <v>9</v>
      </c>
      <c r="F805" s="27">
        <v>2</v>
      </c>
      <c r="G805" s="27">
        <v>5</v>
      </c>
      <c r="H805" s="27">
        <v>2005</v>
      </c>
      <c r="I805" s="27" t="s">
        <v>115</v>
      </c>
      <c r="J805" s="25">
        <v>84</v>
      </c>
      <c r="K805" s="25">
        <f>Sales!$B805-Sales!$J805</f>
        <v>14.840000000000003</v>
      </c>
      <c r="L805" s="28">
        <f>(Sales!$J805-Sales!$B805)/Sales!$J805</f>
        <v>-0.17666666666666669</v>
      </c>
      <c r="M805" s="28" t="str">
        <f t="shared" si="12"/>
        <v>Below 0%</v>
      </c>
      <c r="N805" s="27" t="s">
        <v>97</v>
      </c>
      <c r="O805" s="27" t="s">
        <v>61</v>
      </c>
      <c r="P805" s="27" t="s">
        <v>17</v>
      </c>
      <c r="Q805" s="27" t="s">
        <v>14</v>
      </c>
    </row>
    <row r="806" spans="1:17" x14ac:dyDescent="0.3">
      <c r="A806" s="22">
        <v>29</v>
      </c>
      <c r="B806" s="19">
        <v>70.87</v>
      </c>
      <c r="C806" s="20">
        <f>Sales!$B806*Sales!$A806</f>
        <v>2055.23</v>
      </c>
      <c r="D806" s="21">
        <v>37676</v>
      </c>
      <c r="E806" s="22" t="s">
        <v>9</v>
      </c>
      <c r="F806" s="22">
        <v>1</v>
      </c>
      <c r="G806" s="22">
        <v>2</v>
      </c>
      <c r="H806" s="22">
        <v>2003</v>
      </c>
      <c r="I806" s="22" t="s">
        <v>10</v>
      </c>
      <c r="J806" s="20">
        <v>60</v>
      </c>
      <c r="K806" s="20">
        <f>Sales!$B806-Sales!$J806</f>
        <v>10.870000000000005</v>
      </c>
      <c r="L806" s="23">
        <f>(Sales!$J806-Sales!$B806)/Sales!$J806</f>
        <v>-0.18116666666666675</v>
      </c>
      <c r="M806" s="23" t="str">
        <f t="shared" si="12"/>
        <v>Below 0%</v>
      </c>
      <c r="N806" s="22" t="s">
        <v>11</v>
      </c>
      <c r="O806" s="22" t="s">
        <v>12</v>
      </c>
      <c r="P806" s="22" t="s">
        <v>13</v>
      </c>
      <c r="Q806" s="22" t="s">
        <v>14</v>
      </c>
    </row>
    <row r="807" spans="1:17" x14ac:dyDescent="0.3">
      <c r="A807" s="27">
        <v>46</v>
      </c>
      <c r="B807" s="24">
        <v>58.15</v>
      </c>
      <c r="C807" s="25">
        <f>Sales!$B807*Sales!$A807</f>
        <v>2674.9</v>
      </c>
      <c r="D807" s="26">
        <v>37740</v>
      </c>
      <c r="E807" s="27" t="s">
        <v>9</v>
      </c>
      <c r="F807" s="27">
        <v>2</v>
      </c>
      <c r="G807" s="27">
        <v>4</v>
      </c>
      <c r="H807" s="27">
        <v>2003</v>
      </c>
      <c r="I807" s="27" t="s">
        <v>10</v>
      </c>
      <c r="J807" s="25">
        <v>60</v>
      </c>
      <c r="K807" s="25">
        <f>Sales!$B807-Sales!$J807</f>
        <v>-1.8500000000000014</v>
      </c>
      <c r="L807" s="28">
        <f>(Sales!$J807-Sales!$B807)/Sales!$J807</f>
        <v>3.0833333333333358E-2</v>
      </c>
      <c r="M807" s="28" t="str">
        <f t="shared" si="12"/>
        <v>0%-5%</v>
      </c>
      <c r="N807" s="27" t="s">
        <v>26</v>
      </c>
      <c r="O807" s="27" t="s">
        <v>27</v>
      </c>
      <c r="P807" s="27" t="s">
        <v>28</v>
      </c>
      <c r="Q807" s="27" t="s">
        <v>14</v>
      </c>
    </row>
    <row r="808" spans="1:17" x14ac:dyDescent="0.3">
      <c r="A808" s="22">
        <v>30</v>
      </c>
      <c r="B808" s="19">
        <v>61.78</v>
      </c>
      <c r="C808" s="20">
        <f>Sales!$B808*Sales!$A808</f>
        <v>1853.4</v>
      </c>
      <c r="D808" s="21">
        <v>37803</v>
      </c>
      <c r="E808" s="22" t="s">
        <v>9</v>
      </c>
      <c r="F808" s="22">
        <v>3</v>
      </c>
      <c r="G808" s="22">
        <v>7</v>
      </c>
      <c r="H808" s="22">
        <v>2003</v>
      </c>
      <c r="I808" s="22" t="s">
        <v>10</v>
      </c>
      <c r="J808" s="20">
        <v>60</v>
      </c>
      <c r="K808" s="20">
        <f>Sales!$B808-Sales!$J808</f>
        <v>1.7800000000000011</v>
      </c>
      <c r="L808" s="23">
        <f>(Sales!$J808-Sales!$B808)/Sales!$J808</f>
        <v>-2.9666666666666685E-2</v>
      </c>
      <c r="M808" s="23" t="str">
        <f t="shared" si="12"/>
        <v>Below 0%</v>
      </c>
      <c r="N808" s="22" t="s">
        <v>18</v>
      </c>
      <c r="O808" s="22" t="s">
        <v>16</v>
      </c>
      <c r="P808" s="22" t="s">
        <v>17</v>
      </c>
      <c r="Q808" s="22" t="s">
        <v>14</v>
      </c>
    </row>
    <row r="809" spans="1:17" x14ac:dyDescent="0.3">
      <c r="A809" s="27">
        <v>30</v>
      </c>
      <c r="B809" s="24">
        <v>49.67</v>
      </c>
      <c r="C809" s="25">
        <f>Sales!$B809*Sales!$A809</f>
        <v>1490.1000000000001</v>
      </c>
      <c r="D809" s="26">
        <v>37858</v>
      </c>
      <c r="E809" s="27" t="s">
        <v>9</v>
      </c>
      <c r="F809" s="27">
        <v>3</v>
      </c>
      <c r="G809" s="27">
        <v>8</v>
      </c>
      <c r="H809" s="27">
        <v>2003</v>
      </c>
      <c r="I809" s="27" t="s">
        <v>10</v>
      </c>
      <c r="J809" s="25">
        <v>60</v>
      </c>
      <c r="K809" s="25">
        <f>Sales!$B809-Sales!$J809</f>
        <v>-10.329999999999998</v>
      </c>
      <c r="L809" s="28">
        <f>(Sales!$J809-Sales!$B809)/Sales!$J809</f>
        <v>0.17216666666666663</v>
      </c>
      <c r="M809" s="28" t="str">
        <f t="shared" si="12"/>
        <v>15%-20%</v>
      </c>
      <c r="N809" s="27" t="s">
        <v>20</v>
      </c>
      <c r="O809" s="27" t="s">
        <v>12</v>
      </c>
      <c r="P809" s="27" t="s">
        <v>13</v>
      </c>
      <c r="Q809" s="27" t="s">
        <v>14</v>
      </c>
    </row>
    <row r="810" spans="1:17" x14ac:dyDescent="0.3">
      <c r="A810" s="22">
        <v>42</v>
      </c>
      <c r="B810" s="19">
        <v>51.48</v>
      </c>
      <c r="C810" s="20">
        <f>Sales!$B810*Sales!$A810</f>
        <v>2162.16</v>
      </c>
      <c r="D810" s="21">
        <v>37904</v>
      </c>
      <c r="E810" s="22" t="s">
        <v>9</v>
      </c>
      <c r="F810" s="22">
        <v>4</v>
      </c>
      <c r="G810" s="22">
        <v>10</v>
      </c>
      <c r="H810" s="22">
        <v>2003</v>
      </c>
      <c r="I810" s="22" t="s">
        <v>10</v>
      </c>
      <c r="J810" s="20">
        <v>60</v>
      </c>
      <c r="K810" s="20">
        <f>Sales!$B810-Sales!$J810</f>
        <v>-8.5200000000000031</v>
      </c>
      <c r="L810" s="23">
        <f>(Sales!$J810-Sales!$B810)/Sales!$J810</f>
        <v>0.14200000000000004</v>
      </c>
      <c r="M810" s="23" t="str">
        <f t="shared" si="12"/>
        <v>10%-15%</v>
      </c>
      <c r="N810" s="22" t="s">
        <v>21</v>
      </c>
      <c r="O810" s="22" t="s">
        <v>12</v>
      </c>
      <c r="P810" s="22" t="s">
        <v>13</v>
      </c>
      <c r="Q810" s="22" t="s">
        <v>14</v>
      </c>
    </row>
    <row r="811" spans="1:17" x14ac:dyDescent="0.3">
      <c r="A811" s="27">
        <v>46</v>
      </c>
      <c r="B811" s="24">
        <v>61.18</v>
      </c>
      <c r="C811" s="25">
        <f>Sales!$B811*Sales!$A811</f>
        <v>2814.28</v>
      </c>
      <c r="D811" s="26">
        <v>37922</v>
      </c>
      <c r="E811" s="27" t="s">
        <v>9</v>
      </c>
      <c r="F811" s="27">
        <v>4</v>
      </c>
      <c r="G811" s="27">
        <v>10</v>
      </c>
      <c r="H811" s="27">
        <v>2003</v>
      </c>
      <c r="I811" s="27" t="s">
        <v>10</v>
      </c>
      <c r="J811" s="25">
        <v>60</v>
      </c>
      <c r="K811" s="25">
        <f>Sales!$B811-Sales!$J811</f>
        <v>1.1799999999999997</v>
      </c>
      <c r="L811" s="28">
        <f>(Sales!$J811-Sales!$B811)/Sales!$J811</f>
        <v>-1.9666666666666662E-2</v>
      </c>
      <c r="M811" s="28" t="str">
        <f t="shared" si="12"/>
        <v>Below 0%</v>
      </c>
      <c r="N811" s="27" t="s">
        <v>22</v>
      </c>
      <c r="O811" s="27" t="s">
        <v>12</v>
      </c>
      <c r="P811" s="27" t="s">
        <v>13</v>
      </c>
      <c r="Q811" s="27" t="s">
        <v>14</v>
      </c>
    </row>
    <row r="812" spans="1:17" x14ac:dyDescent="0.3">
      <c r="A812" s="22">
        <v>25</v>
      </c>
      <c r="B812" s="19">
        <v>64.2</v>
      </c>
      <c r="C812" s="20">
        <f>Sales!$B812*Sales!$A812</f>
        <v>1605</v>
      </c>
      <c r="D812" s="21">
        <v>37936</v>
      </c>
      <c r="E812" s="22" t="s">
        <v>9</v>
      </c>
      <c r="F812" s="22">
        <v>4</v>
      </c>
      <c r="G812" s="22">
        <v>11</v>
      </c>
      <c r="H812" s="22">
        <v>2003</v>
      </c>
      <c r="I812" s="22" t="s">
        <v>10</v>
      </c>
      <c r="J812" s="20">
        <v>60</v>
      </c>
      <c r="K812" s="20">
        <f>Sales!$B812-Sales!$J812</f>
        <v>4.2000000000000028</v>
      </c>
      <c r="L812" s="23">
        <f>(Sales!$J812-Sales!$B812)/Sales!$J812</f>
        <v>-7.0000000000000048E-2</v>
      </c>
      <c r="M812" s="23" t="str">
        <f t="shared" si="12"/>
        <v>Below 0%</v>
      </c>
      <c r="N812" s="22" t="s">
        <v>23</v>
      </c>
      <c r="O812" s="22" t="s">
        <v>16</v>
      </c>
      <c r="P812" s="22" t="s">
        <v>17</v>
      </c>
      <c r="Q812" s="22" t="s">
        <v>14</v>
      </c>
    </row>
    <row r="813" spans="1:17" x14ac:dyDescent="0.3">
      <c r="A813" s="27">
        <v>32</v>
      </c>
      <c r="B813" s="24">
        <v>65.42</v>
      </c>
      <c r="C813" s="25">
        <f>Sales!$B813*Sales!$A813</f>
        <v>2093.44</v>
      </c>
      <c r="D813" s="26">
        <v>37943</v>
      </c>
      <c r="E813" s="27" t="s">
        <v>9</v>
      </c>
      <c r="F813" s="27">
        <v>4</v>
      </c>
      <c r="G813" s="27">
        <v>11</v>
      </c>
      <c r="H813" s="27">
        <v>2003</v>
      </c>
      <c r="I813" s="27" t="s">
        <v>10</v>
      </c>
      <c r="J813" s="25">
        <v>60</v>
      </c>
      <c r="K813" s="25">
        <f>Sales!$B813-Sales!$J813</f>
        <v>5.4200000000000017</v>
      </c>
      <c r="L813" s="28">
        <f>(Sales!$J813-Sales!$B813)/Sales!$J813</f>
        <v>-9.0333333333333363E-2</v>
      </c>
      <c r="M813" s="28" t="str">
        <f t="shared" si="12"/>
        <v>Below 0%</v>
      </c>
      <c r="N813" s="27" t="s">
        <v>24</v>
      </c>
      <c r="O813" s="27" t="s">
        <v>25</v>
      </c>
      <c r="P813" s="27" t="s">
        <v>17</v>
      </c>
      <c r="Q813" s="27" t="s">
        <v>14</v>
      </c>
    </row>
    <row r="814" spans="1:17" x14ac:dyDescent="0.3">
      <c r="A814" s="22">
        <v>30</v>
      </c>
      <c r="B814" s="19">
        <v>64.81</v>
      </c>
      <c r="C814" s="20">
        <f>Sales!$B814*Sales!$A814</f>
        <v>1944.3000000000002</v>
      </c>
      <c r="D814" s="21">
        <v>37956</v>
      </c>
      <c r="E814" s="22" t="s">
        <v>9</v>
      </c>
      <c r="F814" s="22">
        <v>4</v>
      </c>
      <c r="G814" s="22">
        <v>12</v>
      </c>
      <c r="H814" s="22">
        <v>2003</v>
      </c>
      <c r="I814" s="22" t="s">
        <v>10</v>
      </c>
      <c r="J814" s="20">
        <v>60</v>
      </c>
      <c r="K814" s="20">
        <f>Sales!$B814-Sales!$J814</f>
        <v>4.8100000000000023</v>
      </c>
      <c r="L814" s="23">
        <f>(Sales!$J814-Sales!$B814)/Sales!$J814</f>
        <v>-8.0166666666666705E-2</v>
      </c>
      <c r="M814" s="23" t="str">
        <f t="shared" si="12"/>
        <v>Below 0%</v>
      </c>
      <c r="N814" s="22" t="s">
        <v>21</v>
      </c>
      <c r="O814" s="22" t="s">
        <v>12</v>
      </c>
      <c r="P814" s="22" t="s">
        <v>13</v>
      </c>
      <c r="Q814" s="22" t="s">
        <v>14</v>
      </c>
    </row>
    <row r="815" spans="1:17" x14ac:dyDescent="0.3">
      <c r="A815" s="27">
        <v>40</v>
      </c>
      <c r="B815" s="24">
        <v>49.67</v>
      </c>
      <c r="C815" s="25">
        <f>Sales!$B815*Sales!$A815</f>
        <v>1986.8000000000002</v>
      </c>
      <c r="D815" s="26">
        <v>37998</v>
      </c>
      <c r="E815" s="27" t="s">
        <v>9</v>
      </c>
      <c r="F815" s="27">
        <v>1</v>
      </c>
      <c r="G815" s="27">
        <v>1</v>
      </c>
      <c r="H815" s="27">
        <v>2004</v>
      </c>
      <c r="I815" s="27" t="s">
        <v>10</v>
      </c>
      <c r="J815" s="25">
        <v>60</v>
      </c>
      <c r="K815" s="25">
        <f>Sales!$B815-Sales!$J815</f>
        <v>-10.329999999999998</v>
      </c>
      <c r="L815" s="28">
        <f>(Sales!$J815-Sales!$B815)/Sales!$J815</f>
        <v>0.17216666666666663</v>
      </c>
      <c r="M815" s="28" t="str">
        <f t="shared" si="12"/>
        <v>15%-20%</v>
      </c>
      <c r="N815" s="27" t="s">
        <v>70</v>
      </c>
      <c r="O815" s="27" t="s">
        <v>51</v>
      </c>
      <c r="P815" s="27" t="s">
        <v>51</v>
      </c>
      <c r="Q815" s="27" t="s">
        <v>14</v>
      </c>
    </row>
    <row r="816" spans="1:17" x14ac:dyDescent="0.3">
      <c r="A816" s="22">
        <v>28</v>
      </c>
      <c r="B816" s="19">
        <v>60.57</v>
      </c>
      <c r="C816" s="20">
        <f>Sales!$B816*Sales!$A816</f>
        <v>1695.96</v>
      </c>
      <c r="D816" s="21">
        <v>38037</v>
      </c>
      <c r="E816" s="22" t="s">
        <v>9</v>
      </c>
      <c r="F816" s="22">
        <v>1</v>
      </c>
      <c r="G816" s="22">
        <v>2</v>
      </c>
      <c r="H816" s="22">
        <v>2004</v>
      </c>
      <c r="I816" s="22" t="s">
        <v>10</v>
      </c>
      <c r="J816" s="20">
        <v>60</v>
      </c>
      <c r="K816" s="20">
        <f>Sales!$B816-Sales!$J816</f>
        <v>0.57000000000000028</v>
      </c>
      <c r="L816" s="23">
        <f>(Sales!$J816-Sales!$B816)/Sales!$J816</f>
        <v>-9.500000000000005E-3</v>
      </c>
      <c r="M816" s="23" t="str">
        <f t="shared" si="12"/>
        <v>Below 0%</v>
      </c>
      <c r="N816" s="22" t="s">
        <v>26</v>
      </c>
      <c r="O816" s="22" t="s">
        <v>27</v>
      </c>
      <c r="P816" s="22" t="s">
        <v>28</v>
      </c>
      <c r="Q816" s="22" t="s">
        <v>14</v>
      </c>
    </row>
    <row r="817" spans="1:17" x14ac:dyDescent="0.3">
      <c r="A817" s="27">
        <v>23</v>
      </c>
      <c r="B817" s="24">
        <v>55.72</v>
      </c>
      <c r="C817" s="25">
        <f>Sales!$B817*Sales!$A817</f>
        <v>1281.56</v>
      </c>
      <c r="D817" s="26">
        <v>38080</v>
      </c>
      <c r="E817" s="27" t="s">
        <v>9</v>
      </c>
      <c r="F817" s="27">
        <v>2</v>
      </c>
      <c r="G817" s="27">
        <v>4</v>
      </c>
      <c r="H817" s="27">
        <v>2004</v>
      </c>
      <c r="I817" s="27" t="s">
        <v>10</v>
      </c>
      <c r="J817" s="25">
        <v>60</v>
      </c>
      <c r="K817" s="25">
        <f>Sales!$B817-Sales!$J817</f>
        <v>-4.2800000000000011</v>
      </c>
      <c r="L817" s="28">
        <f>(Sales!$J817-Sales!$B817)/Sales!$J817</f>
        <v>7.1333333333333346E-2</v>
      </c>
      <c r="M817" s="28" t="str">
        <f t="shared" si="12"/>
        <v>5%-10%</v>
      </c>
      <c r="N817" s="27" t="s">
        <v>53</v>
      </c>
      <c r="O817" s="27" t="s">
        <v>12</v>
      </c>
      <c r="P817" s="27" t="s">
        <v>13</v>
      </c>
      <c r="Q817" s="27" t="s">
        <v>14</v>
      </c>
    </row>
    <row r="818" spans="1:17" x14ac:dyDescent="0.3">
      <c r="A818" s="22">
        <v>29</v>
      </c>
      <c r="B818" s="19">
        <v>61.18</v>
      </c>
      <c r="C818" s="20">
        <f>Sales!$B818*Sales!$A818</f>
        <v>1774.22</v>
      </c>
      <c r="D818" s="21">
        <v>38125</v>
      </c>
      <c r="E818" s="22" t="s">
        <v>9</v>
      </c>
      <c r="F818" s="22">
        <v>2</v>
      </c>
      <c r="G818" s="22">
        <v>5</v>
      </c>
      <c r="H818" s="22">
        <v>2004</v>
      </c>
      <c r="I818" s="22" t="s">
        <v>10</v>
      </c>
      <c r="J818" s="20">
        <v>60</v>
      </c>
      <c r="K818" s="20">
        <f>Sales!$B818-Sales!$J818</f>
        <v>1.1799999999999997</v>
      </c>
      <c r="L818" s="23">
        <f>(Sales!$J818-Sales!$B818)/Sales!$J818</f>
        <v>-1.9666666666666662E-2</v>
      </c>
      <c r="M818" s="23" t="str">
        <f t="shared" si="12"/>
        <v>Below 0%</v>
      </c>
      <c r="N818" s="22" t="s">
        <v>29</v>
      </c>
      <c r="O818" s="22" t="s">
        <v>12</v>
      </c>
      <c r="P818" s="22" t="s">
        <v>13</v>
      </c>
      <c r="Q818" s="22" t="s">
        <v>14</v>
      </c>
    </row>
    <row r="819" spans="1:17" x14ac:dyDescent="0.3">
      <c r="A819" s="27">
        <v>34</v>
      </c>
      <c r="B819" s="24">
        <v>58.75</v>
      </c>
      <c r="C819" s="25">
        <f>Sales!$B819*Sales!$A819</f>
        <v>1997.5</v>
      </c>
      <c r="D819" s="26">
        <v>38166</v>
      </c>
      <c r="E819" s="27" t="s">
        <v>9</v>
      </c>
      <c r="F819" s="27">
        <v>2</v>
      </c>
      <c r="G819" s="27">
        <v>6</v>
      </c>
      <c r="H819" s="27">
        <v>2004</v>
      </c>
      <c r="I819" s="27" t="s">
        <v>10</v>
      </c>
      <c r="J819" s="25">
        <v>60</v>
      </c>
      <c r="K819" s="25">
        <f>Sales!$B819-Sales!$J819</f>
        <v>-1.25</v>
      </c>
      <c r="L819" s="28">
        <f>(Sales!$J819-Sales!$B819)/Sales!$J819</f>
        <v>2.0833333333333332E-2</v>
      </c>
      <c r="M819" s="28" t="str">
        <f t="shared" si="12"/>
        <v>0%-5%</v>
      </c>
      <c r="N819" s="27" t="s">
        <v>30</v>
      </c>
      <c r="O819" s="27" t="s">
        <v>12</v>
      </c>
      <c r="P819" s="27" t="s">
        <v>13</v>
      </c>
      <c r="Q819" s="27" t="s">
        <v>14</v>
      </c>
    </row>
    <row r="820" spans="1:17" x14ac:dyDescent="0.3">
      <c r="A820" s="22">
        <v>37</v>
      </c>
      <c r="B820" s="19">
        <v>63.6</v>
      </c>
      <c r="C820" s="20">
        <f>Sales!$B820*Sales!$A820</f>
        <v>2353.2000000000003</v>
      </c>
      <c r="D820" s="21">
        <v>38191</v>
      </c>
      <c r="E820" s="22" t="s">
        <v>9</v>
      </c>
      <c r="F820" s="22">
        <v>3</v>
      </c>
      <c r="G820" s="22">
        <v>7</v>
      </c>
      <c r="H820" s="22">
        <v>2004</v>
      </c>
      <c r="I820" s="22" t="s">
        <v>10</v>
      </c>
      <c r="J820" s="20">
        <v>60</v>
      </c>
      <c r="K820" s="20">
        <f>Sales!$B820-Sales!$J820</f>
        <v>3.6000000000000014</v>
      </c>
      <c r="L820" s="23">
        <f>(Sales!$J820-Sales!$B820)/Sales!$J820</f>
        <v>-6.0000000000000026E-2</v>
      </c>
      <c r="M820" s="23" t="str">
        <f t="shared" si="12"/>
        <v>Below 0%</v>
      </c>
      <c r="N820" s="22" t="s">
        <v>31</v>
      </c>
      <c r="O820" s="22" t="s">
        <v>16</v>
      </c>
      <c r="P820" s="22" t="s">
        <v>17</v>
      </c>
      <c r="Q820" s="22" t="s">
        <v>14</v>
      </c>
    </row>
    <row r="821" spans="1:17" x14ac:dyDescent="0.3">
      <c r="A821" s="27">
        <v>20</v>
      </c>
      <c r="B821" s="24">
        <v>49.06</v>
      </c>
      <c r="C821" s="25">
        <f>Sales!$B821*Sales!$A821</f>
        <v>981.2</v>
      </c>
      <c r="D821" s="26">
        <v>38226</v>
      </c>
      <c r="E821" s="27" t="s">
        <v>9</v>
      </c>
      <c r="F821" s="27">
        <v>3</v>
      </c>
      <c r="G821" s="27">
        <v>8</v>
      </c>
      <c r="H821" s="27">
        <v>2004</v>
      </c>
      <c r="I821" s="27" t="s">
        <v>10</v>
      </c>
      <c r="J821" s="25">
        <v>60</v>
      </c>
      <c r="K821" s="25">
        <f>Sales!$B821-Sales!$J821</f>
        <v>-10.939999999999998</v>
      </c>
      <c r="L821" s="28">
        <f>(Sales!$J821-Sales!$B821)/Sales!$J821</f>
        <v>0.18233333333333329</v>
      </c>
      <c r="M821" s="28" t="str">
        <f t="shared" si="12"/>
        <v>15%-20%</v>
      </c>
      <c r="N821" s="27" t="s">
        <v>32</v>
      </c>
      <c r="O821" s="27" t="s">
        <v>12</v>
      </c>
      <c r="P821" s="27" t="s">
        <v>13</v>
      </c>
      <c r="Q821" s="27" t="s">
        <v>14</v>
      </c>
    </row>
    <row r="822" spans="1:17" x14ac:dyDescent="0.3">
      <c r="A822" s="22">
        <v>32</v>
      </c>
      <c r="B822" s="19">
        <v>48.46</v>
      </c>
      <c r="C822" s="20">
        <f>Sales!$B822*Sales!$A822</f>
        <v>1550.72</v>
      </c>
      <c r="D822" s="21">
        <v>38257</v>
      </c>
      <c r="E822" s="22" t="s">
        <v>9</v>
      </c>
      <c r="F822" s="22">
        <v>3</v>
      </c>
      <c r="G822" s="22">
        <v>9</v>
      </c>
      <c r="H822" s="22">
        <v>2004</v>
      </c>
      <c r="I822" s="22" t="s">
        <v>10</v>
      </c>
      <c r="J822" s="20">
        <v>60</v>
      </c>
      <c r="K822" s="20">
        <f>Sales!$B822-Sales!$J822</f>
        <v>-11.54</v>
      </c>
      <c r="L822" s="23">
        <f>(Sales!$J822-Sales!$B822)/Sales!$J822</f>
        <v>0.19233333333333333</v>
      </c>
      <c r="M822" s="23" t="str">
        <f t="shared" si="12"/>
        <v>15%-20%</v>
      </c>
      <c r="N822" s="22" t="s">
        <v>31</v>
      </c>
      <c r="O822" s="22" t="s">
        <v>16</v>
      </c>
      <c r="P822" s="22" t="s">
        <v>17</v>
      </c>
      <c r="Q822" s="22" t="s">
        <v>14</v>
      </c>
    </row>
    <row r="823" spans="1:17" x14ac:dyDescent="0.3">
      <c r="A823" s="27">
        <v>34</v>
      </c>
      <c r="B823" s="24">
        <v>52.09</v>
      </c>
      <c r="C823" s="25">
        <f>Sales!$B823*Sales!$A823</f>
        <v>1771.0600000000002</v>
      </c>
      <c r="D823" s="26">
        <v>38275</v>
      </c>
      <c r="E823" s="27" t="s">
        <v>9</v>
      </c>
      <c r="F823" s="27">
        <v>4</v>
      </c>
      <c r="G823" s="27">
        <v>10</v>
      </c>
      <c r="H823" s="27">
        <v>2004</v>
      </c>
      <c r="I823" s="27" t="s">
        <v>10</v>
      </c>
      <c r="J823" s="25">
        <v>60</v>
      </c>
      <c r="K823" s="25">
        <f>Sales!$B823-Sales!$J823</f>
        <v>-7.9099999999999966</v>
      </c>
      <c r="L823" s="28">
        <f>(Sales!$J823-Sales!$B823)/Sales!$J823</f>
        <v>0.13183333333333327</v>
      </c>
      <c r="M823" s="28" t="str">
        <f t="shared" si="12"/>
        <v>10%-15%</v>
      </c>
      <c r="N823" s="27" t="s">
        <v>71</v>
      </c>
      <c r="O823" s="27" t="s">
        <v>12</v>
      </c>
      <c r="P823" s="27" t="s">
        <v>13</v>
      </c>
      <c r="Q823" s="27" t="s">
        <v>14</v>
      </c>
    </row>
    <row r="824" spans="1:17" x14ac:dyDescent="0.3">
      <c r="A824" s="22">
        <v>42</v>
      </c>
      <c r="B824" s="19">
        <v>52.7</v>
      </c>
      <c r="C824" s="20">
        <f>Sales!$B824*Sales!$A824</f>
        <v>2213.4</v>
      </c>
      <c r="D824" s="21">
        <v>38293</v>
      </c>
      <c r="E824" s="22" t="s">
        <v>9</v>
      </c>
      <c r="F824" s="22">
        <v>4</v>
      </c>
      <c r="G824" s="22">
        <v>11</v>
      </c>
      <c r="H824" s="22">
        <v>2004</v>
      </c>
      <c r="I824" s="22" t="s">
        <v>10</v>
      </c>
      <c r="J824" s="20">
        <v>60</v>
      </c>
      <c r="K824" s="20">
        <f>Sales!$B824-Sales!$J824</f>
        <v>-7.2999999999999972</v>
      </c>
      <c r="L824" s="23">
        <f>(Sales!$J824-Sales!$B824)/Sales!$J824</f>
        <v>0.12166666666666662</v>
      </c>
      <c r="M824" s="23" t="str">
        <f t="shared" si="12"/>
        <v>10%-15%</v>
      </c>
      <c r="N824" s="22" t="s">
        <v>36</v>
      </c>
      <c r="O824" s="22" t="s">
        <v>12</v>
      </c>
      <c r="P824" s="22" t="s">
        <v>13</v>
      </c>
      <c r="Q824" s="22" t="s">
        <v>14</v>
      </c>
    </row>
    <row r="825" spans="1:17" x14ac:dyDescent="0.3">
      <c r="A825" s="27">
        <v>38</v>
      </c>
      <c r="B825" s="24">
        <v>100</v>
      </c>
      <c r="C825" s="25">
        <f>Sales!$B825*Sales!$A825</f>
        <v>3800</v>
      </c>
      <c r="D825" s="26">
        <v>38306</v>
      </c>
      <c r="E825" s="27" t="s">
        <v>9</v>
      </c>
      <c r="F825" s="27">
        <v>4</v>
      </c>
      <c r="G825" s="27">
        <v>11</v>
      </c>
      <c r="H825" s="27">
        <v>2004</v>
      </c>
      <c r="I825" s="27" t="s">
        <v>10</v>
      </c>
      <c r="J825" s="25">
        <v>60</v>
      </c>
      <c r="K825" s="25">
        <f>Sales!$B825-Sales!$J825</f>
        <v>40</v>
      </c>
      <c r="L825" s="28">
        <f>(Sales!$J825-Sales!$B825)/Sales!$J825</f>
        <v>-0.66666666666666663</v>
      </c>
      <c r="M825" s="28" t="str">
        <f t="shared" si="12"/>
        <v>Below 0%</v>
      </c>
      <c r="N825" s="27" t="s">
        <v>11</v>
      </c>
      <c r="O825" s="27" t="s">
        <v>12</v>
      </c>
      <c r="P825" s="27" t="s">
        <v>13</v>
      </c>
      <c r="Q825" s="27" t="s">
        <v>19</v>
      </c>
    </row>
    <row r="826" spans="1:17" x14ac:dyDescent="0.3">
      <c r="A826" s="22">
        <v>30</v>
      </c>
      <c r="B826" s="19">
        <v>62.16</v>
      </c>
      <c r="C826" s="20">
        <f>Sales!$B826*Sales!$A826</f>
        <v>1864.8</v>
      </c>
      <c r="D826" s="21">
        <v>38314</v>
      </c>
      <c r="E826" s="22" t="s">
        <v>9</v>
      </c>
      <c r="F826" s="22">
        <v>4</v>
      </c>
      <c r="G826" s="22">
        <v>11</v>
      </c>
      <c r="H826" s="22">
        <v>2004</v>
      </c>
      <c r="I826" s="22" t="s">
        <v>10</v>
      </c>
      <c r="J826" s="20">
        <v>60</v>
      </c>
      <c r="K826" s="20">
        <f>Sales!$B826-Sales!$J826</f>
        <v>2.1599999999999966</v>
      </c>
      <c r="L826" s="23">
        <f>(Sales!$J826-Sales!$B826)/Sales!$J826</f>
        <v>-3.5999999999999942E-2</v>
      </c>
      <c r="M826" s="23" t="str">
        <f t="shared" si="12"/>
        <v>Below 0%</v>
      </c>
      <c r="N826" s="22" t="s">
        <v>59</v>
      </c>
      <c r="O826" s="22" t="s">
        <v>51</v>
      </c>
      <c r="P826" s="22" t="s">
        <v>51</v>
      </c>
      <c r="Q826" s="22" t="s">
        <v>14</v>
      </c>
    </row>
    <row r="827" spans="1:17" x14ac:dyDescent="0.3">
      <c r="A827" s="27">
        <v>23</v>
      </c>
      <c r="B827" s="24">
        <v>49.67</v>
      </c>
      <c r="C827" s="25">
        <f>Sales!$B827*Sales!$A827</f>
        <v>1142.4100000000001</v>
      </c>
      <c r="D827" s="26">
        <v>38357</v>
      </c>
      <c r="E827" s="27" t="s">
        <v>9</v>
      </c>
      <c r="F827" s="27">
        <v>1</v>
      </c>
      <c r="G827" s="27">
        <v>1</v>
      </c>
      <c r="H827" s="27">
        <v>2005</v>
      </c>
      <c r="I827" s="27" t="s">
        <v>10</v>
      </c>
      <c r="J827" s="25">
        <v>60</v>
      </c>
      <c r="K827" s="25">
        <f>Sales!$B827-Sales!$J827</f>
        <v>-10.329999999999998</v>
      </c>
      <c r="L827" s="28">
        <f>(Sales!$J827-Sales!$B827)/Sales!$J827</f>
        <v>0.17216666666666663</v>
      </c>
      <c r="M827" s="28" t="str">
        <f t="shared" si="12"/>
        <v>15%-20%</v>
      </c>
      <c r="N827" s="27" t="s">
        <v>22</v>
      </c>
      <c r="O827" s="27" t="s">
        <v>12</v>
      </c>
      <c r="P827" s="27" t="s">
        <v>13</v>
      </c>
      <c r="Q827" s="27" t="s">
        <v>14</v>
      </c>
    </row>
    <row r="828" spans="1:17" x14ac:dyDescent="0.3">
      <c r="A828" s="22">
        <v>22</v>
      </c>
      <c r="B828" s="19">
        <v>53.3</v>
      </c>
      <c r="C828" s="20">
        <f>Sales!$B828*Sales!$A828</f>
        <v>1172.5999999999999</v>
      </c>
      <c r="D828" s="21">
        <v>38385</v>
      </c>
      <c r="E828" s="22" t="s">
        <v>9</v>
      </c>
      <c r="F828" s="22">
        <v>1</v>
      </c>
      <c r="G828" s="22">
        <v>2</v>
      </c>
      <c r="H828" s="22">
        <v>2005</v>
      </c>
      <c r="I828" s="22" t="s">
        <v>10</v>
      </c>
      <c r="J828" s="20">
        <v>60</v>
      </c>
      <c r="K828" s="20">
        <f>Sales!$B828-Sales!$J828</f>
        <v>-6.7000000000000028</v>
      </c>
      <c r="L828" s="23">
        <f>(Sales!$J828-Sales!$B828)/Sales!$J828</f>
        <v>0.11166666666666672</v>
      </c>
      <c r="M828" s="23" t="str">
        <f t="shared" si="12"/>
        <v>10%-15%</v>
      </c>
      <c r="N828" s="22" t="s">
        <v>52</v>
      </c>
      <c r="O828" s="22" t="s">
        <v>27</v>
      </c>
      <c r="P828" s="22" t="s">
        <v>28</v>
      </c>
      <c r="Q828" s="22" t="s">
        <v>14</v>
      </c>
    </row>
    <row r="829" spans="1:17" x14ac:dyDescent="0.3">
      <c r="A829" s="27">
        <v>39</v>
      </c>
      <c r="B829" s="24">
        <v>100</v>
      </c>
      <c r="C829" s="25">
        <f>Sales!$B829*Sales!$A829</f>
        <v>3900</v>
      </c>
      <c r="D829" s="26">
        <v>38414</v>
      </c>
      <c r="E829" s="27" t="s">
        <v>9</v>
      </c>
      <c r="F829" s="27">
        <v>1</v>
      </c>
      <c r="G829" s="27">
        <v>3</v>
      </c>
      <c r="H829" s="27">
        <v>2005</v>
      </c>
      <c r="I829" s="27" t="s">
        <v>10</v>
      </c>
      <c r="J829" s="25">
        <v>60</v>
      </c>
      <c r="K829" s="25">
        <f>Sales!$B829-Sales!$J829</f>
        <v>40</v>
      </c>
      <c r="L829" s="28">
        <f>(Sales!$J829-Sales!$B829)/Sales!$J829</f>
        <v>-0.66666666666666663</v>
      </c>
      <c r="M829" s="28" t="str">
        <f t="shared" si="12"/>
        <v>Below 0%</v>
      </c>
      <c r="N829" s="27" t="s">
        <v>62</v>
      </c>
      <c r="O829" s="27" t="s">
        <v>49</v>
      </c>
      <c r="P829" s="27" t="s">
        <v>17</v>
      </c>
      <c r="Q829" s="27" t="s">
        <v>19</v>
      </c>
    </row>
    <row r="830" spans="1:17" x14ac:dyDescent="0.3">
      <c r="A830" s="22">
        <v>55</v>
      </c>
      <c r="B830" s="19">
        <v>55.72</v>
      </c>
      <c r="C830" s="20">
        <f>Sales!$B830*Sales!$A830</f>
        <v>3064.6</v>
      </c>
      <c r="D830" s="21">
        <v>38449</v>
      </c>
      <c r="E830" s="22" t="s">
        <v>9</v>
      </c>
      <c r="F830" s="22">
        <v>2</v>
      </c>
      <c r="G830" s="22">
        <v>4</v>
      </c>
      <c r="H830" s="22">
        <v>2005</v>
      </c>
      <c r="I830" s="22" t="s">
        <v>10</v>
      </c>
      <c r="J830" s="20">
        <v>60</v>
      </c>
      <c r="K830" s="20">
        <f>Sales!$B830-Sales!$J830</f>
        <v>-4.2800000000000011</v>
      </c>
      <c r="L830" s="23">
        <f>(Sales!$J830-Sales!$B830)/Sales!$J830</f>
        <v>7.1333333333333346E-2</v>
      </c>
      <c r="M830" s="23" t="str">
        <f t="shared" si="12"/>
        <v>5%-10%</v>
      </c>
      <c r="N830" s="22" t="s">
        <v>18</v>
      </c>
      <c r="O830" s="22" t="s">
        <v>16</v>
      </c>
      <c r="P830" s="22" t="s">
        <v>17</v>
      </c>
      <c r="Q830" s="22" t="s">
        <v>19</v>
      </c>
    </row>
    <row r="831" spans="1:17" x14ac:dyDescent="0.3">
      <c r="A831" s="27">
        <v>36</v>
      </c>
      <c r="B831" s="24">
        <v>61.18</v>
      </c>
      <c r="C831" s="25">
        <f>Sales!$B831*Sales!$A831</f>
        <v>2202.48</v>
      </c>
      <c r="D831" s="26">
        <v>38485</v>
      </c>
      <c r="E831" s="27" t="s">
        <v>44</v>
      </c>
      <c r="F831" s="27">
        <v>2</v>
      </c>
      <c r="G831" s="27">
        <v>5</v>
      </c>
      <c r="H831" s="27">
        <v>2005</v>
      </c>
      <c r="I831" s="27" t="s">
        <v>10</v>
      </c>
      <c r="J831" s="25">
        <v>60</v>
      </c>
      <c r="K831" s="25">
        <f>Sales!$B831-Sales!$J831</f>
        <v>1.1799999999999997</v>
      </c>
      <c r="L831" s="28">
        <f>(Sales!$J831-Sales!$B831)/Sales!$J831</f>
        <v>-1.9666666666666662E-2</v>
      </c>
      <c r="M831" s="28" t="str">
        <f t="shared" si="12"/>
        <v>Below 0%</v>
      </c>
      <c r="N831" s="27" t="s">
        <v>45</v>
      </c>
      <c r="O831" s="27" t="s">
        <v>46</v>
      </c>
      <c r="P831" s="27" t="s">
        <v>17</v>
      </c>
      <c r="Q831" s="27" t="s">
        <v>14</v>
      </c>
    </row>
    <row r="832" spans="1:17" x14ac:dyDescent="0.3">
      <c r="A832" s="22">
        <v>26</v>
      </c>
      <c r="B832" s="19">
        <v>100</v>
      </c>
      <c r="C832" s="20">
        <f>Sales!$B832*Sales!$A832</f>
        <v>2600</v>
      </c>
      <c r="D832" s="21">
        <v>37630</v>
      </c>
      <c r="E832" s="22" t="s">
        <v>9</v>
      </c>
      <c r="F832" s="22">
        <v>1</v>
      </c>
      <c r="G832" s="22">
        <v>1</v>
      </c>
      <c r="H832" s="22">
        <v>2003</v>
      </c>
      <c r="I832" s="22" t="s">
        <v>112</v>
      </c>
      <c r="J832" s="20">
        <v>168</v>
      </c>
      <c r="K832" s="20">
        <f>Sales!$B832-Sales!$J832</f>
        <v>-68</v>
      </c>
      <c r="L832" s="23">
        <f>(Sales!$J832-Sales!$B832)/Sales!$J832</f>
        <v>0.40476190476190477</v>
      </c>
      <c r="M832" s="23" t="str">
        <f t="shared" si="12"/>
        <v>+20%</v>
      </c>
      <c r="N832" s="22" t="s">
        <v>98</v>
      </c>
      <c r="O832" s="22" t="s">
        <v>94</v>
      </c>
      <c r="P832" s="22" t="s">
        <v>17</v>
      </c>
      <c r="Q832" s="22" t="s">
        <v>19</v>
      </c>
    </row>
    <row r="833" spans="1:17" x14ac:dyDescent="0.3">
      <c r="A833" s="27">
        <v>31</v>
      </c>
      <c r="B833" s="24">
        <v>100</v>
      </c>
      <c r="C833" s="25">
        <f>Sales!$B833*Sales!$A833</f>
        <v>3100</v>
      </c>
      <c r="D833" s="26">
        <v>37698</v>
      </c>
      <c r="E833" s="27" t="s">
        <v>9</v>
      </c>
      <c r="F833" s="27">
        <v>1</v>
      </c>
      <c r="G833" s="27">
        <v>3</v>
      </c>
      <c r="H833" s="27">
        <v>2003</v>
      </c>
      <c r="I833" s="27" t="s">
        <v>112</v>
      </c>
      <c r="J833" s="25">
        <v>168</v>
      </c>
      <c r="K833" s="25">
        <f>Sales!$B833-Sales!$J833</f>
        <v>-68</v>
      </c>
      <c r="L833" s="28">
        <f>(Sales!$J833-Sales!$B833)/Sales!$J833</f>
        <v>0.40476190476190477</v>
      </c>
      <c r="M833" s="28" t="str">
        <f t="shared" si="12"/>
        <v>+20%</v>
      </c>
      <c r="N833" s="27" t="s">
        <v>102</v>
      </c>
      <c r="O833" s="27" t="s">
        <v>43</v>
      </c>
      <c r="P833" s="27" t="s">
        <v>17</v>
      </c>
      <c r="Q833" s="27" t="s">
        <v>19</v>
      </c>
    </row>
    <row r="834" spans="1:17" x14ac:dyDescent="0.3">
      <c r="A834" s="22">
        <v>34</v>
      </c>
      <c r="B834" s="19">
        <v>100</v>
      </c>
      <c r="C834" s="20">
        <f>Sales!$B834*Sales!$A834</f>
        <v>3400</v>
      </c>
      <c r="D834" s="21">
        <v>37762</v>
      </c>
      <c r="E834" s="22" t="s">
        <v>9</v>
      </c>
      <c r="F834" s="22">
        <v>2</v>
      </c>
      <c r="G834" s="22">
        <v>5</v>
      </c>
      <c r="H834" s="22">
        <v>2003</v>
      </c>
      <c r="I834" s="22" t="s">
        <v>112</v>
      </c>
      <c r="J834" s="20">
        <v>168</v>
      </c>
      <c r="K834" s="20">
        <f>Sales!$B834-Sales!$J834</f>
        <v>-68</v>
      </c>
      <c r="L834" s="23">
        <f>(Sales!$J834-Sales!$B834)/Sales!$J834</f>
        <v>0.40476190476190477</v>
      </c>
      <c r="M834" s="23" t="str">
        <f t="shared" si="12"/>
        <v>+20%</v>
      </c>
      <c r="N834" s="22" t="s">
        <v>26</v>
      </c>
      <c r="O834" s="22" t="s">
        <v>27</v>
      </c>
      <c r="P834" s="22" t="s">
        <v>28</v>
      </c>
      <c r="Q834" s="22" t="s">
        <v>19</v>
      </c>
    </row>
    <row r="835" spans="1:17" x14ac:dyDescent="0.3">
      <c r="A835" s="27">
        <v>41</v>
      </c>
      <c r="B835" s="24">
        <v>100</v>
      </c>
      <c r="C835" s="25">
        <f>Sales!$B835*Sales!$A835</f>
        <v>4100</v>
      </c>
      <c r="D835" s="26">
        <v>37818</v>
      </c>
      <c r="E835" s="27" t="s">
        <v>9</v>
      </c>
      <c r="F835" s="27">
        <v>3</v>
      </c>
      <c r="G835" s="27">
        <v>7</v>
      </c>
      <c r="H835" s="27">
        <v>2003</v>
      </c>
      <c r="I835" s="27" t="s">
        <v>112</v>
      </c>
      <c r="J835" s="25">
        <v>168</v>
      </c>
      <c r="K835" s="25">
        <f>Sales!$B835-Sales!$J835</f>
        <v>-68</v>
      </c>
      <c r="L835" s="28">
        <f>(Sales!$J835-Sales!$B835)/Sales!$J835</f>
        <v>0.40476190476190477</v>
      </c>
      <c r="M835" s="28" t="str">
        <f t="shared" ref="M835:M898" si="13">IF(L835&lt;0%,"Below 0%",IF(L835=0%,"0%",IF(AND(L835&lt;=5%,L835&gt;0%),"0%-5%",IF(AND(L835&lt;=10%,L835&gt;5%),"5%-10%",IF(AND(L835&lt;=15%,L835&gt;10%),"10%-15%",IF(AND(L835&lt;=20%,L835&gt;15%),"15%-20%","+20%"))))))</f>
        <v>+20%</v>
      </c>
      <c r="N835" s="27" t="s">
        <v>40</v>
      </c>
      <c r="O835" s="27" t="s">
        <v>27</v>
      </c>
      <c r="P835" s="27" t="s">
        <v>28</v>
      </c>
      <c r="Q835" s="27" t="s">
        <v>39</v>
      </c>
    </row>
    <row r="836" spans="1:17" x14ac:dyDescent="0.3">
      <c r="A836" s="22">
        <v>23</v>
      </c>
      <c r="B836" s="19">
        <v>100</v>
      </c>
      <c r="C836" s="20">
        <f>Sales!$B836*Sales!$A836</f>
        <v>2300</v>
      </c>
      <c r="D836" s="21">
        <v>37876</v>
      </c>
      <c r="E836" s="22" t="s">
        <v>9</v>
      </c>
      <c r="F836" s="22">
        <v>3</v>
      </c>
      <c r="G836" s="22">
        <v>9</v>
      </c>
      <c r="H836" s="22">
        <v>2003</v>
      </c>
      <c r="I836" s="22" t="s">
        <v>112</v>
      </c>
      <c r="J836" s="20">
        <v>168</v>
      </c>
      <c r="K836" s="20">
        <f>Sales!$B836-Sales!$J836</f>
        <v>-68</v>
      </c>
      <c r="L836" s="23">
        <f>(Sales!$J836-Sales!$B836)/Sales!$J836</f>
        <v>0.40476190476190477</v>
      </c>
      <c r="M836" s="23" t="str">
        <f t="shared" si="13"/>
        <v>+20%</v>
      </c>
      <c r="N836" s="22" t="s">
        <v>107</v>
      </c>
      <c r="O836" s="22" t="s">
        <v>12</v>
      </c>
      <c r="P836" s="22" t="s">
        <v>13</v>
      </c>
      <c r="Q836" s="22" t="s">
        <v>19</v>
      </c>
    </row>
    <row r="837" spans="1:17" x14ac:dyDescent="0.3">
      <c r="A837" s="27">
        <v>48</v>
      </c>
      <c r="B837" s="24">
        <v>100</v>
      </c>
      <c r="C837" s="25">
        <f>Sales!$B837*Sales!$A837</f>
        <v>4800</v>
      </c>
      <c r="D837" s="26">
        <v>37912</v>
      </c>
      <c r="E837" s="27" t="s">
        <v>9</v>
      </c>
      <c r="F837" s="27">
        <v>4</v>
      </c>
      <c r="G837" s="27">
        <v>10</v>
      </c>
      <c r="H837" s="27">
        <v>2003</v>
      </c>
      <c r="I837" s="27" t="s">
        <v>112</v>
      </c>
      <c r="J837" s="25">
        <v>168</v>
      </c>
      <c r="K837" s="25">
        <f>Sales!$B837-Sales!$J837</f>
        <v>-68</v>
      </c>
      <c r="L837" s="28">
        <f>(Sales!$J837-Sales!$B837)/Sales!$J837</f>
        <v>0.40476190476190477</v>
      </c>
      <c r="M837" s="28" t="str">
        <f t="shared" si="13"/>
        <v>+20%</v>
      </c>
      <c r="N837" s="27" t="s">
        <v>21</v>
      </c>
      <c r="O837" s="27" t="s">
        <v>12</v>
      </c>
      <c r="P837" s="27" t="s">
        <v>13</v>
      </c>
      <c r="Q837" s="27" t="s">
        <v>39</v>
      </c>
    </row>
    <row r="838" spans="1:17" x14ac:dyDescent="0.3">
      <c r="A838" s="22">
        <v>22</v>
      </c>
      <c r="B838" s="19">
        <v>100</v>
      </c>
      <c r="C838" s="20">
        <f>Sales!$B838*Sales!$A838</f>
        <v>2200</v>
      </c>
      <c r="D838" s="21">
        <v>37930</v>
      </c>
      <c r="E838" s="22" t="s">
        <v>9</v>
      </c>
      <c r="F838" s="22">
        <v>4</v>
      </c>
      <c r="G838" s="22">
        <v>11</v>
      </c>
      <c r="H838" s="22">
        <v>2003</v>
      </c>
      <c r="I838" s="22" t="s">
        <v>112</v>
      </c>
      <c r="J838" s="20">
        <v>168</v>
      </c>
      <c r="K838" s="20">
        <f>Sales!$B838-Sales!$J838</f>
        <v>-68</v>
      </c>
      <c r="L838" s="23">
        <f>(Sales!$J838-Sales!$B838)/Sales!$J838</f>
        <v>0.40476190476190477</v>
      </c>
      <c r="M838" s="23" t="str">
        <f t="shared" si="13"/>
        <v>+20%</v>
      </c>
      <c r="N838" s="22" t="s">
        <v>113</v>
      </c>
      <c r="O838" s="22" t="s">
        <v>61</v>
      </c>
      <c r="P838" s="22" t="s">
        <v>17</v>
      </c>
      <c r="Q838" s="22" t="s">
        <v>19</v>
      </c>
    </row>
    <row r="839" spans="1:17" x14ac:dyDescent="0.3">
      <c r="A839" s="27">
        <v>21</v>
      </c>
      <c r="B839" s="24">
        <v>100</v>
      </c>
      <c r="C839" s="25">
        <f>Sales!$B839*Sales!$A839</f>
        <v>2100</v>
      </c>
      <c r="D839" s="26">
        <v>37937</v>
      </c>
      <c r="E839" s="27" t="s">
        <v>9</v>
      </c>
      <c r="F839" s="27">
        <v>4</v>
      </c>
      <c r="G839" s="27">
        <v>11</v>
      </c>
      <c r="H839" s="27">
        <v>2003</v>
      </c>
      <c r="I839" s="27" t="s">
        <v>112</v>
      </c>
      <c r="J839" s="25">
        <v>168</v>
      </c>
      <c r="K839" s="25">
        <f>Sales!$B839-Sales!$J839</f>
        <v>-68</v>
      </c>
      <c r="L839" s="28">
        <f>(Sales!$J839-Sales!$B839)/Sales!$J839</f>
        <v>0.40476190476190477</v>
      </c>
      <c r="M839" s="28" t="str">
        <f t="shared" si="13"/>
        <v>+20%</v>
      </c>
      <c r="N839" s="27" t="s">
        <v>64</v>
      </c>
      <c r="O839" s="27" t="s">
        <v>12</v>
      </c>
      <c r="P839" s="27" t="s">
        <v>13</v>
      </c>
      <c r="Q839" s="27" t="s">
        <v>19</v>
      </c>
    </row>
    <row r="840" spans="1:17" x14ac:dyDescent="0.3">
      <c r="A840" s="22">
        <v>22</v>
      </c>
      <c r="B840" s="19">
        <v>100</v>
      </c>
      <c r="C840" s="20">
        <f>Sales!$B840*Sales!$A840</f>
        <v>2200</v>
      </c>
      <c r="D840" s="21">
        <v>37946</v>
      </c>
      <c r="E840" s="22" t="s">
        <v>9</v>
      </c>
      <c r="F840" s="22">
        <v>4</v>
      </c>
      <c r="G840" s="22">
        <v>11</v>
      </c>
      <c r="H840" s="22">
        <v>2003</v>
      </c>
      <c r="I840" s="22" t="s">
        <v>112</v>
      </c>
      <c r="J840" s="20">
        <v>168</v>
      </c>
      <c r="K840" s="20">
        <f>Sales!$B840-Sales!$J840</f>
        <v>-68</v>
      </c>
      <c r="L840" s="23">
        <f>(Sales!$J840-Sales!$B840)/Sales!$J840</f>
        <v>0.40476190476190477</v>
      </c>
      <c r="M840" s="23" t="str">
        <f t="shared" si="13"/>
        <v>+20%</v>
      </c>
      <c r="N840" s="22" t="s">
        <v>114</v>
      </c>
      <c r="O840" s="22" t="s">
        <v>27</v>
      </c>
      <c r="P840" s="22" t="s">
        <v>28</v>
      </c>
      <c r="Q840" s="22" t="s">
        <v>19</v>
      </c>
    </row>
    <row r="841" spans="1:17" x14ac:dyDescent="0.3">
      <c r="A841" s="27">
        <v>40</v>
      </c>
      <c r="B841" s="24">
        <v>100</v>
      </c>
      <c r="C841" s="25">
        <f>Sales!$B841*Sales!$A841</f>
        <v>4000</v>
      </c>
      <c r="D841" s="26">
        <v>37958</v>
      </c>
      <c r="E841" s="27" t="s">
        <v>9</v>
      </c>
      <c r="F841" s="27">
        <v>4</v>
      </c>
      <c r="G841" s="27">
        <v>12</v>
      </c>
      <c r="H841" s="27">
        <v>2003</v>
      </c>
      <c r="I841" s="27" t="s">
        <v>112</v>
      </c>
      <c r="J841" s="25">
        <v>168</v>
      </c>
      <c r="K841" s="25">
        <f>Sales!$B841-Sales!$J841</f>
        <v>-68</v>
      </c>
      <c r="L841" s="28">
        <f>(Sales!$J841-Sales!$B841)/Sales!$J841</f>
        <v>0.40476190476190477</v>
      </c>
      <c r="M841" s="28" t="str">
        <f t="shared" si="13"/>
        <v>+20%</v>
      </c>
      <c r="N841" s="27" t="s">
        <v>45</v>
      </c>
      <c r="O841" s="27" t="s">
        <v>46</v>
      </c>
      <c r="P841" s="27" t="s">
        <v>17</v>
      </c>
      <c r="Q841" s="27" t="s">
        <v>39</v>
      </c>
    </row>
    <row r="842" spans="1:17" x14ac:dyDescent="0.3">
      <c r="A842" s="22">
        <v>50</v>
      </c>
      <c r="B842" s="19">
        <v>100</v>
      </c>
      <c r="C842" s="20">
        <f>Sales!$B842*Sales!$A842</f>
        <v>5000</v>
      </c>
      <c r="D842" s="21">
        <v>38012</v>
      </c>
      <c r="E842" s="22" t="s">
        <v>9</v>
      </c>
      <c r="F842" s="22">
        <v>1</v>
      </c>
      <c r="G842" s="22">
        <v>1</v>
      </c>
      <c r="H842" s="22">
        <v>2004</v>
      </c>
      <c r="I842" s="22" t="s">
        <v>112</v>
      </c>
      <c r="J842" s="20">
        <v>168</v>
      </c>
      <c r="K842" s="20">
        <f>Sales!$B842-Sales!$J842</f>
        <v>-68</v>
      </c>
      <c r="L842" s="23">
        <f>(Sales!$J842-Sales!$B842)/Sales!$J842</f>
        <v>0.40476190476190477</v>
      </c>
      <c r="M842" s="23" t="str">
        <f t="shared" si="13"/>
        <v>+20%</v>
      </c>
      <c r="N842" s="22" t="s">
        <v>45</v>
      </c>
      <c r="O842" s="22" t="s">
        <v>46</v>
      </c>
      <c r="P842" s="22" t="s">
        <v>17</v>
      </c>
      <c r="Q842" s="22" t="s">
        <v>39</v>
      </c>
    </row>
    <row r="843" spans="1:17" x14ac:dyDescent="0.3">
      <c r="A843" s="27">
        <v>29</v>
      </c>
      <c r="B843" s="24">
        <v>100</v>
      </c>
      <c r="C843" s="25">
        <f>Sales!$B843*Sales!$A843</f>
        <v>2900</v>
      </c>
      <c r="D843" s="26">
        <v>38048</v>
      </c>
      <c r="E843" s="27" t="s">
        <v>9</v>
      </c>
      <c r="F843" s="27">
        <v>1</v>
      </c>
      <c r="G843" s="27">
        <v>3</v>
      </c>
      <c r="H843" s="27">
        <v>2004</v>
      </c>
      <c r="I843" s="27" t="s">
        <v>112</v>
      </c>
      <c r="J843" s="25">
        <v>168</v>
      </c>
      <c r="K843" s="25">
        <f>Sales!$B843-Sales!$J843</f>
        <v>-68</v>
      </c>
      <c r="L843" s="28">
        <f>(Sales!$J843-Sales!$B843)/Sales!$J843</f>
        <v>0.40476190476190477</v>
      </c>
      <c r="M843" s="28" t="str">
        <f t="shared" si="13"/>
        <v>+20%</v>
      </c>
      <c r="N843" s="27" t="s">
        <v>54</v>
      </c>
      <c r="O843" s="27" t="s">
        <v>16</v>
      </c>
      <c r="P843" s="27" t="s">
        <v>17</v>
      </c>
      <c r="Q843" s="27" t="s">
        <v>19</v>
      </c>
    </row>
    <row r="844" spans="1:17" x14ac:dyDescent="0.3">
      <c r="A844" s="22">
        <v>43</v>
      </c>
      <c r="B844" s="19">
        <v>100</v>
      </c>
      <c r="C844" s="20">
        <f>Sales!$B844*Sales!$A844</f>
        <v>4300</v>
      </c>
      <c r="D844" s="21">
        <v>38106</v>
      </c>
      <c r="E844" s="22" t="s">
        <v>9</v>
      </c>
      <c r="F844" s="22">
        <v>2</v>
      </c>
      <c r="G844" s="22">
        <v>4</v>
      </c>
      <c r="H844" s="22">
        <v>2004</v>
      </c>
      <c r="I844" s="22" t="s">
        <v>112</v>
      </c>
      <c r="J844" s="20">
        <v>168</v>
      </c>
      <c r="K844" s="20">
        <f>Sales!$B844-Sales!$J844</f>
        <v>-68</v>
      </c>
      <c r="L844" s="23">
        <f>(Sales!$J844-Sales!$B844)/Sales!$J844</f>
        <v>0.40476190476190477</v>
      </c>
      <c r="M844" s="23" t="str">
        <f t="shared" si="13"/>
        <v>+20%</v>
      </c>
      <c r="N844" s="22" t="s">
        <v>45</v>
      </c>
      <c r="O844" s="22" t="s">
        <v>46</v>
      </c>
      <c r="P844" s="22" t="s">
        <v>17</v>
      </c>
      <c r="Q844" s="22" t="s">
        <v>19</v>
      </c>
    </row>
    <row r="845" spans="1:17" x14ac:dyDescent="0.3">
      <c r="A845" s="27">
        <v>24</v>
      </c>
      <c r="B845" s="24">
        <v>100</v>
      </c>
      <c r="C845" s="25">
        <f>Sales!$B845*Sales!$A845</f>
        <v>2400</v>
      </c>
      <c r="D845" s="26">
        <v>38142</v>
      </c>
      <c r="E845" s="27" t="s">
        <v>9</v>
      </c>
      <c r="F845" s="27">
        <v>2</v>
      </c>
      <c r="G845" s="27">
        <v>6</v>
      </c>
      <c r="H845" s="27">
        <v>2004</v>
      </c>
      <c r="I845" s="27" t="s">
        <v>112</v>
      </c>
      <c r="J845" s="25">
        <v>168</v>
      </c>
      <c r="K845" s="25">
        <f>Sales!$B845-Sales!$J845</f>
        <v>-68</v>
      </c>
      <c r="L845" s="28">
        <f>(Sales!$J845-Sales!$B845)/Sales!$J845</f>
        <v>0.40476190476190477</v>
      </c>
      <c r="M845" s="28" t="str">
        <f t="shared" si="13"/>
        <v>+20%</v>
      </c>
      <c r="N845" s="27" t="s">
        <v>108</v>
      </c>
      <c r="O845" s="27" t="s">
        <v>16</v>
      </c>
      <c r="P845" s="27" t="s">
        <v>17</v>
      </c>
      <c r="Q845" s="27" t="s">
        <v>19</v>
      </c>
    </row>
    <row r="846" spans="1:17" x14ac:dyDescent="0.3">
      <c r="A846" s="22">
        <v>22</v>
      </c>
      <c r="B846" s="19">
        <v>100</v>
      </c>
      <c r="C846" s="20">
        <f>Sales!$B846*Sales!$A846</f>
        <v>2200</v>
      </c>
      <c r="D846" s="21">
        <v>38216</v>
      </c>
      <c r="E846" s="22" t="s">
        <v>9</v>
      </c>
      <c r="F846" s="22">
        <v>3</v>
      </c>
      <c r="G846" s="22">
        <v>8</v>
      </c>
      <c r="H846" s="22">
        <v>2004</v>
      </c>
      <c r="I846" s="22" t="s">
        <v>112</v>
      </c>
      <c r="J846" s="20">
        <v>168</v>
      </c>
      <c r="K846" s="20">
        <f>Sales!$B846-Sales!$J846</f>
        <v>-68</v>
      </c>
      <c r="L846" s="23">
        <f>(Sales!$J846-Sales!$B846)/Sales!$J846</f>
        <v>0.40476190476190477</v>
      </c>
      <c r="M846" s="23" t="str">
        <f t="shared" si="13"/>
        <v>+20%</v>
      </c>
      <c r="N846" s="22" t="s">
        <v>60</v>
      </c>
      <c r="O846" s="22" t="s">
        <v>61</v>
      </c>
      <c r="P846" s="22" t="s">
        <v>17</v>
      </c>
      <c r="Q846" s="22" t="s">
        <v>19</v>
      </c>
    </row>
    <row r="847" spans="1:17" x14ac:dyDescent="0.3">
      <c r="A847" s="27">
        <v>43</v>
      </c>
      <c r="B847" s="24">
        <v>100</v>
      </c>
      <c r="C847" s="25">
        <f>Sales!$B847*Sales!$A847</f>
        <v>4300</v>
      </c>
      <c r="D847" s="26">
        <v>38233</v>
      </c>
      <c r="E847" s="27" t="s">
        <v>9</v>
      </c>
      <c r="F847" s="27">
        <v>3</v>
      </c>
      <c r="G847" s="27">
        <v>9</v>
      </c>
      <c r="H847" s="27">
        <v>2004</v>
      </c>
      <c r="I847" s="27" t="s">
        <v>112</v>
      </c>
      <c r="J847" s="25">
        <v>168</v>
      </c>
      <c r="K847" s="25">
        <f>Sales!$B847-Sales!$J847</f>
        <v>-68</v>
      </c>
      <c r="L847" s="28">
        <f>(Sales!$J847-Sales!$B847)/Sales!$J847</f>
        <v>0.40476190476190477</v>
      </c>
      <c r="M847" s="28" t="str">
        <f t="shared" si="13"/>
        <v>+20%</v>
      </c>
      <c r="N847" s="27" t="s">
        <v>24</v>
      </c>
      <c r="O847" s="27" t="s">
        <v>25</v>
      </c>
      <c r="P847" s="27" t="s">
        <v>17</v>
      </c>
      <c r="Q847" s="27" t="s">
        <v>39</v>
      </c>
    </row>
    <row r="848" spans="1:17" x14ac:dyDescent="0.3">
      <c r="A848" s="22">
        <v>20</v>
      </c>
      <c r="B848" s="19">
        <v>100</v>
      </c>
      <c r="C848" s="20">
        <f>Sales!$B848*Sales!$A848</f>
        <v>2000</v>
      </c>
      <c r="D848" s="21">
        <v>38271</v>
      </c>
      <c r="E848" s="22" t="s">
        <v>9</v>
      </c>
      <c r="F848" s="22">
        <v>4</v>
      </c>
      <c r="G848" s="22">
        <v>10</v>
      </c>
      <c r="H848" s="22">
        <v>2004</v>
      </c>
      <c r="I848" s="22" t="s">
        <v>112</v>
      </c>
      <c r="J848" s="20">
        <v>168</v>
      </c>
      <c r="K848" s="20">
        <f>Sales!$B848-Sales!$J848</f>
        <v>-68</v>
      </c>
      <c r="L848" s="23">
        <f>(Sales!$J848-Sales!$B848)/Sales!$J848</f>
        <v>0.40476190476190477</v>
      </c>
      <c r="M848" s="23" t="str">
        <f t="shared" si="13"/>
        <v>+20%</v>
      </c>
      <c r="N848" s="22" t="s">
        <v>63</v>
      </c>
      <c r="O848" s="22" t="s">
        <v>16</v>
      </c>
      <c r="P848" s="22" t="s">
        <v>17</v>
      </c>
      <c r="Q848" s="22" t="s">
        <v>19</v>
      </c>
    </row>
    <row r="849" spans="1:17" x14ac:dyDescent="0.3">
      <c r="A849" s="27">
        <v>25</v>
      </c>
      <c r="B849" s="24">
        <v>100</v>
      </c>
      <c r="C849" s="25">
        <f>Sales!$B849*Sales!$A849</f>
        <v>2500</v>
      </c>
      <c r="D849" s="26">
        <v>38281</v>
      </c>
      <c r="E849" s="27" t="s">
        <v>9</v>
      </c>
      <c r="F849" s="27">
        <v>4</v>
      </c>
      <c r="G849" s="27">
        <v>10</v>
      </c>
      <c r="H849" s="27">
        <v>2004</v>
      </c>
      <c r="I849" s="27" t="s">
        <v>112</v>
      </c>
      <c r="J849" s="25">
        <v>168</v>
      </c>
      <c r="K849" s="25">
        <f>Sales!$B849-Sales!$J849</f>
        <v>-68</v>
      </c>
      <c r="L849" s="28">
        <f>(Sales!$J849-Sales!$B849)/Sales!$J849</f>
        <v>0.40476190476190477</v>
      </c>
      <c r="M849" s="28" t="str">
        <f t="shared" si="13"/>
        <v>+20%</v>
      </c>
      <c r="N849" s="27" t="s">
        <v>64</v>
      </c>
      <c r="O849" s="27" t="s">
        <v>12</v>
      </c>
      <c r="P849" s="27" t="s">
        <v>13</v>
      </c>
      <c r="Q849" s="27" t="s">
        <v>19</v>
      </c>
    </row>
    <row r="850" spans="1:17" x14ac:dyDescent="0.3">
      <c r="A850" s="22">
        <v>36</v>
      </c>
      <c r="B850" s="19">
        <v>100</v>
      </c>
      <c r="C850" s="20">
        <f>Sales!$B850*Sales!$A850</f>
        <v>3600</v>
      </c>
      <c r="D850" s="21">
        <v>38295</v>
      </c>
      <c r="E850" s="22" t="s">
        <v>9</v>
      </c>
      <c r="F850" s="22">
        <v>4</v>
      </c>
      <c r="G850" s="22">
        <v>11</v>
      </c>
      <c r="H850" s="22">
        <v>2004</v>
      </c>
      <c r="I850" s="22" t="s">
        <v>112</v>
      </c>
      <c r="J850" s="20">
        <v>168</v>
      </c>
      <c r="K850" s="20">
        <f>Sales!$B850-Sales!$J850</f>
        <v>-68</v>
      </c>
      <c r="L850" s="23">
        <f>(Sales!$J850-Sales!$B850)/Sales!$J850</f>
        <v>0.40476190476190477</v>
      </c>
      <c r="M850" s="23" t="str">
        <f t="shared" si="13"/>
        <v>+20%</v>
      </c>
      <c r="N850" s="22" t="s">
        <v>65</v>
      </c>
      <c r="O850" s="22" t="s">
        <v>12</v>
      </c>
      <c r="P850" s="22" t="s">
        <v>13</v>
      </c>
      <c r="Q850" s="22" t="s">
        <v>19</v>
      </c>
    </row>
    <row r="851" spans="1:17" x14ac:dyDescent="0.3">
      <c r="A851" s="27">
        <v>24</v>
      </c>
      <c r="B851" s="24">
        <v>52.67</v>
      </c>
      <c r="C851" s="25">
        <f>Sales!$B851*Sales!$A851</f>
        <v>1264.08</v>
      </c>
      <c r="D851" s="26">
        <v>38308</v>
      </c>
      <c r="E851" s="27" t="s">
        <v>9</v>
      </c>
      <c r="F851" s="27">
        <v>4</v>
      </c>
      <c r="G851" s="27">
        <v>11</v>
      </c>
      <c r="H851" s="27">
        <v>2004</v>
      </c>
      <c r="I851" s="27" t="s">
        <v>112</v>
      </c>
      <c r="J851" s="25">
        <v>168</v>
      </c>
      <c r="K851" s="25">
        <f>Sales!$B851-Sales!$J851</f>
        <v>-115.33</v>
      </c>
      <c r="L851" s="28">
        <f>(Sales!$J851-Sales!$B851)/Sales!$J851</f>
        <v>0.68648809523809518</v>
      </c>
      <c r="M851" s="28" t="str">
        <f t="shared" si="13"/>
        <v>+20%</v>
      </c>
      <c r="N851" s="27" t="s">
        <v>102</v>
      </c>
      <c r="O851" s="27" t="s">
        <v>43</v>
      </c>
      <c r="P851" s="27" t="s">
        <v>17</v>
      </c>
      <c r="Q851" s="27" t="s">
        <v>14</v>
      </c>
    </row>
    <row r="852" spans="1:17" x14ac:dyDescent="0.3">
      <c r="A852" s="22">
        <v>21</v>
      </c>
      <c r="B852" s="19">
        <v>100</v>
      </c>
      <c r="C852" s="20">
        <f>Sales!$B852*Sales!$A852</f>
        <v>2100</v>
      </c>
      <c r="D852" s="21">
        <v>38320</v>
      </c>
      <c r="E852" s="22" t="s">
        <v>9</v>
      </c>
      <c r="F852" s="22">
        <v>4</v>
      </c>
      <c r="G852" s="22">
        <v>11</v>
      </c>
      <c r="H852" s="22">
        <v>2004</v>
      </c>
      <c r="I852" s="22" t="s">
        <v>112</v>
      </c>
      <c r="J852" s="20">
        <v>168</v>
      </c>
      <c r="K852" s="20">
        <f>Sales!$B852-Sales!$J852</f>
        <v>-68</v>
      </c>
      <c r="L852" s="23">
        <f>(Sales!$J852-Sales!$B852)/Sales!$J852</f>
        <v>0.40476190476190477</v>
      </c>
      <c r="M852" s="23" t="str">
        <f t="shared" si="13"/>
        <v>+20%</v>
      </c>
      <c r="N852" s="22" t="s">
        <v>26</v>
      </c>
      <c r="O852" s="22" t="s">
        <v>27</v>
      </c>
      <c r="P852" s="22" t="s">
        <v>28</v>
      </c>
      <c r="Q852" s="22" t="s">
        <v>19</v>
      </c>
    </row>
    <row r="853" spans="1:17" x14ac:dyDescent="0.3">
      <c r="A853" s="27">
        <v>30</v>
      </c>
      <c r="B853" s="24">
        <v>100</v>
      </c>
      <c r="C853" s="25">
        <f>Sales!$B853*Sales!$A853</f>
        <v>3000</v>
      </c>
      <c r="D853" s="26">
        <v>38330</v>
      </c>
      <c r="E853" s="27" t="s">
        <v>9</v>
      </c>
      <c r="F853" s="27">
        <v>4</v>
      </c>
      <c r="G853" s="27">
        <v>12</v>
      </c>
      <c r="H853" s="27">
        <v>2004</v>
      </c>
      <c r="I853" s="27" t="s">
        <v>112</v>
      </c>
      <c r="J853" s="25">
        <v>168</v>
      </c>
      <c r="K853" s="25">
        <f>Sales!$B853-Sales!$J853</f>
        <v>-68</v>
      </c>
      <c r="L853" s="28">
        <f>(Sales!$J853-Sales!$B853)/Sales!$J853</f>
        <v>0.40476190476190477</v>
      </c>
      <c r="M853" s="28" t="str">
        <f t="shared" si="13"/>
        <v>+20%</v>
      </c>
      <c r="N853" s="27" t="s">
        <v>18</v>
      </c>
      <c r="O853" s="27" t="s">
        <v>16</v>
      </c>
      <c r="P853" s="27" t="s">
        <v>17</v>
      </c>
      <c r="Q853" s="27" t="s">
        <v>19</v>
      </c>
    </row>
    <row r="854" spans="1:17" x14ac:dyDescent="0.3">
      <c r="A854" s="22">
        <v>32</v>
      </c>
      <c r="B854" s="19">
        <v>94.79</v>
      </c>
      <c r="C854" s="20">
        <f>Sales!$B854*Sales!$A854</f>
        <v>3033.28</v>
      </c>
      <c r="D854" s="21">
        <v>38364</v>
      </c>
      <c r="E854" s="22" t="s">
        <v>88</v>
      </c>
      <c r="F854" s="22">
        <v>1</v>
      </c>
      <c r="G854" s="22">
        <v>1</v>
      </c>
      <c r="H854" s="22">
        <v>2005</v>
      </c>
      <c r="I854" s="22" t="s">
        <v>112</v>
      </c>
      <c r="J854" s="20">
        <v>168</v>
      </c>
      <c r="K854" s="20">
        <f>Sales!$B854-Sales!$J854</f>
        <v>-73.209999999999994</v>
      </c>
      <c r="L854" s="23">
        <f>(Sales!$J854-Sales!$B854)/Sales!$J854</f>
        <v>0.43577380952380951</v>
      </c>
      <c r="M854" s="23" t="str">
        <f t="shared" si="13"/>
        <v>+20%</v>
      </c>
      <c r="N854" s="22" t="s">
        <v>20</v>
      </c>
      <c r="O854" s="22" t="s">
        <v>12</v>
      </c>
      <c r="P854" s="22" t="s">
        <v>13</v>
      </c>
      <c r="Q854" s="22" t="s">
        <v>19</v>
      </c>
    </row>
    <row r="855" spans="1:17" x14ac:dyDescent="0.3">
      <c r="A855" s="27">
        <v>21</v>
      </c>
      <c r="B855" s="24">
        <v>47.18</v>
      </c>
      <c r="C855" s="25">
        <f>Sales!$B855*Sales!$A855</f>
        <v>990.78</v>
      </c>
      <c r="D855" s="26">
        <v>38399</v>
      </c>
      <c r="E855" s="27" t="s">
        <v>9</v>
      </c>
      <c r="F855" s="27">
        <v>1</v>
      </c>
      <c r="G855" s="27">
        <v>2</v>
      </c>
      <c r="H855" s="27">
        <v>2005</v>
      </c>
      <c r="I855" s="27" t="s">
        <v>112</v>
      </c>
      <c r="J855" s="25">
        <v>168</v>
      </c>
      <c r="K855" s="25">
        <f>Sales!$B855-Sales!$J855</f>
        <v>-120.82</v>
      </c>
      <c r="L855" s="28">
        <f>(Sales!$J855-Sales!$B855)/Sales!$J855</f>
        <v>0.71916666666666662</v>
      </c>
      <c r="M855" s="28" t="str">
        <f t="shared" si="13"/>
        <v>+20%</v>
      </c>
      <c r="N855" s="27" t="s">
        <v>45</v>
      </c>
      <c r="O855" s="27" t="s">
        <v>46</v>
      </c>
      <c r="P855" s="27" t="s">
        <v>17</v>
      </c>
      <c r="Q855" s="27" t="s">
        <v>14</v>
      </c>
    </row>
    <row r="856" spans="1:17" x14ac:dyDescent="0.3">
      <c r="A856" s="22">
        <v>26</v>
      </c>
      <c r="B856" s="19">
        <v>78.11</v>
      </c>
      <c r="C856" s="20">
        <f>Sales!$B856*Sales!$A856</f>
        <v>2030.86</v>
      </c>
      <c r="D856" s="21">
        <v>38415</v>
      </c>
      <c r="E856" s="22" t="s">
        <v>9</v>
      </c>
      <c r="F856" s="22">
        <v>1</v>
      </c>
      <c r="G856" s="22">
        <v>3</v>
      </c>
      <c r="H856" s="22">
        <v>2005</v>
      </c>
      <c r="I856" s="22" t="s">
        <v>112</v>
      </c>
      <c r="J856" s="20">
        <v>168</v>
      </c>
      <c r="K856" s="20">
        <f>Sales!$B856-Sales!$J856</f>
        <v>-89.89</v>
      </c>
      <c r="L856" s="23">
        <f>(Sales!$J856-Sales!$B856)/Sales!$J856</f>
        <v>0.53505952380952382</v>
      </c>
      <c r="M856" s="23" t="str">
        <f t="shared" si="13"/>
        <v>+20%</v>
      </c>
      <c r="N856" s="22" t="s">
        <v>64</v>
      </c>
      <c r="O856" s="22" t="s">
        <v>12</v>
      </c>
      <c r="P856" s="22" t="s">
        <v>13</v>
      </c>
      <c r="Q856" s="22" t="s">
        <v>14</v>
      </c>
    </row>
    <row r="857" spans="1:17" x14ac:dyDescent="0.3">
      <c r="A857" s="27">
        <v>35</v>
      </c>
      <c r="B857" s="24">
        <v>100</v>
      </c>
      <c r="C857" s="25">
        <f>Sales!$B857*Sales!$A857</f>
        <v>3500</v>
      </c>
      <c r="D857" s="26">
        <v>38501</v>
      </c>
      <c r="E857" s="27" t="s">
        <v>69</v>
      </c>
      <c r="F857" s="27">
        <v>2</v>
      </c>
      <c r="G857" s="27">
        <v>5</v>
      </c>
      <c r="H857" s="27">
        <v>2005</v>
      </c>
      <c r="I857" s="27" t="s">
        <v>112</v>
      </c>
      <c r="J857" s="25">
        <v>168</v>
      </c>
      <c r="K857" s="25">
        <f>Sales!$B857-Sales!$J857</f>
        <v>-68</v>
      </c>
      <c r="L857" s="28">
        <f>(Sales!$J857-Sales!$B857)/Sales!$J857</f>
        <v>0.40476190476190477</v>
      </c>
      <c r="M857" s="28" t="str">
        <f t="shared" si="13"/>
        <v>+20%</v>
      </c>
      <c r="N857" s="27" t="s">
        <v>64</v>
      </c>
      <c r="O857" s="27" t="s">
        <v>12</v>
      </c>
      <c r="P857" s="27" t="s">
        <v>13</v>
      </c>
      <c r="Q857" s="27" t="s">
        <v>19</v>
      </c>
    </row>
    <row r="858" spans="1:17" x14ac:dyDescent="0.3">
      <c r="A858" s="22">
        <v>26</v>
      </c>
      <c r="B858" s="19">
        <v>100</v>
      </c>
      <c r="C858" s="20">
        <f>Sales!$B858*Sales!$A858</f>
        <v>2600</v>
      </c>
      <c r="D858" s="21">
        <v>37690</v>
      </c>
      <c r="E858" s="22" t="s">
        <v>9</v>
      </c>
      <c r="F858" s="22">
        <v>1</v>
      </c>
      <c r="G858" s="22">
        <v>3</v>
      </c>
      <c r="H858" s="22">
        <v>2003</v>
      </c>
      <c r="I858" s="22" t="s">
        <v>47</v>
      </c>
      <c r="J858" s="20">
        <v>132</v>
      </c>
      <c r="K858" s="20">
        <f>Sales!$B858-Sales!$J858</f>
        <v>-32</v>
      </c>
      <c r="L858" s="23">
        <f>(Sales!$J858-Sales!$B858)/Sales!$J858</f>
        <v>0.24242424242424243</v>
      </c>
      <c r="M858" s="23" t="str">
        <f t="shared" si="13"/>
        <v>+20%</v>
      </c>
      <c r="N858" s="22" t="s">
        <v>53</v>
      </c>
      <c r="O858" s="22" t="s">
        <v>12</v>
      </c>
      <c r="P858" s="22" t="s">
        <v>13</v>
      </c>
      <c r="Q858" s="22" t="s">
        <v>19</v>
      </c>
    </row>
    <row r="859" spans="1:17" x14ac:dyDescent="0.3">
      <c r="A859" s="27">
        <v>46</v>
      </c>
      <c r="B859" s="24">
        <v>100</v>
      </c>
      <c r="C859" s="25">
        <f>Sales!$B859*Sales!$A859</f>
        <v>4600</v>
      </c>
      <c r="D859" s="26">
        <v>37761</v>
      </c>
      <c r="E859" s="27" t="s">
        <v>9</v>
      </c>
      <c r="F859" s="27">
        <v>2</v>
      </c>
      <c r="G859" s="27">
        <v>5</v>
      </c>
      <c r="H859" s="27">
        <v>2003</v>
      </c>
      <c r="I859" s="27" t="s">
        <v>47</v>
      </c>
      <c r="J859" s="25">
        <v>132</v>
      </c>
      <c r="K859" s="25">
        <f>Sales!$B859-Sales!$J859</f>
        <v>-32</v>
      </c>
      <c r="L859" s="28">
        <f>(Sales!$J859-Sales!$B859)/Sales!$J859</f>
        <v>0.24242424242424243</v>
      </c>
      <c r="M859" s="28" t="str">
        <f t="shared" si="13"/>
        <v>+20%</v>
      </c>
      <c r="N859" s="27" t="s">
        <v>31</v>
      </c>
      <c r="O859" s="27" t="s">
        <v>16</v>
      </c>
      <c r="P859" s="27" t="s">
        <v>17</v>
      </c>
      <c r="Q859" s="27" t="s">
        <v>19</v>
      </c>
    </row>
    <row r="860" spans="1:17" x14ac:dyDescent="0.3">
      <c r="A860" s="22">
        <v>37</v>
      </c>
      <c r="B860" s="19">
        <v>100</v>
      </c>
      <c r="C860" s="20">
        <f>Sales!$B860*Sales!$A860</f>
        <v>3700</v>
      </c>
      <c r="D860" s="21">
        <v>37812</v>
      </c>
      <c r="E860" s="22" t="s">
        <v>9</v>
      </c>
      <c r="F860" s="22">
        <v>3</v>
      </c>
      <c r="G860" s="22">
        <v>7</v>
      </c>
      <c r="H860" s="22">
        <v>2003</v>
      </c>
      <c r="I860" s="22" t="s">
        <v>47</v>
      </c>
      <c r="J860" s="20">
        <v>132</v>
      </c>
      <c r="K860" s="20">
        <f>Sales!$B860-Sales!$J860</f>
        <v>-32</v>
      </c>
      <c r="L860" s="23">
        <f>(Sales!$J860-Sales!$B860)/Sales!$J860</f>
        <v>0.24242424242424243</v>
      </c>
      <c r="M860" s="23" t="str">
        <f t="shared" si="13"/>
        <v>+20%</v>
      </c>
      <c r="N860" s="22" t="s">
        <v>15</v>
      </c>
      <c r="O860" s="22" t="s">
        <v>16</v>
      </c>
      <c r="P860" s="22" t="s">
        <v>17</v>
      </c>
      <c r="Q860" s="22" t="s">
        <v>19</v>
      </c>
    </row>
    <row r="861" spans="1:17" x14ac:dyDescent="0.3">
      <c r="A861" s="27">
        <v>27</v>
      </c>
      <c r="B861" s="24">
        <v>100</v>
      </c>
      <c r="C861" s="25">
        <f>Sales!$B861*Sales!$A861</f>
        <v>2700</v>
      </c>
      <c r="D861" s="26">
        <v>37875</v>
      </c>
      <c r="E861" s="27" t="s">
        <v>9</v>
      </c>
      <c r="F861" s="27">
        <v>3</v>
      </c>
      <c r="G861" s="27">
        <v>9</v>
      </c>
      <c r="H861" s="27">
        <v>2003</v>
      </c>
      <c r="I861" s="27" t="s">
        <v>47</v>
      </c>
      <c r="J861" s="25">
        <v>132</v>
      </c>
      <c r="K861" s="25">
        <f>Sales!$B861-Sales!$J861</f>
        <v>-32</v>
      </c>
      <c r="L861" s="28">
        <f>(Sales!$J861-Sales!$B861)/Sales!$J861</f>
        <v>0.24242424242424243</v>
      </c>
      <c r="M861" s="28" t="str">
        <f t="shared" si="13"/>
        <v>+20%</v>
      </c>
      <c r="N861" s="27" t="s">
        <v>67</v>
      </c>
      <c r="O861" s="27" t="s">
        <v>27</v>
      </c>
      <c r="P861" s="27" t="s">
        <v>28</v>
      </c>
      <c r="Q861" s="27" t="s">
        <v>19</v>
      </c>
    </row>
    <row r="862" spans="1:17" x14ac:dyDescent="0.3">
      <c r="A862" s="22">
        <v>23</v>
      </c>
      <c r="B862" s="19">
        <v>100</v>
      </c>
      <c r="C862" s="20">
        <f>Sales!$B862*Sales!$A862</f>
        <v>2300</v>
      </c>
      <c r="D862" s="21">
        <v>37911</v>
      </c>
      <c r="E862" s="22" t="s">
        <v>9</v>
      </c>
      <c r="F862" s="22">
        <v>4</v>
      </c>
      <c r="G862" s="22">
        <v>10</v>
      </c>
      <c r="H862" s="22">
        <v>2003</v>
      </c>
      <c r="I862" s="22" t="s">
        <v>47</v>
      </c>
      <c r="J862" s="20">
        <v>132</v>
      </c>
      <c r="K862" s="20">
        <f>Sales!$B862-Sales!$J862</f>
        <v>-32</v>
      </c>
      <c r="L862" s="23">
        <f>(Sales!$J862-Sales!$B862)/Sales!$J862</f>
        <v>0.24242424242424243</v>
      </c>
      <c r="M862" s="23" t="str">
        <f t="shared" si="13"/>
        <v>+20%</v>
      </c>
      <c r="N862" s="22" t="s">
        <v>103</v>
      </c>
      <c r="O862" s="22" t="s">
        <v>73</v>
      </c>
      <c r="P862" s="22" t="s">
        <v>17</v>
      </c>
      <c r="Q862" s="22" t="s">
        <v>19</v>
      </c>
    </row>
    <row r="863" spans="1:17" x14ac:dyDescent="0.3">
      <c r="A863" s="27">
        <v>39</v>
      </c>
      <c r="B863" s="24">
        <v>100</v>
      </c>
      <c r="C863" s="25">
        <f>Sales!$B863*Sales!$A863</f>
        <v>3900</v>
      </c>
      <c r="D863" s="26">
        <v>37930</v>
      </c>
      <c r="E863" s="27" t="s">
        <v>9</v>
      </c>
      <c r="F863" s="27">
        <v>4</v>
      </c>
      <c r="G863" s="27">
        <v>11</v>
      </c>
      <c r="H863" s="27">
        <v>2003</v>
      </c>
      <c r="I863" s="27" t="s">
        <v>47</v>
      </c>
      <c r="J863" s="25">
        <v>132</v>
      </c>
      <c r="K863" s="25">
        <f>Sales!$B863-Sales!$J863</f>
        <v>-32</v>
      </c>
      <c r="L863" s="28">
        <f>(Sales!$J863-Sales!$B863)/Sales!$J863</f>
        <v>0.24242424242424243</v>
      </c>
      <c r="M863" s="28" t="str">
        <f t="shared" si="13"/>
        <v>+20%</v>
      </c>
      <c r="N863" s="27" t="s">
        <v>30</v>
      </c>
      <c r="O863" s="27" t="s">
        <v>12</v>
      </c>
      <c r="P863" s="27" t="s">
        <v>13</v>
      </c>
      <c r="Q863" s="27" t="s">
        <v>19</v>
      </c>
    </row>
    <row r="864" spans="1:17" x14ac:dyDescent="0.3">
      <c r="A864" s="22">
        <v>27</v>
      </c>
      <c r="B864" s="19">
        <v>100</v>
      </c>
      <c r="C864" s="20">
        <f>Sales!$B864*Sales!$A864</f>
        <v>2700</v>
      </c>
      <c r="D864" s="21">
        <v>37937</v>
      </c>
      <c r="E864" s="22" t="s">
        <v>9</v>
      </c>
      <c r="F864" s="22">
        <v>4</v>
      </c>
      <c r="G864" s="22">
        <v>11</v>
      </c>
      <c r="H864" s="22">
        <v>2003</v>
      </c>
      <c r="I864" s="22" t="s">
        <v>47</v>
      </c>
      <c r="J864" s="20">
        <v>132</v>
      </c>
      <c r="K864" s="20">
        <f>Sales!$B864-Sales!$J864</f>
        <v>-32</v>
      </c>
      <c r="L864" s="23">
        <f>(Sales!$J864-Sales!$B864)/Sales!$J864</f>
        <v>0.24242424242424243</v>
      </c>
      <c r="M864" s="23" t="str">
        <f t="shared" si="13"/>
        <v>+20%</v>
      </c>
      <c r="N864" s="22" t="s">
        <v>24</v>
      </c>
      <c r="O864" s="22" t="s">
        <v>25</v>
      </c>
      <c r="P864" s="22" t="s">
        <v>17</v>
      </c>
      <c r="Q864" s="22" t="s">
        <v>19</v>
      </c>
    </row>
    <row r="865" spans="1:17" x14ac:dyDescent="0.3">
      <c r="A865" s="27">
        <v>38</v>
      </c>
      <c r="B865" s="24">
        <v>100</v>
      </c>
      <c r="C865" s="25">
        <f>Sales!$B865*Sales!$A865</f>
        <v>3800</v>
      </c>
      <c r="D865" s="26">
        <v>37945</v>
      </c>
      <c r="E865" s="27" t="s">
        <v>9</v>
      </c>
      <c r="F865" s="27">
        <v>4</v>
      </c>
      <c r="G865" s="27">
        <v>11</v>
      </c>
      <c r="H865" s="27">
        <v>2003</v>
      </c>
      <c r="I865" s="27" t="s">
        <v>47</v>
      </c>
      <c r="J865" s="25">
        <v>132</v>
      </c>
      <c r="K865" s="25">
        <f>Sales!$B865-Sales!$J865</f>
        <v>-32</v>
      </c>
      <c r="L865" s="28">
        <f>(Sales!$J865-Sales!$B865)/Sales!$J865</f>
        <v>0.24242424242424243</v>
      </c>
      <c r="M865" s="28" t="str">
        <f t="shared" si="13"/>
        <v>+20%</v>
      </c>
      <c r="N865" s="27" t="s">
        <v>65</v>
      </c>
      <c r="O865" s="27" t="s">
        <v>12</v>
      </c>
      <c r="P865" s="27" t="s">
        <v>13</v>
      </c>
      <c r="Q865" s="27" t="s">
        <v>19</v>
      </c>
    </row>
    <row r="866" spans="1:17" x14ac:dyDescent="0.3">
      <c r="A866" s="22">
        <v>27</v>
      </c>
      <c r="B866" s="19">
        <v>100</v>
      </c>
      <c r="C866" s="20">
        <f>Sales!$B866*Sales!$A866</f>
        <v>2700</v>
      </c>
      <c r="D866" s="21">
        <v>37957</v>
      </c>
      <c r="E866" s="22" t="s">
        <v>9</v>
      </c>
      <c r="F866" s="22">
        <v>4</v>
      </c>
      <c r="G866" s="22">
        <v>12</v>
      </c>
      <c r="H866" s="22">
        <v>2003</v>
      </c>
      <c r="I866" s="22" t="s">
        <v>47</v>
      </c>
      <c r="J866" s="20">
        <v>132</v>
      </c>
      <c r="K866" s="20">
        <f>Sales!$B866-Sales!$J866</f>
        <v>-32</v>
      </c>
      <c r="L866" s="23">
        <f>(Sales!$J866-Sales!$B866)/Sales!$J866</f>
        <v>0.24242424242424243</v>
      </c>
      <c r="M866" s="23" t="str">
        <f t="shared" si="13"/>
        <v>+20%</v>
      </c>
      <c r="N866" s="22" t="s">
        <v>11</v>
      </c>
      <c r="O866" s="22" t="s">
        <v>12</v>
      </c>
      <c r="P866" s="22" t="s">
        <v>13</v>
      </c>
      <c r="Q866" s="22" t="s">
        <v>19</v>
      </c>
    </row>
    <row r="867" spans="1:17" x14ac:dyDescent="0.3">
      <c r="A867" s="27">
        <v>40</v>
      </c>
      <c r="B867" s="24">
        <v>100</v>
      </c>
      <c r="C867" s="25">
        <f>Sales!$B867*Sales!$A867</f>
        <v>4000</v>
      </c>
      <c r="D867" s="26">
        <v>38002</v>
      </c>
      <c r="E867" s="27" t="s">
        <v>9</v>
      </c>
      <c r="F867" s="27">
        <v>1</v>
      </c>
      <c r="G867" s="27">
        <v>1</v>
      </c>
      <c r="H867" s="27">
        <v>2004</v>
      </c>
      <c r="I867" s="27" t="s">
        <v>47</v>
      </c>
      <c r="J867" s="25">
        <v>132</v>
      </c>
      <c r="K867" s="25">
        <f>Sales!$B867-Sales!$J867</f>
        <v>-32</v>
      </c>
      <c r="L867" s="28">
        <f>(Sales!$J867-Sales!$B867)/Sales!$J867</f>
        <v>0.24242424242424243</v>
      </c>
      <c r="M867" s="28" t="str">
        <f t="shared" si="13"/>
        <v>+20%</v>
      </c>
      <c r="N867" s="27" t="s">
        <v>45</v>
      </c>
      <c r="O867" s="27" t="s">
        <v>46</v>
      </c>
      <c r="P867" s="27" t="s">
        <v>17</v>
      </c>
      <c r="Q867" s="27" t="s">
        <v>19</v>
      </c>
    </row>
    <row r="868" spans="1:17" x14ac:dyDescent="0.3">
      <c r="A868" s="22">
        <v>24</v>
      </c>
      <c r="B868" s="19">
        <v>100</v>
      </c>
      <c r="C868" s="20">
        <f>Sales!$B868*Sales!$A868</f>
        <v>2400</v>
      </c>
      <c r="D868" s="21">
        <v>38043</v>
      </c>
      <c r="E868" s="22" t="s">
        <v>9</v>
      </c>
      <c r="F868" s="22">
        <v>1</v>
      </c>
      <c r="G868" s="22">
        <v>2</v>
      </c>
      <c r="H868" s="22">
        <v>2004</v>
      </c>
      <c r="I868" s="22" t="s">
        <v>47</v>
      </c>
      <c r="J868" s="20">
        <v>132</v>
      </c>
      <c r="K868" s="20">
        <f>Sales!$B868-Sales!$J868</f>
        <v>-32</v>
      </c>
      <c r="L868" s="23">
        <f>(Sales!$J868-Sales!$B868)/Sales!$J868</f>
        <v>0.24242424242424243</v>
      </c>
      <c r="M868" s="23" t="str">
        <f t="shared" si="13"/>
        <v>+20%</v>
      </c>
      <c r="N868" s="22" t="s">
        <v>79</v>
      </c>
      <c r="O868" s="22" t="s">
        <v>12</v>
      </c>
      <c r="P868" s="22" t="s">
        <v>13</v>
      </c>
      <c r="Q868" s="22" t="s">
        <v>19</v>
      </c>
    </row>
    <row r="869" spans="1:17" x14ac:dyDescent="0.3">
      <c r="A869" s="27">
        <v>44</v>
      </c>
      <c r="B869" s="24">
        <v>100</v>
      </c>
      <c r="C869" s="25">
        <f>Sales!$B869*Sales!$A869</f>
        <v>4400</v>
      </c>
      <c r="D869" s="26">
        <v>38090</v>
      </c>
      <c r="E869" s="27" t="s">
        <v>9</v>
      </c>
      <c r="F869" s="27">
        <v>2</v>
      </c>
      <c r="G869" s="27">
        <v>4</v>
      </c>
      <c r="H869" s="27">
        <v>2004</v>
      </c>
      <c r="I869" s="27" t="s">
        <v>47</v>
      </c>
      <c r="J869" s="25">
        <v>132</v>
      </c>
      <c r="K869" s="25">
        <f>Sales!$B869-Sales!$J869</f>
        <v>-32</v>
      </c>
      <c r="L869" s="28">
        <f>(Sales!$J869-Sales!$B869)/Sales!$J869</f>
        <v>0.24242424242424243</v>
      </c>
      <c r="M869" s="28" t="str">
        <f t="shared" si="13"/>
        <v>+20%</v>
      </c>
      <c r="N869" s="27" t="s">
        <v>108</v>
      </c>
      <c r="O869" s="27" t="s">
        <v>16</v>
      </c>
      <c r="P869" s="27" t="s">
        <v>17</v>
      </c>
      <c r="Q869" s="27" t="s">
        <v>19</v>
      </c>
    </row>
    <row r="870" spans="1:17" x14ac:dyDescent="0.3">
      <c r="A870" s="22">
        <v>37</v>
      </c>
      <c r="B870" s="19">
        <v>100</v>
      </c>
      <c r="C870" s="20">
        <f>Sales!$B870*Sales!$A870</f>
        <v>3700</v>
      </c>
      <c r="D870" s="21">
        <v>38139</v>
      </c>
      <c r="E870" s="22" t="s">
        <v>75</v>
      </c>
      <c r="F870" s="22">
        <v>2</v>
      </c>
      <c r="G870" s="22">
        <v>6</v>
      </c>
      <c r="H870" s="22">
        <v>2004</v>
      </c>
      <c r="I870" s="22" t="s">
        <v>47</v>
      </c>
      <c r="J870" s="20">
        <v>132</v>
      </c>
      <c r="K870" s="20">
        <f>Sales!$B870-Sales!$J870</f>
        <v>-32</v>
      </c>
      <c r="L870" s="23">
        <f>(Sales!$J870-Sales!$B870)/Sales!$J870</f>
        <v>0.24242424242424243</v>
      </c>
      <c r="M870" s="23" t="str">
        <f t="shared" si="13"/>
        <v>+20%</v>
      </c>
      <c r="N870" s="22" t="s">
        <v>42</v>
      </c>
      <c r="O870" s="22" t="s">
        <v>43</v>
      </c>
      <c r="P870" s="22" t="s">
        <v>17</v>
      </c>
      <c r="Q870" s="22" t="s">
        <v>19</v>
      </c>
    </row>
    <row r="871" spans="1:17" x14ac:dyDescent="0.3">
      <c r="A871" s="27">
        <v>20</v>
      </c>
      <c r="B871" s="24">
        <v>100</v>
      </c>
      <c r="C871" s="25">
        <f>Sales!$B871*Sales!$A871</f>
        <v>2000</v>
      </c>
      <c r="D871" s="26">
        <v>38174</v>
      </c>
      <c r="E871" s="27" t="s">
        <v>9</v>
      </c>
      <c r="F871" s="27">
        <v>3</v>
      </c>
      <c r="G871" s="27">
        <v>7</v>
      </c>
      <c r="H871" s="27">
        <v>2004</v>
      </c>
      <c r="I871" s="27" t="s">
        <v>47</v>
      </c>
      <c r="J871" s="25">
        <v>132</v>
      </c>
      <c r="K871" s="25">
        <f>Sales!$B871-Sales!$J871</f>
        <v>-32</v>
      </c>
      <c r="L871" s="28">
        <f>(Sales!$J871-Sales!$B871)/Sales!$J871</f>
        <v>0.24242424242424243</v>
      </c>
      <c r="M871" s="28" t="str">
        <f t="shared" si="13"/>
        <v>+20%</v>
      </c>
      <c r="N871" s="27" t="s">
        <v>97</v>
      </c>
      <c r="O871" s="27" t="s">
        <v>61</v>
      </c>
      <c r="P871" s="27" t="s">
        <v>17</v>
      </c>
      <c r="Q871" s="27" t="s">
        <v>14</v>
      </c>
    </row>
    <row r="872" spans="1:17" x14ac:dyDescent="0.3">
      <c r="A872" s="22">
        <v>39</v>
      </c>
      <c r="B872" s="19">
        <v>100</v>
      </c>
      <c r="C872" s="20">
        <f>Sales!$B872*Sales!$A872</f>
        <v>3900</v>
      </c>
      <c r="D872" s="21">
        <v>38205</v>
      </c>
      <c r="E872" s="22" t="s">
        <v>9</v>
      </c>
      <c r="F872" s="22">
        <v>3</v>
      </c>
      <c r="G872" s="22">
        <v>8</v>
      </c>
      <c r="H872" s="22">
        <v>2004</v>
      </c>
      <c r="I872" s="22" t="s">
        <v>47</v>
      </c>
      <c r="J872" s="20">
        <v>132</v>
      </c>
      <c r="K872" s="20">
        <f>Sales!$B872-Sales!$J872</f>
        <v>-32</v>
      </c>
      <c r="L872" s="23">
        <f>(Sales!$J872-Sales!$B872)/Sales!$J872</f>
        <v>0.24242424242424243</v>
      </c>
      <c r="M872" s="23" t="str">
        <f t="shared" si="13"/>
        <v>+20%</v>
      </c>
      <c r="N872" s="22" t="s">
        <v>109</v>
      </c>
      <c r="O872" s="22" t="s">
        <v>12</v>
      </c>
      <c r="P872" s="22" t="s">
        <v>13</v>
      </c>
      <c r="Q872" s="22" t="s">
        <v>19</v>
      </c>
    </row>
    <row r="873" spans="1:17" x14ac:dyDescent="0.3">
      <c r="A873" s="27">
        <v>44</v>
      </c>
      <c r="B873" s="24">
        <v>100</v>
      </c>
      <c r="C873" s="25">
        <f>Sales!$B873*Sales!$A873</f>
        <v>4400</v>
      </c>
      <c r="D873" s="26">
        <v>38229</v>
      </c>
      <c r="E873" s="27" t="s">
        <v>9</v>
      </c>
      <c r="F873" s="27">
        <v>3</v>
      </c>
      <c r="G873" s="27">
        <v>8</v>
      </c>
      <c r="H873" s="27">
        <v>2004</v>
      </c>
      <c r="I873" s="27" t="s">
        <v>47</v>
      </c>
      <c r="J873" s="25">
        <v>132</v>
      </c>
      <c r="K873" s="25">
        <f>Sales!$B873-Sales!$J873</f>
        <v>-32</v>
      </c>
      <c r="L873" s="28">
        <f>(Sales!$J873-Sales!$B873)/Sales!$J873</f>
        <v>0.24242424242424243</v>
      </c>
      <c r="M873" s="28" t="str">
        <f t="shared" si="13"/>
        <v>+20%</v>
      </c>
      <c r="N873" s="27" t="s">
        <v>95</v>
      </c>
      <c r="O873" s="27" t="s">
        <v>96</v>
      </c>
      <c r="P873" s="27" t="s">
        <v>17</v>
      </c>
      <c r="Q873" s="27" t="s">
        <v>19</v>
      </c>
    </row>
    <row r="874" spans="1:17" x14ac:dyDescent="0.3">
      <c r="A874" s="22">
        <v>22</v>
      </c>
      <c r="B874" s="19">
        <v>100</v>
      </c>
      <c r="C874" s="20">
        <f>Sales!$B874*Sales!$A874</f>
        <v>2200</v>
      </c>
      <c r="D874" s="21">
        <v>37899</v>
      </c>
      <c r="E874" s="22" t="s">
        <v>9</v>
      </c>
      <c r="F874" s="22">
        <v>4</v>
      </c>
      <c r="G874" s="22">
        <v>10</v>
      </c>
      <c r="H874" s="22">
        <v>2003</v>
      </c>
      <c r="I874" s="22" t="s">
        <v>47</v>
      </c>
      <c r="J874" s="20">
        <v>132</v>
      </c>
      <c r="K874" s="20">
        <f>Sales!$B874-Sales!$J874</f>
        <v>-32</v>
      </c>
      <c r="L874" s="23">
        <f>(Sales!$J874-Sales!$B874)/Sales!$J874</f>
        <v>0.24242424242424243</v>
      </c>
      <c r="M874" s="23" t="str">
        <f t="shared" si="13"/>
        <v>+20%</v>
      </c>
      <c r="N874" s="22" t="s">
        <v>110</v>
      </c>
      <c r="O874" s="22" t="s">
        <v>25</v>
      </c>
      <c r="P874" s="22" t="s">
        <v>17</v>
      </c>
      <c r="Q874" s="22" t="s">
        <v>19</v>
      </c>
    </row>
    <row r="875" spans="1:17" x14ac:dyDescent="0.3">
      <c r="A875" s="27">
        <v>43</v>
      </c>
      <c r="B875" s="24">
        <v>100</v>
      </c>
      <c r="C875" s="25">
        <f>Sales!$B875*Sales!$A875</f>
        <v>4300</v>
      </c>
      <c r="D875" s="26">
        <v>38276</v>
      </c>
      <c r="E875" s="27" t="s">
        <v>9</v>
      </c>
      <c r="F875" s="27">
        <v>4</v>
      </c>
      <c r="G875" s="27">
        <v>10</v>
      </c>
      <c r="H875" s="27">
        <v>2004</v>
      </c>
      <c r="I875" s="27" t="s">
        <v>47</v>
      </c>
      <c r="J875" s="25">
        <v>132</v>
      </c>
      <c r="K875" s="25">
        <f>Sales!$B875-Sales!$J875</f>
        <v>-32</v>
      </c>
      <c r="L875" s="28">
        <f>(Sales!$J875-Sales!$B875)/Sales!$J875</f>
        <v>0.24242424242424243</v>
      </c>
      <c r="M875" s="28" t="str">
        <f t="shared" si="13"/>
        <v>+20%</v>
      </c>
      <c r="N875" s="27" t="s">
        <v>45</v>
      </c>
      <c r="O875" s="27" t="s">
        <v>46</v>
      </c>
      <c r="P875" s="27" t="s">
        <v>17</v>
      </c>
      <c r="Q875" s="27" t="s">
        <v>19</v>
      </c>
    </row>
    <row r="876" spans="1:17" x14ac:dyDescent="0.3">
      <c r="A876" s="22">
        <v>27</v>
      </c>
      <c r="B876" s="19">
        <v>100</v>
      </c>
      <c r="C876" s="20">
        <f>Sales!$B876*Sales!$A876</f>
        <v>2700</v>
      </c>
      <c r="D876" s="21">
        <v>38295</v>
      </c>
      <c r="E876" s="22" t="s">
        <v>9</v>
      </c>
      <c r="F876" s="22">
        <v>4</v>
      </c>
      <c r="G876" s="22">
        <v>11</v>
      </c>
      <c r="H876" s="22">
        <v>2004</v>
      </c>
      <c r="I876" s="22" t="s">
        <v>47</v>
      </c>
      <c r="J876" s="20">
        <v>132</v>
      </c>
      <c r="K876" s="20">
        <f>Sales!$B876-Sales!$J876</f>
        <v>-32</v>
      </c>
      <c r="L876" s="23">
        <f>(Sales!$J876-Sales!$B876)/Sales!$J876</f>
        <v>0.24242424242424243</v>
      </c>
      <c r="M876" s="23" t="str">
        <f t="shared" si="13"/>
        <v>+20%</v>
      </c>
      <c r="N876" s="22" t="s">
        <v>41</v>
      </c>
      <c r="O876" s="22" t="s">
        <v>12</v>
      </c>
      <c r="P876" s="22" t="s">
        <v>13</v>
      </c>
      <c r="Q876" s="22" t="s">
        <v>14</v>
      </c>
    </row>
    <row r="877" spans="1:17" x14ac:dyDescent="0.3">
      <c r="A877" s="27">
        <v>26</v>
      </c>
      <c r="B877" s="24">
        <v>64.900000000000006</v>
      </c>
      <c r="C877" s="25">
        <f>Sales!$B877*Sales!$A877</f>
        <v>1687.4</v>
      </c>
      <c r="D877" s="26">
        <v>38308</v>
      </c>
      <c r="E877" s="27" t="s">
        <v>9</v>
      </c>
      <c r="F877" s="27">
        <v>4</v>
      </c>
      <c r="G877" s="27">
        <v>11</v>
      </c>
      <c r="H877" s="27">
        <v>2004</v>
      </c>
      <c r="I877" s="27" t="s">
        <v>47</v>
      </c>
      <c r="J877" s="25">
        <v>132</v>
      </c>
      <c r="K877" s="25">
        <f>Sales!$B877-Sales!$J877</f>
        <v>-67.099999999999994</v>
      </c>
      <c r="L877" s="28">
        <f>(Sales!$J877-Sales!$B877)/Sales!$J877</f>
        <v>0.5083333333333333</v>
      </c>
      <c r="M877" s="28" t="str">
        <f t="shared" si="13"/>
        <v>+20%</v>
      </c>
      <c r="N877" s="27" t="s">
        <v>53</v>
      </c>
      <c r="O877" s="27" t="s">
        <v>12</v>
      </c>
      <c r="P877" s="27" t="s">
        <v>13</v>
      </c>
      <c r="Q877" s="27" t="s">
        <v>14</v>
      </c>
    </row>
    <row r="878" spans="1:17" x14ac:dyDescent="0.3">
      <c r="A878" s="22">
        <v>25</v>
      </c>
      <c r="B878" s="19">
        <v>52.32</v>
      </c>
      <c r="C878" s="20">
        <f>Sales!$B878*Sales!$A878</f>
        <v>1308</v>
      </c>
      <c r="D878" s="21">
        <v>38315</v>
      </c>
      <c r="E878" s="22" t="s">
        <v>9</v>
      </c>
      <c r="F878" s="22">
        <v>4</v>
      </c>
      <c r="G878" s="22">
        <v>11</v>
      </c>
      <c r="H878" s="22">
        <v>2004</v>
      </c>
      <c r="I878" s="22" t="s">
        <v>47</v>
      </c>
      <c r="J878" s="20">
        <v>132</v>
      </c>
      <c r="K878" s="20">
        <f>Sales!$B878-Sales!$J878</f>
        <v>-79.680000000000007</v>
      </c>
      <c r="L878" s="23">
        <f>(Sales!$J878-Sales!$B878)/Sales!$J878</f>
        <v>0.60363636363636364</v>
      </c>
      <c r="M878" s="23" t="str">
        <f t="shared" si="13"/>
        <v>+20%</v>
      </c>
      <c r="N878" s="22" t="s">
        <v>15</v>
      </c>
      <c r="O878" s="22" t="s">
        <v>16</v>
      </c>
      <c r="P878" s="22" t="s">
        <v>17</v>
      </c>
      <c r="Q878" s="22" t="s">
        <v>14</v>
      </c>
    </row>
    <row r="879" spans="1:17" x14ac:dyDescent="0.3">
      <c r="A879" s="27">
        <v>49</v>
      </c>
      <c r="B879" s="24">
        <v>100</v>
      </c>
      <c r="C879" s="25">
        <f>Sales!$B879*Sales!$A879</f>
        <v>4900</v>
      </c>
      <c r="D879" s="26">
        <v>38362</v>
      </c>
      <c r="E879" s="27" t="s">
        <v>9</v>
      </c>
      <c r="F879" s="27">
        <v>1</v>
      </c>
      <c r="G879" s="27">
        <v>1</v>
      </c>
      <c r="H879" s="27">
        <v>2005</v>
      </c>
      <c r="I879" s="27" t="s">
        <v>47</v>
      </c>
      <c r="J879" s="25">
        <v>132</v>
      </c>
      <c r="K879" s="25">
        <f>Sales!$B879-Sales!$J879</f>
        <v>-32</v>
      </c>
      <c r="L879" s="28">
        <f>(Sales!$J879-Sales!$B879)/Sales!$J879</f>
        <v>0.24242424242424243</v>
      </c>
      <c r="M879" s="28" t="str">
        <f t="shared" si="13"/>
        <v>+20%</v>
      </c>
      <c r="N879" s="27" t="s">
        <v>117</v>
      </c>
      <c r="O879" s="27" t="s">
        <v>81</v>
      </c>
      <c r="P879" s="27" t="s">
        <v>17</v>
      </c>
      <c r="Q879" s="27" t="s">
        <v>19</v>
      </c>
    </row>
    <row r="880" spans="1:17" x14ac:dyDescent="0.3">
      <c r="A880" s="22">
        <v>29</v>
      </c>
      <c r="B880" s="19">
        <v>100</v>
      </c>
      <c r="C880" s="20">
        <f>Sales!$B880*Sales!$A880</f>
        <v>2900</v>
      </c>
      <c r="D880" s="21">
        <v>38393</v>
      </c>
      <c r="E880" s="22" t="s">
        <v>9</v>
      </c>
      <c r="F880" s="22">
        <v>1</v>
      </c>
      <c r="G880" s="22">
        <v>2</v>
      </c>
      <c r="H880" s="22">
        <v>2005</v>
      </c>
      <c r="I880" s="22" t="s">
        <v>47</v>
      </c>
      <c r="J880" s="20">
        <v>132</v>
      </c>
      <c r="K880" s="20">
        <f>Sales!$B880-Sales!$J880</f>
        <v>-32</v>
      </c>
      <c r="L880" s="23">
        <f>(Sales!$J880-Sales!$B880)/Sales!$J880</f>
        <v>0.24242424242424243</v>
      </c>
      <c r="M880" s="23" t="str">
        <f t="shared" si="13"/>
        <v>+20%</v>
      </c>
      <c r="N880" s="22" t="s">
        <v>45</v>
      </c>
      <c r="O880" s="22" t="s">
        <v>46</v>
      </c>
      <c r="P880" s="22" t="s">
        <v>17</v>
      </c>
      <c r="Q880" s="22" t="s">
        <v>19</v>
      </c>
    </row>
    <row r="881" spans="1:17" x14ac:dyDescent="0.3">
      <c r="A881" s="27">
        <v>41</v>
      </c>
      <c r="B881" s="24">
        <v>100</v>
      </c>
      <c r="C881" s="25">
        <f>Sales!$B881*Sales!$A881</f>
        <v>4100</v>
      </c>
      <c r="D881" s="26">
        <v>38464</v>
      </c>
      <c r="E881" s="27" t="s">
        <v>87</v>
      </c>
      <c r="F881" s="27">
        <v>2</v>
      </c>
      <c r="G881" s="27">
        <v>4</v>
      </c>
      <c r="H881" s="27">
        <v>2005</v>
      </c>
      <c r="I881" s="27" t="s">
        <v>47</v>
      </c>
      <c r="J881" s="25">
        <v>132</v>
      </c>
      <c r="K881" s="25">
        <f>Sales!$B881-Sales!$J881</f>
        <v>-32</v>
      </c>
      <c r="L881" s="28">
        <f>(Sales!$J881-Sales!$B881)/Sales!$J881</f>
        <v>0.24242424242424243</v>
      </c>
      <c r="M881" s="28" t="str">
        <f t="shared" si="13"/>
        <v>+20%</v>
      </c>
      <c r="N881" s="27" t="s">
        <v>86</v>
      </c>
      <c r="O881" s="27" t="s">
        <v>12</v>
      </c>
      <c r="P881" s="27" t="s">
        <v>13</v>
      </c>
      <c r="Q881" s="27" t="s">
        <v>19</v>
      </c>
    </row>
    <row r="882" spans="1:17" x14ac:dyDescent="0.3">
      <c r="A882" s="22">
        <v>55</v>
      </c>
      <c r="B882" s="19">
        <v>100</v>
      </c>
      <c r="C882" s="20">
        <f>Sales!$B882*Sales!$A882</f>
        <v>5500</v>
      </c>
      <c r="D882" s="21">
        <v>38489</v>
      </c>
      <c r="E882" s="22" t="s">
        <v>9</v>
      </c>
      <c r="F882" s="22">
        <v>2</v>
      </c>
      <c r="G882" s="22">
        <v>5</v>
      </c>
      <c r="H882" s="22">
        <v>2005</v>
      </c>
      <c r="I882" s="22" t="s">
        <v>47</v>
      </c>
      <c r="J882" s="20">
        <v>132</v>
      </c>
      <c r="K882" s="20">
        <f>Sales!$B882-Sales!$J882</f>
        <v>-32</v>
      </c>
      <c r="L882" s="23">
        <f>(Sales!$J882-Sales!$B882)/Sales!$J882</f>
        <v>0.24242424242424243</v>
      </c>
      <c r="M882" s="23" t="str">
        <f t="shared" si="13"/>
        <v>+20%</v>
      </c>
      <c r="N882" s="22" t="s">
        <v>37</v>
      </c>
      <c r="O882" s="22" t="s">
        <v>38</v>
      </c>
      <c r="P882" s="22" t="s">
        <v>17</v>
      </c>
      <c r="Q882" s="22" t="s">
        <v>39</v>
      </c>
    </row>
    <row r="883" spans="1:17" x14ac:dyDescent="0.3">
      <c r="A883" s="27">
        <v>27</v>
      </c>
      <c r="B883" s="24">
        <v>83.07</v>
      </c>
      <c r="C883" s="25">
        <f>Sales!$B883*Sales!$A883</f>
        <v>2242.89</v>
      </c>
      <c r="D883" s="26">
        <v>37650</v>
      </c>
      <c r="E883" s="27" t="s">
        <v>9</v>
      </c>
      <c r="F883" s="27">
        <v>1</v>
      </c>
      <c r="G883" s="27">
        <v>1</v>
      </c>
      <c r="H883" s="27">
        <v>2003</v>
      </c>
      <c r="I883" s="27" t="s">
        <v>112</v>
      </c>
      <c r="J883" s="25">
        <v>101</v>
      </c>
      <c r="K883" s="25">
        <f>Sales!$B883-Sales!$J883</f>
        <v>-17.930000000000007</v>
      </c>
      <c r="L883" s="28">
        <f>(Sales!$J883-Sales!$B883)/Sales!$J883</f>
        <v>0.1775247524752476</v>
      </c>
      <c r="M883" s="28" t="str">
        <f t="shared" si="13"/>
        <v>15%-20%</v>
      </c>
      <c r="N883" s="27" t="s">
        <v>35</v>
      </c>
      <c r="O883" s="27" t="s">
        <v>25</v>
      </c>
      <c r="P883" s="27" t="s">
        <v>17</v>
      </c>
      <c r="Q883" s="27" t="s">
        <v>14</v>
      </c>
    </row>
    <row r="884" spans="1:17" x14ac:dyDescent="0.3">
      <c r="A884" s="22">
        <v>23</v>
      </c>
      <c r="B884" s="19">
        <v>100</v>
      </c>
      <c r="C884" s="20">
        <f>Sales!$B884*Sales!$A884</f>
        <v>2300</v>
      </c>
      <c r="D884" s="21">
        <v>37704</v>
      </c>
      <c r="E884" s="22" t="s">
        <v>9</v>
      </c>
      <c r="F884" s="22">
        <v>1</v>
      </c>
      <c r="G884" s="22">
        <v>3</v>
      </c>
      <c r="H884" s="22">
        <v>2003</v>
      </c>
      <c r="I884" s="22" t="s">
        <v>112</v>
      </c>
      <c r="J884" s="20">
        <v>101</v>
      </c>
      <c r="K884" s="20">
        <f>Sales!$B884-Sales!$J884</f>
        <v>-1</v>
      </c>
      <c r="L884" s="23">
        <f>(Sales!$J884-Sales!$B884)/Sales!$J884</f>
        <v>9.9009900990099011E-3</v>
      </c>
      <c r="M884" s="23" t="str">
        <f t="shared" si="13"/>
        <v>0%-5%</v>
      </c>
      <c r="N884" s="22" t="s">
        <v>48</v>
      </c>
      <c r="O884" s="22" t="s">
        <v>49</v>
      </c>
      <c r="P884" s="22" t="s">
        <v>17</v>
      </c>
      <c r="Q884" s="22" t="s">
        <v>14</v>
      </c>
    </row>
    <row r="885" spans="1:17" x14ac:dyDescent="0.3">
      <c r="A885" s="27">
        <v>31</v>
      </c>
      <c r="B885" s="24">
        <v>90.17</v>
      </c>
      <c r="C885" s="25">
        <f>Sales!$B885*Sales!$A885</f>
        <v>2795.27</v>
      </c>
      <c r="D885" s="26">
        <v>37769</v>
      </c>
      <c r="E885" s="27" t="s">
        <v>9</v>
      </c>
      <c r="F885" s="27">
        <v>2</v>
      </c>
      <c r="G885" s="27">
        <v>5</v>
      </c>
      <c r="H885" s="27">
        <v>2003</v>
      </c>
      <c r="I885" s="27" t="s">
        <v>112</v>
      </c>
      <c r="J885" s="25">
        <v>101</v>
      </c>
      <c r="K885" s="25">
        <f>Sales!$B885-Sales!$J885</f>
        <v>-10.829999999999998</v>
      </c>
      <c r="L885" s="28">
        <f>(Sales!$J885-Sales!$B885)/Sales!$J885</f>
        <v>0.10722772277227721</v>
      </c>
      <c r="M885" s="28" t="str">
        <f t="shared" si="13"/>
        <v>10%-15%</v>
      </c>
      <c r="N885" s="27" t="s">
        <v>45</v>
      </c>
      <c r="O885" s="27" t="s">
        <v>46</v>
      </c>
      <c r="P885" s="27" t="s">
        <v>17</v>
      </c>
      <c r="Q885" s="27" t="s">
        <v>14</v>
      </c>
    </row>
    <row r="886" spans="1:17" x14ac:dyDescent="0.3">
      <c r="A886" s="22">
        <v>46</v>
      </c>
      <c r="B886" s="19">
        <v>100</v>
      </c>
      <c r="C886" s="20">
        <f>Sales!$B886*Sales!$A886</f>
        <v>4600</v>
      </c>
      <c r="D886" s="21">
        <v>37818</v>
      </c>
      <c r="E886" s="22" t="s">
        <v>9</v>
      </c>
      <c r="F886" s="22">
        <v>3</v>
      </c>
      <c r="G886" s="22">
        <v>7</v>
      </c>
      <c r="H886" s="22">
        <v>2003</v>
      </c>
      <c r="I886" s="22" t="s">
        <v>112</v>
      </c>
      <c r="J886" s="20">
        <v>101</v>
      </c>
      <c r="K886" s="20">
        <f>Sales!$B886-Sales!$J886</f>
        <v>-1</v>
      </c>
      <c r="L886" s="23">
        <f>(Sales!$J886-Sales!$B886)/Sales!$J886</f>
        <v>9.9009900990099011E-3</v>
      </c>
      <c r="M886" s="23" t="str">
        <f t="shared" si="13"/>
        <v>0%-5%</v>
      </c>
      <c r="N886" s="22" t="s">
        <v>40</v>
      </c>
      <c r="O886" s="22" t="s">
        <v>27</v>
      </c>
      <c r="P886" s="22" t="s">
        <v>28</v>
      </c>
      <c r="Q886" s="22" t="s">
        <v>19</v>
      </c>
    </row>
    <row r="887" spans="1:17" x14ac:dyDescent="0.3">
      <c r="A887" s="27">
        <v>47</v>
      </c>
      <c r="B887" s="24">
        <v>91.18</v>
      </c>
      <c r="C887" s="25">
        <f>Sales!$B887*Sales!$A887</f>
        <v>4285.46</v>
      </c>
      <c r="D887" s="26">
        <v>37883</v>
      </c>
      <c r="E887" s="27" t="s">
        <v>9</v>
      </c>
      <c r="F887" s="27">
        <v>3</v>
      </c>
      <c r="G887" s="27">
        <v>9</v>
      </c>
      <c r="H887" s="27">
        <v>2003</v>
      </c>
      <c r="I887" s="27" t="s">
        <v>112</v>
      </c>
      <c r="J887" s="25">
        <v>101</v>
      </c>
      <c r="K887" s="25">
        <f>Sales!$B887-Sales!$J887</f>
        <v>-9.8199999999999932</v>
      </c>
      <c r="L887" s="28">
        <f>(Sales!$J887-Sales!$B887)/Sales!$J887</f>
        <v>9.7227722772277161E-2</v>
      </c>
      <c r="M887" s="28" t="str">
        <f t="shared" si="13"/>
        <v>5%-10%</v>
      </c>
      <c r="N887" s="27" t="s">
        <v>50</v>
      </c>
      <c r="O887" s="27" t="s">
        <v>50</v>
      </c>
      <c r="P887" s="27" t="s">
        <v>28</v>
      </c>
      <c r="Q887" s="27" t="s">
        <v>19</v>
      </c>
    </row>
    <row r="888" spans="1:17" x14ac:dyDescent="0.3">
      <c r="A888" s="22">
        <v>31</v>
      </c>
      <c r="B888" s="19">
        <v>100</v>
      </c>
      <c r="C888" s="20">
        <f>Sales!$B888*Sales!$A888</f>
        <v>3100</v>
      </c>
      <c r="D888" s="21">
        <v>37914</v>
      </c>
      <c r="E888" s="22" t="s">
        <v>9</v>
      </c>
      <c r="F888" s="22">
        <v>4</v>
      </c>
      <c r="G888" s="22">
        <v>10</v>
      </c>
      <c r="H888" s="22">
        <v>2003</v>
      </c>
      <c r="I888" s="22" t="s">
        <v>112</v>
      </c>
      <c r="J888" s="20">
        <v>101</v>
      </c>
      <c r="K888" s="20">
        <f>Sales!$B888-Sales!$J888</f>
        <v>-1</v>
      </c>
      <c r="L888" s="23">
        <f>(Sales!$J888-Sales!$B888)/Sales!$J888</f>
        <v>9.9009900990099011E-3</v>
      </c>
      <c r="M888" s="23" t="str">
        <f t="shared" si="13"/>
        <v>0%-5%</v>
      </c>
      <c r="N888" s="22" t="s">
        <v>11</v>
      </c>
      <c r="O888" s="22" t="s">
        <v>12</v>
      </c>
      <c r="P888" s="22" t="s">
        <v>13</v>
      </c>
      <c r="Q888" s="22" t="s">
        <v>19</v>
      </c>
    </row>
    <row r="889" spans="1:17" x14ac:dyDescent="0.3">
      <c r="A889" s="27">
        <v>46</v>
      </c>
      <c r="B889" s="24">
        <v>100</v>
      </c>
      <c r="C889" s="25">
        <f>Sales!$B889*Sales!$A889</f>
        <v>4600</v>
      </c>
      <c r="D889" s="26">
        <v>37931</v>
      </c>
      <c r="E889" s="27" t="s">
        <v>9</v>
      </c>
      <c r="F889" s="27">
        <v>4</v>
      </c>
      <c r="G889" s="27">
        <v>11</v>
      </c>
      <c r="H889" s="27">
        <v>2003</v>
      </c>
      <c r="I889" s="27" t="s">
        <v>112</v>
      </c>
      <c r="J889" s="25">
        <v>101</v>
      </c>
      <c r="K889" s="25">
        <f>Sales!$B889-Sales!$J889</f>
        <v>-1</v>
      </c>
      <c r="L889" s="28">
        <f>(Sales!$J889-Sales!$B889)/Sales!$J889</f>
        <v>9.9009900990099011E-3</v>
      </c>
      <c r="M889" s="28" t="str">
        <f t="shared" si="13"/>
        <v>0%-5%</v>
      </c>
      <c r="N889" s="27" t="s">
        <v>52</v>
      </c>
      <c r="O889" s="27" t="s">
        <v>27</v>
      </c>
      <c r="P889" s="27" t="s">
        <v>28</v>
      </c>
      <c r="Q889" s="27" t="s">
        <v>19</v>
      </c>
    </row>
    <row r="890" spans="1:17" x14ac:dyDescent="0.3">
      <c r="A890" s="22">
        <v>37</v>
      </c>
      <c r="B890" s="19">
        <v>89.15</v>
      </c>
      <c r="C890" s="20">
        <f>Sales!$B890*Sales!$A890</f>
        <v>3298.55</v>
      </c>
      <c r="D890" s="21">
        <v>37938</v>
      </c>
      <c r="E890" s="22" t="s">
        <v>9</v>
      </c>
      <c r="F890" s="22">
        <v>4</v>
      </c>
      <c r="G890" s="22">
        <v>11</v>
      </c>
      <c r="H890" s="22">
        <v>2003</v>
      </c>
      <c r="I890" s="22" t="s">
        <v>112</v>
      </c>
      <c r="J890" s="20">
        <v>101</v>
      </c>
      <c r="K890" s="20">
        <f>Sales!$B890-Sales!$J890</f>
        <v>-11.849999999999994</v>
      </c>
      <c r="L890" s="23">
        <f>(Sales!$J890-Sales!$B890)/Sales!$J890</f>
        <v>0.11732673267326726</v>
      </c>
      <c r="M890" s="23" t="str">
        <f t="shared" si="13"/>
        <v>10%-15%</v>
      </c>
      <c r="N890" s="22" t="s">
        <v>53</v>
      </c>
      <c r="O890" s="22" t="s">
        <v>12</v>
      </c>
      <c r="P890" s="22" t="s">
        <v>13</v>
      </c>
      <c r="Q890" s="22" t="s">
        <v>19</v>
      </c>
    </row>
    <row r="891" spans="1:17" x14ac:dyDescent="0.3">
      <c r="A891" s="27">
        <v>28</v>
      </c>
      <c r="B891" s="24">
        <v>93.21</v>
      </c>
      <c r="C891" s="25">
        <f>Sales!$B891*Sales!$A891</f>
        <v>2609.8799999999997</v>
      </c>
      <c r="D891" s="26">
        <v>37946</v>
      </c>
      <c r="E891" s="27" t="s">
        <v>9</v>
      </c>
      <c r="F891" s="27">
        <v>4</v>
      </c>
      <c r="G891" s="27">
        <v>11</v>
      </c>
      <c r="H891" s="27">
        <v>2003</v>
      </c>
      <c r="I891" s="27" t="s">
        <v>112</v>
      </c>
      <c r="J891" s="25">
        <v>101</v>
      </c>
      <c r="K891" s="25">
        <f>Sales!$B891-Sales!$J891</f>
        <v>-7.7900000000000063</v>
      </c>
      <c r="L891" s="28">
        <f>(Sales!$J891-Sales!$B891)/Sales!$J891</f>
        <v>7.7128712871287197E-2</v>
      </c>
      <c r="M891" s="28" t="str">
        <f t="shared" si="13"/>
        <v>5%-10%</v>
      </c>
      <c r="N891" s="27" t="s">
        <v>114</v>
      </c>
      <c r="O891" s="27" t="s">
        <v>27</v>
      </c>
      <c r="P891" s="27" t="s">
        <v>28</v>
      </c>
      <c r="Q891" s="27" t="s">
        <v>14</v>
      </c>
    </row>
    <row r="892" spans="1:17" x14ac:dyDescent="0.3">
      <c r="A892" s="22">
        <v>37</v>
      </c>
      <c r="B892" s="19">
        <v>90.17</v>
      </c>
      <c r="C892" s="20">
        <f>Sales!$B892*Sales!$A892</f>
        <v>3336.29</v>
      </c>
      <c r="D892" s="21">
        <v>37960</v>
      </c>
      <c r="E892" s="22" t="s">
        <v>9</v>
      </c>
      <c r="F892" s="22">
        <v>4</v>
      </c>
      <c r="G892" s="22">
        <v>12</v>
      </c>
      <c r="H892" s="22">
        <v>2003</v>
      </c>
      <c r="I892" s="22" t="s">
        <v>112</v>
      </c>
      <c r="J892" s="20">
        <v>101</v>
      </c>
      <c r="K892" s="20">
        <f>Sales!$B892-Sales!$J892</f>
        <v>-10.829999999999998</v>
      </c>
      <c r="L892" s="23">
        <f>(Sales!$J892-Sales!$B892)/Sales!$J892</f>
        <v>0.10722772277227721</v>
      </c>
      <c r="M892" s="23" t="str">
        <f t="shared" si="13"/>
        <v>10%-15%</v>
      </c>
      <c r="N892" s="22" t="s">
        <v>55</v>
      </c>
      <c r="O892" s="22" t="s">
        <v>56</v>
      </c>
      <c r="P892" s="22" t="s">
        <v>13</v>
      </c>
      <c r="Q892" s="22" t="s">
        <v>19</v>
      </c>
    </row>
    <row r="893" spans="1:17" x14ac:dyDescent="0.3">
      <c r="A893" s="27">
        <v>49</v>
      </c>
      <c r="B893" s="24">
        <v>100</v>
      </c>
      <c r="C893" s="25">
        <f>Sales!$B893*Sales!$A893</f>
        <v>4900</v>
      </c>
      <c r="D893" s="26">
        <v>38015</v>
      </c>
      <c r="E893" s="27" t="s">
        <v>9</v>
      </c>
      <c r="F893" s="27">
        <v>1</v>
      </c>
      <c r="G893" s="27">
        <v>1</v>
      </c>
      <c r="H893" s="27">
        <v>2004</v>
      </c>
      <c r="I893" s="27" t="s">
        <v>112</v>
      </c>
      <c r="J893" s="25">
        <v>101</v>
      </c>
      <c r="K893" s="25">
        <f>Sales!$B893-Sales!$J893</f>
        <v>-1</v>
      </c>
      <c r="L893" s="28">
        <f>(Sales!$J893-Sales!$B893)/Sales!$J893</f>
        <v>9.9009900990099011E-3</v>
      </c>
      <c r="M893" s="28" t="str">
        <f t="shared" si="13"/>
        <v>0%-5%</v>
      </c>
      <c r="N893" s="27" t="s">
        <v>57</v>
      </c>
      <c r="O893" s="27" t="s">
        <v>12</v>
      </c>
      <c r="P893" s="27" t="s">
        <v>13</v>
      </c>
      <c r="Q893" s="27" t="s">
        <v>19</v>
      </c>
    </row>
    <row r="894" spans="1:17" x14ac:dyDescent="0.3">
      <c r="A894" s="22">
        <v>24</v>
      </c>
      <c r="B894" s="19">
        <v>100</v>
      </c>
      <c r="C894" s="20">
        <f>Sales!$B894*Sales!$A894</f>
        <v>2400</v>
      </c>
      <c r="D894" s="21">
        <v>38056</v>
      </c>
      <c r="E894" s="22" t="s">
        <v>9</v>
      </c>
      <c r="F894" s="22">
        <v>1</v>
      </c>
      <c r="G894" s="22">
        <v>3</v>
      </c>
      <c r="H894" s="22">
        <v>2004</v>
      </c>
      <c r="I894" s="22" t="s">
        <v>112</v>
      </c>
      <c r="J894" s="20">
        <v>101</v>
      </c>
      <c r="K894" s="20">
        <f>Sales!$B894-Sales!$J894</f>
        <v>-1</v>
      </c>
      <c r="L894" s="23">
        <f>(Sales!$J894-Sales!$B894)/Sales!$J894</f>
        <v>9.9009900990099011E-3</v>
      </c>
      <c r="M894" s="23" t="str">
        <f t="shared" si="13"/>
        <v>0%-5%</v>
      </c>
      <c r="N894" s="22" t="s">
        <v>32</v>
      </c>
      <c r="O894" s="22" t="s">
        <v>12</v>
      </c>
      <c r="P894" s="22" t="s">
        <v>13</v>
      </c>
      <c r="Q894" s="22" t="s">
        <v>14</v>
      </c>
    </row>
    <row r="895" spans="1:17" x14ac:dyDescent="0.3">
      <c r="A895" s="27">
        <v>30</v>
      </c>
      <c r="B895" s="24">
        <v>100</v>
      </c>
      <c r="C895" s="25">
        <f>Sales!$B895*Sales!$A895</f>
        <v>3000</v>
      </c>
      <c r="D895" s="26">
        <v>38106</v>
      </c>
      <c r="E895" s="27" t="s">
        <v>9</v>
      </c>
      <c r="F895" s="27">
        <v>2</v>
      </c>
      <c r="G895" s="27">
        <v>4</v>
      </c>
      <c r="H895" s="27">
        <v>2004</v>
      </c>
      <c r="I895" s="27" t="s">
        <v>112</v>
      </c>
      <c r="J895" s="25">
        <v>101</v>
      </c>
      <c r="K895" s="25">
        <f>Sales!$B895-Sales!$J895</f>
        <v>-1</v>
      </c>
      <c r="L895" s="28">
        <f>(Sales!$J895-Sales!$B895)/Sales!$J895</f>
        <v>9.9009900990099011E-3</v>
      </c>
      <c r="M895" s="28" t="str">
        <f t="shared" si="13"/>
        <v>0%-5%</v>
      </c>
      <c r="N895" s="27" t="s">
        <v>45</v>
      </c>
      <c r="O895" s="27" t="s">
        <v>46</v>
      </c>
      <c r="P895" s="27" t="s">
        <v>17</v>
      </c>
      <c r="Q895" s="27" t="s">
        <v>19</v>
      </c>
    </row>
    <row r="896" spans="1:17" x14ac:dyDescent="0.3">
      <c r="A896" s="22">
        <v>50</v>
      </c>
      <c r="B896" s="19">
        <v>88.14</v>
      </c>
      <c r="C896" s="20">
        <f>Sales!$B896*Sales!$A896</f>
        <v>4407</v>
      </c>
      <c r="D896" s="21">
        <v>38152</v>
      </c>
      <c r="E896" s="22" t="s">
        <v>9</v>
      </c>
      <c r="F896" s="22">
        <v>2</v>
      </c>
      <c r="G896" s="22">
        <v>6</v>
      </c>
      <c r="H896" s="22">
        <v>2004</v>
      </c>
      <c r="I896" s="22" t="s">
        <v>112</v>
      </c>
      <c r="J896" s="20">
        <v>101</v>
      </c>
      <c r="K896" s="20">
        <f>Sales!$B896-Sales!$J896</f>
        <v>-12.86</v>
      </c>
      <c r="L896" s="23">
        <f>(Sales!$J896-Sales!$B896)/Sales!$J896</f>
        <v>0.12732673267326733</v>
      </c>
      <c r="M896" s="23" t="str">
        <f t="shared" si="13"/>
        <v>10%-15%</v>
      </c>
      <c r="N896" s="22" t="s">
        <v>86</v>
      </c>
      <c r="O896" s="22" t="s">
        <v>12</v>
      </c>
      <c r="P896" s="22" t="s">
        <v>13</v>
      </c>
      <c r="Q896" s="22" t="s">
        <v>19</v>
      </c>
    </row>
    <row r="897" spans="1:17" x14ac:dyDescent="0.3">
      <c r="A897" s="27">
        <v>31</v>
      </c>
      <c r="B897" s="24">
        <v>96.24</v>
      </c>
      <c r="C897" s="25">
        <f>Sales!$B897*Sales!$A897</f>
        <v>2983.44</v>
      </c>
      <c r="D897" s="26">
        <v>38187</v>
      </c>
      <c r="E897" s="27" t="s">
        <v>9</v>
      </c>
      <c r="F897" s="27">
        <v>3</v>
      </c>
      <c r="G897" s="27">
        <v>7</v>
      </c>
      <c r="H897" s="27">
        <v>2004</v>
      </c>
      <c r="I897" s="27" t="s">
        <v>112</v>
      </c>
      <c r="J897" s="25">
        <v>101</v>
      </c>
      <c r="K897" s="25">
        <f>Sales!$B897-Sales!$J897</f>
        <v>-4.7600000000000051</v>
      </c>
      <c r="L897" s="28">
        <f>(Sales!$J897-Sales!$B897)/Sales!$J897</f>
        <v>4.7128712871287178E-2</v>
      </c>
      <c r="M897" s="28" t="str">
        <f t="shared" si="13"/>
        <v>0%-5%</v>
      </c>
      <c r="N897" s="27" t="s">
        <v>40</v>
      </c>
      <c r="O897" s="27" t="s">
        <v>27</v>
      </c>
      <c r="P897" s="27" t="s">
        <v>28</v>
      </c>
      <c r="Q897" s="27" t="s">
        <v>14</v>
      </c>
    </row>
    <row r="898" spans="1:17" x14ac:dyDescent="0.3">
      <c r="A898" s="22">
        <v>46</v>
      </c>
      <c r="B898" s="19">
        <v>100</v>
      </c>
      <c r="C898" s="20">
        <f>Sales!$B898*Sales!$A898</f>
        <v>4600</v>
      </c>
      <c r="D898" s="21">
        <v>38216</v>
      </c>
      <c r="E898" s="22" t="s">
        <v>9</v>
      </c>
      <c r="F898" s="22">
        <v>3</v>
      </c>
      <c r="G898" s="22">
        <v>8</v>
      </c>
      <c r="H898" s="22">
        <v>2004</v>
      </c>
      <c r="I898" s="22" t="s">
        <v>112</v>
      </c>
      <c r="J898" s="20">
        <v>101</v>
      </c>
      <c r="K898" s="20">
        <f>Sales!$B898-Sales!$J898</f>
        <v>-1</v>
      </c>
      <c r="L898" s="23">
        <f>(Sales!$J898-Sales!$B898)/Sales!$J898</f>
        <v>9.9009900990099011E-3</v>
      </c>
      <c r="M898" s="23" t="str">
        <f t="shared" si="13"/>
        <v>0%-5%</v>
      </c>
      <c r="N898" s="22" t="s">
        <v>60</v>
      </c>
      <c r="O898" s="22" t="s">
        <v>61</v>
      </c>
      <c r="P898" s="22" t="s">
        <v>17</v>
      </c>
      <c r="Q898" s="22" t="s">
        <v>19</v>
      </c>
    </row>
    <row r="899" spans="1:17" x14ac:dyDescent="0.3">
      <c r="A899" s="27">
        <v>47</v>
      </c>
      <c r="B899" s="24">
        <v>100</v>
      </c>
      <c r="C899" s="25">
        <f>Sales!$B899*Sales!$A899</f>
        <v>4700</v>
      </c>
      <c r="D899" s="26">
        <v>38238</v>
      </c>
      <c r="E899" s="27" t="s">
        <v>9</v>
      </c>
      <c r="F899" s="27">
        <v>3</v>
      </c>
      <c r="G899" s="27">
        <v>9</v>
      </c>
      <c r="H899" s="27">
        <v>2004</v>
      </c>
      <c r="I899" s="27" t="s">
        <v>112</v>
      </c>
      <c r="J899" s="25">
        <v>101</v>
      </c>
      <c r="K899" s="25">
        <f>Sales!$B899-Sales!$J899</f>
        <v>-1</v>
      </c>
      <c r="L899" s="28">
        <f>(Sales!$J899-Sales!$B899)/Sales!$J899</f>
        <v>9.9009900990099011E-3</v>
      </c>
      <c r="M899" s="28" t="str">
        <f t="shared" ref="M899:M962" si="14">IF(L899&lt;0%,"Below 0%",IF(L899=0%,"0%",IF(AND(L899&lt;=5%,L899&gt;0%),"0%-5%",IF(AND(L899&lt;=10%,L899&gt;5%),"5%-10%",IF(AND(L899&lt;=15%,L899&gt;10%),"10%-15%",IF(AND(L899&lt;=20%,L899&gt;15%),"15%-20%","+20%"))))))</f>
        <v>0%-5%</v>
      </c>
      <c r="N899" s="27" t="s">
        <v>62</v>
      </c>
      <c r="O899" s="27" t="s">
        <v>49</v>
      </c>
      <c r="P899" s="27" t="s">
        <v>17</v>
      </c>
      <c r="Q899" s="27" t="s">
        <v>19</v>
      </c>
    </row>
    <row r="900" spans="1:17" x14ac:dyDescent="0.3">
      <c r="A900" s="22">
        <v>46</v>
      </c>
      <c r="B900" s="19">
        <v>100</v>
      </c>
      <c r="C900" s="20">
        <f>Sales!$B900*Sales!$A900</f>
        <v>4600</v>
      </c>
      <c r="D900" s="21">
        <v>38271</v>
      </c>
      <c r="E900" s="22" t="s">
        <v>9</v>
      </c>
      <c r="F900" s="22">
        <v>4</v>
      </c>
      <c r="G900" s="22">
        <v>10</v>
      </c>
      <c r="H900" s="22">
        <v>2004</v>
      </c>
      <c r="I900" s="22" t="s">
        <v>112</v>
      </c>
      <c r="J900" s="20">
        <v>101</v>
      </c>
      <c r="K900" s="20">
        <f>Sales!$B900-Sales!$J900</f>
        <v>-1</v>
      </c>
      <c r="L900" s="23">
        <f>(Sales!$J900-Sales!$B900)/Sales!$J900</f>
        <v>9.9009900990099011E-3</v>
      </c>
      <c r="M900" s="23" t="str">
        <f t="shared" si="14"/>
        <v>0%-5%</v>
      </c>
      <c r="N900" s="22" t="s">
        <v>63</v>
      </c>
      <c r="O900" s="22" t="s">
        <v>16</v>
      </c>
      <c r="P900" s="22" t="s">
        <v>17</v>
      </c>
      <c r="Q900" s="22" t="s">
        <v>19</v>
      </c>
    </row>
    <row r="901" spans="1:17" x14ac:dyDescent="0.3">
      <c r="A901" s="27">
        <v>37</v>
      </c>
      <c r="B901" s="24">
        <v>100</v>
      </c>
      <c r="C901" s="25">
        <f>Sales!$B901*Sales!$A901</f>
        <v>3700</v>
      </c>
      <c r="D901" s="26">
        <v>38281</v>
      </c>
      <c r="E901" s="27" t="s">
        <v>9</v>
      </c>
      <c r="F901" s="27">
        <v>4</v>
      </c>
      <c r="G901" s="27">
        <v>10</v>
      </c>
      <c r="H901" s="27">
        <v>2004</v>
      </c>
      <c r="I901" s="27" t="s">
        <v>112</v>
      </c>
      <c r="J901" s="25">
        <v>101</v>
      </c>
      <c r="K901" s="25">
        <f>Sales!$B901-Sales!$J901</f>
        <v>-1</v>
      </c>
      <c r="L901" s="28">
        <f>(Sales!$J901-Sales!$B901)/Sales!$J901</f>
        <v>9.9009900990099011E-3</v>
      </c>
      <c r="M901" s="28" t="str">
        <f t="shared" si="14"/>
        <v>0%-5%</v>
      </c>
      <c r="N901" s="27" t="s">
        <v>64</v>
      </c>
      <c r="O901" s="27" t="s">
        <v>12</v>
      </c>
      <c r="P901" s="27" t="s">
        <v>13</v>
      </c>
      <c r="Q901" s="27" t="s">
        <v>19</v>
      </c>
    </row>
    <row r="902" spans="1:17" x14ac:dyDescent="0.3">
      <c r="A902" s="22">
        <v>33</v>
      </c>
      <c r="B902" s="19">
        <v>100</v>
      </c>
      <c r="C902" s="20">
        <f>Sales!$B902*Sales!$A902</f>
        <v>3300</v>
      </c>
      <c r="D902" s="21">
        <v>38295</v>
      </c>
      <c r="E902" s="22" t="s">
        <v>9</v>
      </c>
      <c r="F902" s="22">
        <v>4</v>
      </c>
      <c r="G902" s="22">
        <v>11</v>
      </c>
      <c r="H902" s="22">
        <v>2004</v>
      </c>
      <c r="I902" s="22" t="s">
        <v>112</v>
      </c>
      <c r="J902" s="20">
        <v>101</v>
      </c>
      <c r="K902" s="20">
        <f>Sales!$B902-Sales!$J902</f>
        <v>-1</v>
      </c>
      <c r="L902" s="23">
        <f>(Sales!$J902-Sales!$B902)/Sales!$J902</f>
        <v>9.9009900990099011E-3</v>
      </c>
      <c r="M902" s="23" t="str">
        <f t="shared" si="14"/>
        <v>0%-5%</v>
      </c>
      <c r="N902" s="22" t="s">
        <v>65</v>
      </c>
      <c r="O902" s="22" t="s">
        <v>12</v>
      </c>
      <c r="P902" s="22" t="s">
        <v>13</v>
      </c>
      <c r="Q902" s="22" t="s">
        <v>19</v>
      </c>
    </row>
    <row r="903" spans="1:17" x14ac:dyDescent="0.3">
      <c r="A903" s="27">
        <v>31</v>
      </c>
      <c r="B903" s="24">
        <v>90.17</v>
      </c>
      <c r="C903" s="25">
        <f>Sales!$B903*Sales!$A903</f>
        <v>2795.27</v>
      </c>
      <c r="D903" s="26">
        <v>38309</v>
      </c>
      <c r="E903" s="27" t="s">
        <v>9</v>
      </c>
      <c r="F903" s="27">
        <v>4</v>
      </c>
      <c r="G903" s="27">
        <v>11</v>
      </c>
      <c r="H903" s="27">
        <v>2004</v>
      </c>
      <c r="I903" s="27" t="s">
        <v>112</v>
      </c>
      <c r="J903" s="25">
        <v>101</v>
      </c>
      <c r="K903" s="25">
        <f>Sales!$B903-Sales!$J903</f>
        <v>-10.829999999999998</v>
      </c>
      <c r="L903" s="28">
        <f>(Sales!$J903-Sales!$B903)/Sales!$J903</f>
        <v>0.10722772277227721</v>
      </c>
      <c r="M903" s="28" t="str">
        <f t="shared" si="14"/>
        <v>10%-15%</v>
      </c>
      <c r="N903" s="27" t="s">
        <v>21</v>
      </c>
      <c r="O903" s="27" t="s">
        <v>12</v>
      </c>
      <c r="P903" s="27" t="s">
        <v>13</v>
      </c>
      <c r="Q903" s="27" t="s">
        <v>14</v>
      </c>
    </row>
    <row r="904" spans="1:17" x14ac:dyDescent="0.3">
      <c r="A904" s="22">
        <v>48</v>
      </c>
      <c r="B904" s="19">
        <v>100</v>
      </c>
      <c r="C904" s="20">
        <f>Sales!$B904*Sales!$A904</f>
        <v>4800</v>
      </c>
      <c r="D904" s="21">
        <v>38320</v>
      </c>
      <c r="E904" s="22" t="s">
        <v>9</v>
      </c>
      <c r="F904" s="22">
        <v>4</v>
      </c>
      <c r="G904" s="22">
        <v>11</v>
      </c>
      <c r="H904" s="22">
        <v>2004</v>
      </c>
      <c r="I904" s="22" t="s">
        <v>112</v>
      </c>
      <c r="J904" s="20">
        <v>101</v>
      </c>
      <c r="K904" s="20">
        <f>Sales!$B904-Sales!$J904</f>
        <v>-1</v>
      </c>
      <c r="L904" s="23">
        <f>(Sales!$J904-Sales!$B904)/Sales!$J904</f>
        <v>9.9009900990099011E-3</v>
      </c>
      <c r="M904" s="23" t="str">
        <f t="shared" si="14"/>
        <v>0%-5%</v>
      </c>
      <c r="N904" s="22" t="s">
        <v>26</v>
      </c>
      <c r="O904" s="22" t="s">
        <v>27</v>
      </c>
      <c r="P904" s="22" t="s">
        <v>28</v>
      </c>
      <c r="Q904" s="22" t="s">
        <v>19</v>
      </c>
    </row>
    <row r="905" spans="1:17" x14ac:dyDescent="0.3">
      <c r="A905" s="27">
        <v>41</v>
      </c>
      <c r="B905" s="24">
        <v>87.13</v>
      </c>
      <c r="C905" s="25">
        <f>Sales!$B905*Sales!$A905</f>
        <v>3572.33</v>
      </c>
      <c r="D905" s="26">
        <v>38331</v>
      </c>
      <c r="E905" s="27" t="s">
        <v>9</v>
      </c>
      <c r="F905" s="27">
        <v>4</v>
      </c>
      <c r="G905" s="27">
        <v>12</v>
      </c>
      <c r="H905" s="27">
        <v>2004</v>
      </c>
      <c r="I905" s="27" t="s">
        <v>112</v>
      </c>
      <c r="J905" s="25">
        <v>101</v>
      </c>
      <c r="K905" s="25">
        <f>Sales!$B905-Sales!$J905</f>
        <v>-13.870000000000005</v>
      </c>
      <c r="L905" s="28">
        <f>(Sales!$J905-Sales!$B905)/Sales!$J905</f>
        <v>0.13732673267326737</v>
      </c>
      <c r="M905" s="28" t="str">
        <f t="shared" si="14"/>
        <v>10%-15%</v>
      </c>
      <c r="N905" s="27" t="s">
        <v>64</v>
      </c>
      <c r="O905" s="27" t="s">
        <v>12</v>
      </c>
      <c r="P905" s="27" t="s">
        <v>13</v>
      </c>
      <c r="Q905" s="27" t="s">
        <v>19</v>
      </c>
    </row>
    <row r="906" spans="1:17" x14ac:dyDescent="0.3">
      <c r="A906" s="22">
        <v>42</v>
      </c>
      <c r="B906" s="19">
        <v>100</v>
      </c>
      <c r="C906" s="20">
        <f>Sales!$B906*Sales!$A906</f>
        <v>4200</v>
      </c>
      <c r="D906" s="21">
        <v>38372</v>
      </c>
      <c r="E906" s="22" t="s">
        <v>9</v>
      </c>
      <c r="F906" s="22">
        <v>1</v>
      </c>
      <c r="G906" s="22">
        <v>1</v>
      </c>
      <c r="H906" s="22">
        <v>2005</v>
      </c>
      <c r="I906" s="22" t="s">
        <v>112</v>
      </c>
      <c r="J906" s="20">
        <v>101</v>
      </c>
      <c r="K906" s="20">
        <f>Sales!$B906-Sales!$J906</f>
        <v>-1</v>
      </c>
      <c r="L906" s="23">
        <f>(Sales!$J906-Sales!$B906)/Sales!$J906</f>
        <v>9.9009900990099011E-3</v>
      </c>
      <c r="M906" s="23" t="str">
        <f t="shared" si="14"/>
        <v>0%-5%</v>
      </c>
      <c r="N906" s="22" t="s">
        <v>66</v>
      </c>
      <c r="O906" s="22" t="s">
        <v>12</v>
      </c>
      <c r="P906" s="22" t="s">
        <v>13</v>
      </c>
      <c r="Q906" s="22" t="s">
        <v>19</v>
      </c>
    </row>
    <row r="907" spans="1:17" x14ac:dyDescent="0.3">
      <c r="A907" s="27">
        <v>41</v>
      </c>
      <c r="B907" s="24">
        <v>100</v>
      </c>
      <c r="C907" s="25">
        <f>Sales!$B907*Sales!$A907</f>
        <v>4100</v>
      </c>
      <c r="D907" s="26">
        <v>38400</v>
      </c>
      <c r="E907" s="27" t="s">
        <v>9</v>
      </c>
      <c r="F907" s="27">
        <v>1</v>
      </c>
      <c r="G907" s="27">
        <v>2</v>
      </c>
      <c r="H907" s="27">
        <v>2005</v>
      </c>
      <c r="I907" s="27" t="s">
        <v>112</v>
      </c>
      <c r="J907" s="25">
        <v>101</v>
      </c>
      <c r="K907" s="25">
        <f>Sales!$B907-Sales!$J907</f>
        <v>-1</v>
      </c>
      <c r="L907" s="28">
        <f>(Sales!$J907-Sales!$B907)/Sales!$J907</f>
        <v>9.9009900990099011E-3</v>
      </c>
      <c r="M907" s="28" t="str">
        <f t="shared" si="14"/>
        <v>0%-5%</v>
      </c>
      <c r="N907" s="27" t="s">
        <v>21</v>
      </c>
      <c r="O907" s="27" t="s">
        <v>12</v>
      </c>
      <c r="P907" s="27" t="s">
        <v>13</v>
      </c>
      <c r="Q907" s="27" t="s">
        <v>19</v>
      </c>
    </row>
    <row r="908" spans="1:17" x14ac:dyDescent="0.3">
      <c r="A908" s="22">
        <v>32</v>
      </c>
      <c r="B908" s="19">
        <v>45.25</v>
      </c>
      <c r="C908" s="20">
        <f>Sales!$B908*Sales!$A908</f>
        <v>1448</v>
      </c>
      <c r="D908" s="21">
        <v>38420</v>
      </c>
      <c r="E908" s="22" t="s">
        <v>9</v>
      </c>
      <c r="F908" s="22">
        <v>1</v>
      </c>
      <c r="G908" s="22">
        <v>3</v>
      </c>
      <c r="H908" s="22">
        <v>2005</v>
      </c>
      <c r="I908" s="22" t="s">
        <v>112</v>
      </c>
      <c r="J908" s="20">
        <v>101</v>
      </c>
      <c r="K908" s="20">
        <f>Sales!$B908-Sales!$J908</f>
        <v>-55.75</v>
      </c>
      <c r="L908" s="23">
        <f>(Sales!$J908-Sales!$B908)/Sales!$J908</f>
        <v>0.55198019801980203</v>
      </c>
      <c r="M908" s="23" t="str">
        <f t="shared" si="14"/>
        <v>+20%</v>
      </c>
      <c r="N908" s="22" t="s">
        <v>67</v>
      </c>
      <c r="O908" s="22" t="s">
        <v>27</v>
      </c>
      <c r="P908" s="22" t="s">
        <v>28</v>
      </c>
      <c r="Q908" s="22" t="s">
        <v>14</v>
      </c>
    </row>
    <row r="909" spans="1:17" x14ac:dyDescent="0.3">
      <c r="A909" s="27">
        <v>10</v>
      </c>
      <c r="B909" s="24">
        <v>88.14</v>
      </c>
      <c r="C909" s="25">
        <f>Sales!$B909*Sales!$A909</f>
        <v>881.4</v>
      </c>
      <c r="D909" s="26">
        <v>38502</v>
      </c>
      <c r="E909" s="27" t="s">
        <v>69</v>
      </c>
      <c r="F909" s="27">
        <v>2</v>
      </c>
      <c r="G909" s="27">
        <v>5</v>
      </c>
      <c r="H909" s="27">
        <v>2005</v>
      </c>
      <c r="I909" s="27" t="s">
        <v>112</v>
      </c>
      <c r="J909" s="25">
        <v>101</v>
      </c>
      <c r="K909" s="25">
        <f>Sales!$B909-Sales!$J909</f>
        <v>-12.86</v>
      </c>
      <c r="L909" s="28">
        <f>(Sales!$J909-Sales!$B909)/Sales!$J909</f>
        <v>0.12732673267326733</v>
      </c>
      <c r="M909" s="28" t="str">
        <f t="shared" si="14"/>
        <v>10%-15%</v>
      </c>
      <c r="N909" s="27" t="s">
        <v>80</v>
      </c>
      <c r="O909" s="27" t="s">
        <v>81</v>
      </c>
      <c r="P909" s="27" t="s">
        <v>17</v>
      </c>
      <c r="Q909" s="27" t="s">
        <v>14</v>
      </c>
    </row>
    <row r="910" spans="1:17" x14ac:dyDescent="0.3">
      <c r="A910" s="22">
        <v>35</v>
      </c>
      <c r="B910" s="19">
        <v>57.46</v>
      </c>
      <c r="C910" s="20">
        <f>Sales!$B910*Sales!$A910</f>
        <v>2011.1000000000001</v>
      </c>
      <c r="D910" s="21">
        <v>37650</v>
      </c>
      <c r="E910" s="22" t="s">
        <v>9</v>
      </c>
      <c r="F910" s="22">
        <v>1</v>
      </c>
      <c r="G910" s="22">
        <v>1</v>
      </c>
      <c r="H910" s="22">
        <v>2003</v>
      </c>
      <c r="I910" s="22" t="s">
        <v>112</v>
      </c>
      <c r="J910" s="20">
        <v>62</v>
      </c>
      <c r="K910" s="20">
        <f>Sales!$B910-Sales!$J910</f>
        <v>-4.5399999999999991</v>
      </c>
      <c r="L910" s="23">
        <f>(Sales!$J910-Sales!$B910)/Sales!$J910</f>
        <v>7.322580645161289E-2</v>
      </c>
      <c r="M910" s="23" t="str">
        <f t="shared" si="14"/>
        <v>5%-10%</v>
      </c>
      <c r="N910" s="22" t="s">
        <v>35</v>
      </c>
      <c r="O910" s="22" t="s">
        <v>25</v>
      </c>
      <c r="P910" s="22" t="s">
        <v>17</v>
      </c>
      <c r="Q910" s="22" t="s">
        <v>14</v>
      </c>
    </row>
    <row r="911" spans="1:17" x14ac:dyDescent="0.3">
      <c r="A911" s="27">
        <v>28</v>
      </c>
      <c r="B911" s="24">
        <v>64.33</v>
      </c>
      <c r="C911" s="25">
        <f>Sales!$B911*Sales!$A911</f>
        <v>1801.24</v>
      </c>
      <c r="D911" s="26">
        <v>37705</v>
      </c>
      <c r="E911" s="27" t="s">
        <v>9</v>
      </c>
      <c r="F911" s="27">
        <v>1</v>
      </c>
      <c r="G911" s="27">
        <v>3</v>
      </c>
      <c r="H911" s="27">
        <v>2003</v>
      </c>
      <c r="I911" s="27" t="s">
        <v>112</v>
      </c>
      <c r="J911" s="25">
        <v>62</v>
      </c>
      <c r="K911" s="25">
        <f>Sales!$B911-Sales!$J911</f>
        <v>2.3299999999999983</v>
      </c>
      <c r="L911" s="28">
        <f>(Sales!$J911-Sales!$B911)/Sales!$J911</f>
        <v>-3.7580645161290296E-2</v>
      </c>
      <c r="M911" s="28" t="str">
        <f t="shared" si="14"/>
        <v>Below 0%</v>
      </c>
      <c r="N911" s="27" t="s">
        <v>21</v>
      </c>
      <c r="O911" s="27" t="s">
        <v>12</v>
      </c>
      <c r="P911" s="27" t="s">
        <v>13</v>
      </c>
      <c r="Q911" s="27" t="s">
        <v>14</v>
      </c>
    </row>
    <row r="912" spans="1:17" x14ac:dyDescent="0.3">
      <c r="A912" s="22">
        <v>46</v>
      </c>
      <c r="B912" s="19">
        <v>73.7</v>
      </c>
      <c r="C912" s="20">
        <f>Sales!$B912*Sales!$A912</f>
        <v>3390.2000000000003</v>
      </c>
      <c r="D912" s="21">
        <v>37769</v>
      </c>
      <c r="E912" s="22" t="s">
        <v>9</v>
      </c>
      <c r="F912" s="22">
        <v>2</v>
      </c>
      <c r="G912" s="22">
        <v>5</v>
      </c>
      <c r="H912" s="22">
        <v>2003</v>
      </c>
      <c r="I912" s="22" t="s">
        <v>112</v>
      </c>
      <c r="J912" s="20">
        <v>62</v>
      </c>
      <c r="K912" s="20">
        <f>Sales!$B912-Sales!$J912</f>
        <v>11.700000000000003</v>
      </c>
      <c r="L912" s="23">
        <f>(Sales!$J912-Sales!$B912)/Sales!$J912</f>
        <v>-0.18870967741935488</v>
      </c>
      <c r="M912" s="23" t="str">
        <f t="shared" si="14"/>
        <v>Below 0%</v>
      </c>
      <c r="N912" s="22" t="s">
        <v>45</v>
      </c>
      <c r="O912" s="22" t="s">
        <v>46</v>
      </c>
      <c r="P912" s="22" t="s">
        <v>17</v>
      </c>
      <c r="Q912" s="22" t="s">
        <v>19</v>
      </c>
    </row>
    <row r="913" spans="1:17" x14ac:dyDescent="0.3">
      <c r="A913" s="27">
        <v>20</v>
      </c>
      <c r="B913" s="24">
        <v>71.2</v>
      </c>
      <c r="C913" s="25">
        <f>Sales!$B913*Sales!$A913</f>
        <v>1424</v>
      </c>
      <c r="D913" s="26">
        <v>37818</v>
      </c>
      <c r="E913" s="27" t="s">
        <v>9</v>
      </c>
      <c r="F913" s="27">
        <v>3</v>
      </c>
      <c r="G913" s="27">
        <v>7</v>
      </c>
      <c r="H913" s="27">
        <v>2003</v>
      </c>
      <c r="I913" s="27" t="s">
        <v>112</v>
      </c>
      <c r="J913" s="25">
        <v>62</v>
      </c>
      <c r="K913" s="25">
        <f>Sales!$B913-Sales!$J913</f>
        <v>9.2000000000000028</v>
      </c>
      <c r="L913" s="28">
        <f>(Sales!$J913-Sales!$B913)/Sales!$J913</f>
        <v>-0.14838709677419359</v>
      </c>
      <c r="M913" s="28" t="str">
        <f t="shared" si="14"/>
        <v>Below 0%</v>
      </c>
      <c r="N913" s="27" t="s">
        <v>40</v>
      </c>
      <c r="O913" s="27" t="s">
        <v>27</v>
      </c>
      <c r="P913" s="27" t="s">
        <v>28</v>
      </c>
      <c r="Q913" s="27" t="s">
        <v>14</v>
      </c>
    </row>
    <row r="914" spans="1:17" x14ac:dyDescent="0.3">
      <c r="A914" s="22">
        <v>30</v>
      </c>
      <c r="B914" s="19">
        <v>49.97</v>
      </c>
      <c r="C914" s="20">
        <f>Sales!$B914*Sales!$A914</f>
        <v>1499.1</v>
      </c>
      <c r="D914" s="21">
        <v>37883</v>
      </c>
      <c r="E914" s="22" t="s">
        <v>9</v>
      </c>
      <c r="F914" s="22">
        <v>3</v>
      </c>
      <c r="G914" s="22">
        <v>9</v>
      </c>
      <c r="H914" s="22">
        <v>2003</v>
      </c>
      <c r="I914" s="22" t="s">
        <v>112</v>
      </c>
      <c r="J914" s="20">
        <v>62</v>
      </c>
      <c r="K914" s="20">
        <f>Sales!$B914-Sales!$J914</f>
        <v>-12.030000000000001</v>
      </c>
      <c r="L914" s="23">
        <f>(Sales!$J914-Sales!$B914)/Sales!$J914</f>
        <v>0.19403225806451616</v>
      </c>
      <c r="M914" s="23" t="str">
        <f t="shared" si="14"/>
        <v>15%-20%</v>
      </c>
      <c r="N914" s="22" t="s">
        <v>50</v>
      </c>
      <c r="O914" s="22" t="s">
        <v>50</v>
      </c>
      <c r="P914" s="22" t="s">
        <v>28</v>
      </c>
      <c r="Q914" s="22" t="s">
        <v>14</v>
      </c>
    </row>
    <row r="915" spans="1:17" x14ac:dyDescent="0.3">
      <c r="A915" s="27">
        <v>48</v>
      </c>
      <c r="B915" s="24">
        <v>69.959999999999994</v>
      </c>
      <c r="C915" s="25">
        <f>Sales!$B915*Sales!$A915</f>
        <v>3358.08</v>
      </c>
      <c r="D915" s="26">
        <v>37914</v>
      </c>
      <c r="E915" s="27" t="s">
        <v>9</v>
      </c>
      <c r="F915" s="27">
        <v>4</v>
      </c>
      <c r="G915" s="27">
        <v>10</v>
      </c>
      <c r="H915" s="27">
        <v>2003</v>
      </c>
      <c r="I915" s="27" t="s">
        <v>112</v>
      </c>
      <c r="J915" s="25">
        <v>62</v>
      </c>
      <c r="K915" s="25">
        <f>Sales!$B915-Sales!$J915</f>
        <v>7.9599999999999937</v>
      </c>
      <c r="L915" s="28">
        <f>(Sales!$J915-Sales!$B915)/Sales!$J915</f>
        <v>-0.12838709677419344</v>
      </c>
      <c r="M915" s="28" t="str">
        <f t="shared" si="14"/>
        <v>Below 0%</v>
      </c>
      <c r="N915" s="27" t="s">
        <v>11</v>
      </c>
      <c r="O915" s="27" t="s">
        <v>12</v>
      </c>
      <c r="P915" s="27" t="s">
        <v>13</v>
      </c>
      <c r="Q915" s="27" t="s">
        <v>19</v>
      </c>
    </row>
    <row r="916" spans="1:17" x14ac:dyDescent="0.3">
      <c r="A916" s="22">
        <v>28</v>
      </c>
      <c r="B916" s="19">
        <v>53.72</v>
      </c>
      <c r="C916" s="20">
        <f>Sales!$B916*Sales!$A916</f>
        <v>1504.1599999999999</v>
      </c>
      <c r="D916" s="21">
        <v>37930</v>
      </c>
      <c r="E916" s="22" t="s">
        <v>9</v>
      </c>
      <c r="F916" s="22">
        <v>4</v>
      </c>
      <c r="G916" s="22">
        <v>11</v>
      </c>
      <c r="H916" s="22">
        <v>2003</v>
      </c>
      <c r="I916" s="22" t="s">
        <v>112</v>
      </c>
      <c r="J916" s="20">
        <v>62</v>
      </c>
      <c r="K916" s="20">
        <f>Sales!$B916-Sales!$J916</f>
        <v>-8.2800000000000011</v>
      </c>
      <c r="L916" s="23">
        <f>(Sales!$J916-Sales!$B916)/Sales!$J916</f>
        <v>0.13354838709677422</v>
      </c>
      <c r="M916" s="23" t="str">
        <f t="shared" si="14"/>
        <v>10%-15%</v>
      </c>
      <c r="N916" s="22" t="s">
        <v>113</v>
      </c>
      <c r="O916" s="22" t="s">
        <v>61</v>
      </c>
      <c r="P916" s="22" t="s">
        <v>17</v>
      </c>
      <c r="Q916" s="22" t="s">
        <v>14</v>
      </c>
    </row>
    <row r="917" spans="1:17" x14ac:dyDescent="0.3">
      <c r="A917" s="27">
        <v>39</v>
      </c>
      <c r="B917" s="24">
        <v>68.08</v>
      </c>
      <c r="C917" s="25">
        <f>Sales!$B917*Sales!$A917</f>
        <v>2655.12</v>
      </c>
      <c r="D917" s="26">
        <v>37938</v>
      </c>
      <c r="E917" s="27" t="s">
        <v>9</v>
      </c>
      <c r="F917" s="27">
        <v>4</v>
      </c>
      <c r="G917" s="27">
        <v>11</v>
      </c>
      <c r="H917" s="27">
        <v>2003</v>
      </c>
      <c r="I917" s="27" t="s">
        <v>112</v>
      </c>
      <c r="J917" s="25">
        <v>62</v>
      </c>
      <c r="K917" s="25">
        <f>Sales!$B917-Sales!$J917</f>
        <v>6.0799999999999983</v>
      </c>
      <c r="L917" s="28">
        <f>(Sales!$J917-Sales!$B917)/Sales!$J917</f>
        <v>-9.8064516129032234E-2</v>
      </c>
      <c r="M917" s="28" t="str">
        <f t="shared" si="14"/>
        <v>Below 0%</v>
      </c>
      <c r="N917" s="27" t="s">
        <v>53</v>
      </c>
      <c r="O917" s="27" t="s">
        <v>12</v>
      </c>
      <c r="P917" s="27" t="s">
        <v>13</v>
      </c>
      <c r="Q917" s="27" t="s">
        <v>14</v>
      </c>
    </row>
    <row r="918" spans="1:17" x14ac:dyDescent="0.3">
      <c r="A918" s="22">
        <v>24</v>
      </c>
      <c r="B918" s="19">
        <v>51.84</v>
      </c>
      <c r="C918" s="20">
        <f>Sales!$B918*Sales!$A918</f>
        <v>1244.1600000000001</v>
      </c>
      <c r="D918" s="21">
        <v>37946</v>
      </c>
      <c r="E918" s="22" t="s">
        <v>9</v>
      </c>
      <c r="F918" s="22">
        <v>4</v>
      </c>
      <c r="G918" s="22">
        <v>11</v>
      </c>
      <c r="H918" s="22">
        <v>2003</v>
      </c>
      <c r="I918" s="22" t="s">
        <v>112</v>
      </c>
      <c r="J918" s="20">
        <v>62</v>
      </c>
      <c r="K918" s="20">
        <f>Sales!$B918-Sales!$J918</f>
        <v>-10.159999999999997</v>
      </c>
      <c r="L918" s="23">
        <f>(Sales!$J918-Sales!$B918)/Sales!$J918</f>
        <v>0.16387096774193544</v>
      </c>
      <c r="M918" s="23" t="str">
        <f t="shared" si="14"/>
        <v>15%-20%</v>
      </c>
      <c r="N918" s="22" t="s">
        <v>114</v>
      </c>
      <c r="O918" s="22" t="s">
        <v>27</v>
      </c>
      <c r="P918" s="22" t="s">
        <v>28</v>
      </c>
      <c r="Q918" s="22" t="s">
        <v>14</v>
      </c>
    </row>
    <row r="919" spans="1:17" x14ac:dyDescent="0.3">
      <c r="A919" s="27">
        <v>28</v>
      </c>
      <c r="B919" s="24">
        <v>67.459999999999994</v>
      </c>
      <c r="C919" s="25">
        <f>Sales!$B919*Sales!$A919</f>
        <v>1888.8799999999999</v>
      </c>
      <c r="D919" s="26">
        <v>37960</v>
      </c>
      <c r="E919" s="27" t="s">
        <v>9</v>
      </c>
      <c r="F919" s="27">
        <v>4</v>
      </c>
      <c r="G919" s="27">
        <v>12</v>
      </c>
      <c r="H919" s="27">
        <v>2003</v>
      </c>
      <c r="I919" s="27" t="s">
        <v>112</v>
      </c>
      <c r="J919" s="25">
        <v>62</v>
      </c>
      <c r="K919" s="25">
        <f>Sales!$B919-Sales!$J919</f>
        <v>5.4599999999999937</v>
      </c>
      <c r="L919" s="28">
        <f>(Sales!$J919-Sales!$B919)/Sales!$J919</f>
        <v>-8.8064516129032155E-2</v>
      </c>
      <c r="M919" s="28" t="str">
        <f t="shared" si="14"/>
        <v>Below 0%</v>
      </c>
      <c r="N919" s="27" t="s">
        <v>55</v>
      </c>
      <c r="O919" s="27" t="s">
        <v>56</v>
      </c>
      <c r="P919" s="27" t="s">
        <v>13</v>
      </c>
      <c r="Q919" s="27" t="s">
        <v>14</v>
      </c>
    </row>
    <row r="920" spans="1:17" x14ac:dyDescent="0.3">
      <c r="A920" s="22">
        <v>31</v>
      </c>
      <c r="B920" s="19">
        <v>58.71</v>
      </c>
      <c r="C920" s="20">
        <f>Sales!$B920*Sales!$A920</f>
        <v>1820.01</v>
      </c>
      <c r="D920" s="21">
        <v>38015</v>
      </c>
      <c r="E920" s="22" t="s">
        <v>9</v>
      </c>
      <c r="F920" s="22">
        <v>1</v>
      </c>
      <c r="G920" s="22">
        <v>1</v>
      </c>
      <c r="H920" s="22">
        <v>2004</v>
      </c>
      <c r="I920" s="22" t="s">
        <v>112</v>
      </c>
      <c r="J920" s="20">
        <v>62</v>
      </c>
      <c r="K920" s="20">
        <f>Sales!$B920-Sales!$J920</f>
        <v>-3.2899999999999991</v>
      </c>
      <c r="L920" s="23">
        <f>(Sales!$J920-Sales!$B920)/Sales!$J920</f>
        <v>5.3064516129032242E-2</v>
      </c>
      <c r="M920" s="23" t="s">
        <v>131</v>
      </c>
      <c r="N920" s="22" t="s">
        <v>57</v>
      </c>
      <c r="O920" s="22" t="s">
        <v>12</v>
      </c>
      <c r="P920" s="22" t="s">
        <v>13</v>
      </c>
      <c r="Q920" s="22" t="s">
        <v>14</v>
      </c>
    </row>
    <row r="921" spans="1:17" x14ac:dyDescent="0.3">
      <c r="A921" s="27">
        <v>45</v>
      </c>
      <c r="B921" s="24">
        <v>63.71</v>
      </c>
      <c r="C921" s="25">
        <f>Sales!$B921*Sales!$A921</f>
        <v>2866.95</v>
      </c>
      <c r="D921" s="26">
        <v>38056</v>
      </c>
      <c r="E921" s="27" t="s">
        <v>9</v>
      </c>
      <c r="F921" s="27">
        <v>1</v>
      </c>
      <c r="G921" s="27">
        <v>3</v>
      </c>
      <c r="H921" s="27">
        <v>2004</v>
      </c>
      <c r="I921" s="27" t="s">
        <v>112</v>
      </c>
      <c r="J921" s="25">
        <v>62</v>
      </c>
      <c r="K921" s="25">
        <f>Sales!$B921-Sales!$J921</f>
        <v>1.7100000000000009</v>
      </c>
      <c r="L921" s="28">
        <f>(Sales!$J921-Sales!$B921)/Sales!$J921</f>
        <v>-2.7580645161290336E-2</v>
      </c>
      <c r="M921" s="28" t="str">
        <f t="shared" si="14"/>
        <v>Below 0%</v>
      </c>
      <c r="N921" s="27" t="s">
        <v>32</v>
      </c>
      <c r="O921" s="27" t="s">
        <v>12</v>
      </c>
      <c r="P921" s="27" t="s">
        <v>13</v>
      </c>
      <c r="Q921" s="27" t="s">
        <v>14</v>
      </c>
    </row>
    <row r="922" spans="1:17" x14ac:dyDescent="0.3">
      <c r="A922" s="22">
        <v>24</v>
      </c>
      <c r="B922" s="19">
        <v>58.09</v>
      </c>
      <c r="C922" s="20">
        <f>Sales!$B922*Sales!$A922</f>
        <v>1394.16</v>
      </c>
      <c r="D922" s="21">
        <v>38106</v>
      </c>
      <c r="E922" s="22" t="s">
        <v>9</v>
      </c>
      <c r="F922" s="22">
        <v>2</v>
      </c>
      <c r="G922" s="22">
        <v>4</v>
      </c>
      <c r="H922" s="22">
        <v>2004</v>
      </c>
      <c r="I922" s="22" t="s">
        <v>112</v>
      </c>
      <c r="J922" s="20">
        <v>62</v>
      </c>
      <c r="K922" s="20">
        <f>Sales!$B922-Sales!$J922</f>
        <v>-3.9099999999999966</v>
      </c>
      <c r="L922" s="23">
        <f>(Sales!$J922-Sales!$B922)/Sales!$J922</f>
        <v>6.3064516129032203E-2</v>
      </c>
      <c r="M922" s="23" t="str">
        <f t="shared" si="14"/>
        <v>5%-10%</v>
      </c>
      <c r="N922" s="22" t="s">
        <v>45</v>
      </c>
      <c r="O922" s="22" t="s">
        <v>46</v>
      </c>
      <c r="P922" s="22" t="s">
        <v>17</v>
      </c>
      <c r="Q922" s="22" t="s">
        <v>14</v>
      </c>
    </row>
    <row r="923" spans="1:17" x14ac:dyDescent="0.3">
      <c r="A923" s="27">
        <v>49</v>
      </c>
      <c r="B923" s="24">
        <v>53.72</v>
      </c>
      <c r="C923" s="25">
        <f>Sales!$B923*Sales!$A923</f>
        <v>2632.2799999999997</v>
      </c>
      <c r="D923" s="26">
        <v>38152</v>
      </c>
      <c r="E923" s="27" t="s">
        <v>9</v>
      </c>
      <c r="F923" s="27">
        <v>2</v>
      </c>
      <c r="G923" s="27">
        <v>6</v>
      </c>
      <c r="H923" s="27">
        <v>2004</v>
      </c>
      <c r="I923" s="27" t="s">
        <v>112</v>
      </c>
      <c r="J923" s="25">
        <v>62</v>
      </c>
      <c r="K923" s="25">
        <f>Sales!$B923-Sales!$J923</f>
        <v>-8.2800000000000011</v>
      </c>
      <c r="L923" s="28">
        <f>(Sales!$J923-Sales!$B923)/Sales!$J923</f>
        <v>0.13354838709677422</v>
      </c>
      <c r="M923" s="28" t="str">
        <f t="shared" si="14"/>
        <v>10%-15%</v>
      </c>
      <c r="N923" s="27" t="s">
        <v>86</v>
      </c>
      <c r="O923" s="27" t="s">
        <v>12</v>
      </c>
      <c r="P923" s="27" t="s">
        <v>13</v>
      </c>
      <c r="Q923" s="27" t="s">
        <v>14</v>
      </c>
    </row>
    <row r="924" spans="1:17" x14ac:dyDescent="0.3">
      <c r="A924" s="22">
        <v>32</v>
      </c>
      <c r="B924" s="19">
        <v>63.08</v>
      </c>
      <c r="C924" s="20">
        <f>Sales!$B924*Sales!$A924</f>
        <v>2018.56</v>
      </c>
      <c r="D924" s="21">
        <v>38184</v>
      </c>
      <c r="E924" s="22" t="s">
        <v>9</v>
      </c>
      <c r="F924" s="22">
        <v>3</v>
      </c>
      <c r="G924" s="22">
        <v>7</v>
      </c>
      <c r="H924" s="22">
        <v>2004</v>
      </c>
      <c r="I924" s="22" t="s">
        <v>112</v>
      </c>
      <c r="J924" s="20">
        <v>62</v>
      </c>
      <c r="K924" s="20">
        <f>Sales!$B924-Sales!$J924</f>
        <v>1.0799999999999983</v>
      </c>
      <c r="L924" s="23">
        <f>(Sales!$J924-Sales!$B924)/Sales!$J924</f>
        <v>-1.7419354838709648E-2</v>
      </c>
      <c r="M924" s="23" t="str">
        <f t="shared" si="14"/>
        <v>Below 0%</v>
      </c>
      <c r="N924" s="22" t="s">
        <v>37</v>
      </c>
      <c r="O924" s="22" t="s">
        <v>38</v>
      </c>
      <c r="P924" s="22" t="s">
        <v>17</v>
      </c>
      <c r="Q924" s="22" t="s">
        <v>14</v>
      </c>
    </row>
    <row r="925" spans="1:17" x14ac:dyDescent="0.3">
      <c r="A925" s="27">
        <v>43</v>
      </c>
      <c r="B925" s="24">
        <v>68.709999999999994</v>
      </c>
      <c r="C925" s="25">
        <f>Sales!$B925*Sales!$A925</f>
        <v>2954.5299999999997</v>
      </c>
      <c r="D925" s="26">
        <v>38216</v>
      </c>
      <c r="E925" s="27" t="s">
        <v>9</v>
      </c>
      <c r="F925" s="27">
        <v>3</v>
      </c>
      <c r="G925" s="27">
        <v>8</v>
      </c>
      <c r="H925" s="27">
        <v>2004</v>
      </c>
      <c r="I925" s="27" t="s">
        <v>112</v>
      </c>
      <c r="J925" s="25">
        <v>62</v>
      </c>
      <c r="K925" s="25">
        <f>Sales!$B925-Sales!$J925</f>
        <v>6.7099999999999937</v>
      </c>
      <c r="L925" s="28">
        <f>(Sales!$J925-Sales!$B925)/Sales!$J925</f>
        <v>-0.1082258064516128</v>
      </c>
      <c r="M925" s="28" t="str">
        <f t="shared" si="14"/>
        <v>Below 0%</v>
      </c>
      <c r="N925" s="27" t="s">
        <v>60</v>
      </c>
      <c r="O925" s="27" t="s">
        <v>61</v>
      </c>
      <c r="P925" s="27" t="s">
        <v>17</v>
      </c>
      <c r="Q925" s="27" t="s">
        <v>14</v>
      </c>
    </row>
    <row r="926" spans="1:17" x14ac:dyDescent="0.3">
      <c r="A926" s="22">
        <v>37</v>
      </c>
      <c r="B926" s="19">
        <v>50.59</v>
      </c>
      <c r="C926" s="20">
        <f>Sales!$B926*Sales!$A926</f>
        <v>1871.8300000000002</v>
      </c>
      <c r="D926" s="21">
        <v>38238</v>
      </c>
      <c r="E926" s="22" t="s">
        <v>9</v>
      </c>
      <c r="F926" s="22">
        <v>3</v>
      </c>
      <c r="G926" s="22">
        <v>9</v>
      </c>
      <c r="H926" s="22">
        <v>2004</v>
      </c>
      <c r="I926" s="22" t="s">
        <v>112</v>
      </c>
      <c r="J926" s="20">
        <v>62</v>
      </c>
      <c r="K926" s="20">
        <f>Sales!$B926-Sales!$J926</f>
        <v>-11.409999999999997</v>
      </c>
      <c r="L926" s="23">
        <f>(Sales!$J926-Sales!$B926)/Sales!$J926</f>
        <v>0.18403225806451606</v>
      </c>
      <c r="M926" s="23" t="str">
        <f t="shared" si="14"/>
        <v>15%-20%</v>
      </c>
      <c r="N926" s="22" t="s">
        <v>62</v>
      </c>
      <c r="O926" s="22" t="s">
        <v>49</v>
      </c>
      <c r="P926" s="22" t="s">
        <v>17</v>
      </c>
      <c r="Q926" s="22" t="s">
        <v>14</v>
      </c>
    </row>
    <row r="927" spans="1:17" x14ac:dyDescent="0.3">
      <c r="A927" s="27">
        <v>24</v>
      </c>
      <c r="B927" s="24">
        <v>64.959999999999994</v>
      </c>
      <c r="C927" s="25">
        <f>Sales!$B927*Sales!$A927</f>
        <v>1559.04</v>
      </c>
      <c r="D927" s="26">
        <v>38271</v>
      </c>
      <c r="E927" s="27" t="s">
        <v>9</v>
      </c>
      <c r="F927" s="27">
        <v>4</v>
      </c>
      <c r="G927" s="27">
        <v>10</v>
      </c>
      <c r="H927" s="27">
        <v>2004</v>
      </c>
      <c r="I927" s="27" t="s">
        <v>112</v>
      </c>
      <c r="J927" s="25">
        <v>62</v>
      </c>
      <c r="K927" s="25">
        <f>Sales!$B927-Sales!$J927</f>
        <v>2.9599999999999937</v>
      </c>
      <c r="L927" s="28">
        <f>(Sales!$J927-Sales!$B927)/Sales!$J927</f>
        <v>-4.7741935483870866E-2</v>
      </c>
      <c r="M927" s="28" t="str">
        <f t="shared" si="14"/>
        <v>Below 0%</v>
      </c>
      <c r="N927" s="27" t="s">
        <v>63</v>
      </c>
      <c r="O927" s="27" t="s">
        <v>16</v>
      </c>
      <c r="P927" s="27" t="s">
        <v>17</v>
      </c>
      <c r="Q927" s="27" t="s">
        <v>14</v>
      </c>
    </row>
    <row r="928" spans="1:17" x14ac:dyDescent="0.3">
      <c r="A928" s="22">
        <v>35</v>
      </c>
      <c r="B928" s="19">
        <v>53.72</v>
      </c>
      <c r="C928" s="20">
        <f>Sales!$B928*Sales!$A928</f>
        <v>1880.2</v>
      </c>
      <c r="D928" s="21">
        <v>38281</v>
      </c>
      <c r="E928" s="22" t="s">
        <v>9</v>
      </c>
      <c r="F928" s="22">
        <v>4</v>
      </c>
      <c r="G928" s="22">
        <v>10</v>
      </c>
      <c r="H928" s="22">
        <v>2004</v>
      </c>
      <c r="I928" s="22" t="s">
        <v>112</v>
      </c>
      <c r="J928" s="20">
        <v>62</v>
      </c>
      <c r="K928" s="20">
        <f>Sales!$B928-Sales!$J928</f>
        <v>-8.2800000000000011</v>
      </c>
      <c r="L928" s="23">
        <f>(Sales!$J928-Sales!$B928)/Sales!$J928</f>
        <v>0.13354838709677422</v>
      </c>
      <c r="M928" s="23" t="str">
        <f t="shared" si="14"/>
        <v>10%-15%</v>
      </c>
      <c r="N928" s="22" t="s">
        <v>64</v>
      </c>
      <c r="O928" s="22" t="s">
        <v>12</v>
      </c>
      <c r="P928" s="22" t="s">
        <v>13</v>
      </c>
      <c r="Q928" s="22" t="s">
        <v>14</v>
      </c>
    </row>
    <row r="929" spans="1:17" x14ac:dyDescent="0.3">
      <c r="A929" s="27">
        <v>41</v>
      </c>
      <c r="B929" s="24">
        <v>29.87</v>
      </c>
      <c r="C929" s="25">
        <f>Sales!$B929*Sales!$A929</f>
        <v>1224.67</v>
      </c>
      <c r="D929" s="26">
        <v>38295</v>
      </c>
      <c r="E929" s="27" t="s">
        <v>9</v>
      </c>
      <c r="F929" s="27">
        <v>4</v>
      </c>
      <c r="G929" s="27">
        <v>11</v>
      </c>
      <c r="H929" s="27">
        <v>2004</v>
      </c>
      <c r="I929" s="27" t="s">
        <v>112</v>
      </c>
      <c r="J929" s="25">
        <v>62</v>
      </c>
      <c r="K929" s="25">
        <f>Sales!$B929-Sales!$J929</f>
        <v>-32.129999999999995</v>
      </c>
      <c r="L929" s="28">
        <f>(Sales!$J929-Sales!$B929)/Sales!$J929</f>
        <v>0.51822580645161287</v>
      </c>
      <c r="M929" s="28" t="str">
        <f t="shared" si="14"/>
        <v>+20%</v>
      </c>
      <c r="N929" s="27" t="s">
        <v>65</v>
      </c>
      <c r="O929" s="27" t="s">
        <v>12</v>
      </c>
      <c r="P929" s="27" t="s">
        <v>13</v>
      </c>
      <c r="Q929" s="27" t="s">
        <v>14</v>
      </c>
    </row>
    <row r="930" spans="1:17" x14ac:dyDescent="0.3">
      <c r="A930" s="22">
        <v>26</v>
      </c>
      <c r="B930" s="19">
        <v>100</v>
      </c>
      <c r="C930" s="20">
        <f>Sales!$B930*Sales!$A930</f>
        <v>2600</v>
      </c>
      <c r="D930" s="21">
        <v>38308</v>
      </c>
      <c r="E930" s="22" t="s">
        <v>9</v>
      </c>
      <c r="F930" s="22">
        <v>4</v>
      </c>
      <c r="G930" s="22">
        <v>11</v>
      </c>
      <c r="H930" s="22">
        <v>2004</v>
      </c>
      <c r="I930" s="22" t="s">
        <v>112</v>
      </c>
      <c r="J930" s="20">
        <v>62</v>
      </c>
      <c r="K930" s="20">
        <f>Sales!$B930-Sales!$J930</f>
        <v>38</v>
      </c>
      <c r="L930" s="23">
        <f>(Sales!$J930-Sales!$B930)/Sales!$J930</f>
        <v>-0.61290322580645162</v>
      </c>
      <c r="M930" s="23" t="str">
        <f t="shared" si="14"/>
        <v>Below 0%</v>
      </c>
      <c r="N930" s="22" t="s">
        <v>102</v>
      </c>
      <c r="O930" s="22" t="s">
        <v>43</v>
      </c>
      <c r="P930" s="22" t="s">
        <v>17</v>
      </c>
      <c r="Q930" s="22" t="s">
        <v>14</v>
      </c>
    </row>
    <row r="931" spans="1:17" x14ac:dyDescent="0.3">
      <c r="A931" s="27">
        <v>34</v>
      </c>
      <c r="B931" s="24">
        <v>64.959999999999994</v>
      </c>
      <c r="C931" s="25">
        <f>Sales!$B931*Sales!$A931</f>
        <v>2208.64</v>
      </c>
      <c r="D931" s="26">
        <v>38320</v>
      </c>
      <c r="E931" s="27" t="s">
        <v>9</v>
      </c>
      <c r="F931" s="27">
        <v>4</v>
      </c>
      <c r="G931" s="27">
        <v>11</v>
      </c>
      <c r="H931" s="27">
        <v>2004</v>
      </c>
      <c r="I931" s="27" t="s">
        <v>112</v>
      </c>
      <c r="J931" s="25">
        <v>62</v>
      </c>
      <c r="K931" s="25">
        <f>Sales!$B931-Sales!$J931</f>
        <v>2.9599999999999937</v>
      </c>
      <c r="L931" s="28">
        <f>(Sales!$J931-Sales!$B931)/Sales!$J931</f>
        <v>-4.7741935483870866E-2</v>
      </c>
      <c r="M931" s="28" t="str">
        <f t="shared" si="14"/>
        <v>Below 0%</v>
      </c>
      <c r="N931" s="27" t="s">
        <v>26</v>
      </c>
      <c r="O931" s="27" t="s">
        <v>27</v>
      </c>
      <c r="P931" s="27" t="s">
        <v>28</v>
      </c>
      <c r="Q931" s="27" t="s">
        <v>14</v>
      </c>
    </row>
    <row r="932" spans="1:17" x14ac:dyDescent="0.3">
      <c r="A932" s="22">
        <v>49</v>
      </c>
      <c r="B932" s="19">
        <v>70.58</v>
      </c>
      <c r="C932" s="20">
        <f>Sales!$B932*Sales!$A932</f>
        <v>3458.42</v>
      </c>
      <c r="D932" s="21">
        <v>38331</v>
      </c>
      <c r="E932" s="22" t="s">
        <v>9</v>
      </c>
      <c r="F932" s="22">
        <v>4</v>
      </c>
      <c r="G932" s="22">
        <v>12</v>
      </c>
      <c r="H932" s="22">
        <v>2004</v>
      </c>
      <c r="I932" s="22" t="s">
        <v>112</v>
      </c>
      <c r="J932" s="20">
        <v>62</v>
      </c>
      <c r="K932" s="20">
        <f>Sales!$B932-Sales!$J932</f>
        <v>8.5799999999999983</v>
      </c>
      <c r="L932" s="23">
        <f>(Sales!$J932-Sales!$B932)/Sales!$J932</f>
        <v>-0.13838709677419353</v>
      </c>
      <c r="M932" s="23" t="str">
        <f t="shared" si="14"/>
        <v>Below 0%</v>
      </c>
      <c r="N932" s="22" t="s">
        <v>64</v>
      </c>
      <c r="O932" s="22" t="s">
        <v>12</v>
      </c>
      <c r="P932" s="22" t="s">
        <v>13</v>
      </c>
      <c r="Q932" s="22" t="s">
        <v>19</v>
      </c>
    </row>
    <row r="933" spans="1:17" x14ac:dyDescent="0.3">
      <c r="A933" s="27">
        <v>28</v>
      </c>
      <c r="B933" s="24">
        <v>44.21</v>
      </c>
      <c r="C933" s="25">
        <f>Sales!$B933*Sales!$A933</f>
        <v>1237.8800000000001</v>
      </c>
      <c r="D933" s="26">
        <v>38372</v>
      </c>
      <c r="E933" s="27" t="s">
        <v>9</v>
      </c>
      <c r="F933" s="27">
        <v>1</v>
      </c>
      <c r="G933" s="27">
        <v>1</v>
      </c>
      <c r="H933" s="27">
        <v>2005</v>
      </c>
      <c r="I933" s="27" t="s">
        <v>112</v>
      </c>
      <c r="J933" s="25">
        <v>62</v>
      </c>
      <c r="K933" s="25">
        <f>Sales!$B933-Sales!$J933</f>
        <v>-17.79</v>
      </c>
      <c r="L933" s="28">
        <f>(Sales!$J933-Sales!$B933)/Sales!$J933</f>
        <v>0.28693548387096773</v>
      </c>
      <c r="M933" s="28" t="str">
        <f t="shared" si="14"/>
        <v>+20%</v>
      </c>
      <c r="N933" s="27" t="s">
        <v>66</v>
      </c>
      <c r="O933" s="27" t="s">
        <v>12</v>
      </c>
      <c r="P933" s="27" t="s">
        <v>13</v>
      </c>
      <c r="Q933" s="27" t="s">
        <v>14</v>
      </c>
    </row>
    <row r="934" spans="1:17" x14ac:dyDescent="0.3">
      <c r="A934" s="22">
        <v>40</v>
      </c>
      <c r="B934" s="19">
        <v>68.08</v>
      </c>
      <c r="C934" s="20">
        <f>Sales!$B934*Sales!$A934</f>
        <v>2723.2</v>
      </c>
      <c r="D934" s="21">
        <v>38400</v>
      </c>
      <c r="E934" s="22" t="s">
        <v>9</v>
      </c>
      <c r="F934" s="22">
        <v>1</v>
      </c>
      <c r="G934" s="22">
        <v>2</v>
      </c>
      <c r="H934" s="22">
        <v>2005</v>
      </c>
      <c r="I934" s="22" t="s">
        <v>112</v>
      </c>
      <c r="J934" s="20">
        <v>62</v>
      </c>
      <c r="K934" s="20">
        <f>Sales!$B934-Sales!$J934</f>
        <v>6.0799999999999983</v>
      </c>
      <c r="L934" s="23">
        <f>(Sales!$J934-Sales!$B934)/Sales!$J934</f>
        <v>-9.8064516129032234E-2</v>
      </c>
      <c r="M934" s="23" t="str">
        <f t="shared" si="14"/>
        <v>Below 0%</v>
      </c>
      <c r="N934" s="22" t="s">
        <v>21</v>
      </c>
      <c r="O934" s="22" t="s">
        <v>12</v>
      </c>
      <c r="P934" s="22" t="s">
        <v>13</v>
      </c>
      <c r="Q934" s="22" t="s">
        <v>14</v>
      </c>
    </row>
    <row r="935" spans="1:17" x14ac:dyDescent="0.3">
      <c r="A935" s="27">
        <v>37</v>
      </c>
      <c r="B935" s="24">
        <v>59.96</v>
      </c>
      <c r="C935" s="25">
        <f>Sales!$B935*Sales!$A935</f>
        <v>2218.52</v>
      </c>
      <c r="D935" s="26">
        <v>38421</v>
      </c>
      <c r="E935" s="27" t="s">
        <v>9</v>
      </c>
      <c r="F935" s="27">
        <v>1</v>
      </c>
      <c r="G935" s="27">
        <v>3</v>
      </c>
      <c r="H935" s="27">
        <v>2005</v>
      </c>
      <c r="I935" s="27" t="s">
        <v>112</v>
      </c>
      <c r="J935" s="25">
        <v>62</v>
      </c>
      <c r="K935" s="25">
        <f>Sales!$B935-Sales!$J935</f>
        <v>-2.0399999999999991</v>
      </c>
      <c r="L935" s="28">
        <f>(Sales!$J935-Sales!$B935)/Sales!$J935</f>
        <v>3.2903225806451601E-2</v>
      </c>
      <c r="M935" s="28" t="str">
        <f t="shared" si="14"/>
        <v>0%-5%</v>
      </c>
      <c r="N935" s="27" t="s">
        <v>89</v>
      </c>
      <c r="O935" s="27" t="s">
        <v>38</v>
      </c>
      <c r="P935" s="27" t="s">
        <v>17</v>
      </c>
      <c r="Q935" s="27" t="s">
        <v>14</v>
      </c>
    </row>
    <row r="936" spans="1:17" x14ac:dyDescent="0.3">
      <c r="A936" s="22">
        <v>31</v>
      </c>
      <c r="B936" s="19">
        <v>53.72</v>
      </c>
      <c r="C936" s="20">
        <f>Sales!$B936*Sales!$A936</f>
        <v>1665.32</v>
      </c>
      <c r="D936" s="21">
        <v>38502</v>
      </c>
      <c r="E936" s="22" t="s">
        <v>69</v>
      </c>
      <c r="F936" s="22">
        <v>2</v>
      </c>
      <c r="G936" s="22">
        <v>5</v>
      </c>
      <c r="H936" s="22">
        <v>2005</v>
      </c>
      <c r="I936" s="22" t="s">
        <v>112</v>
      </c>
      <c r="J936" s="20">
        <v>62</v>
      </c>
      <c r="K936" s="20">
        <f>Sales!$B936-Sales!$J936</f>
        <v>-8.2800000000000011</v>
      </c>
      <c r="L936" s="23">
        <f>(Sales!$J936-Sales!$B936)/Sales!$J936</f>
        <v>0.13354838709677422</v>
      </c>
      <c r="M936" s="23" t="str">
        <f t="shared" si="14"/>
        <v>10%-15%</v>
      </c>
      <c r="N936" s="22" t="s">
        <v>80</v>
      </c>
      <c r="O936" s="22" t="s">
        <v>81</v>
      </c>
      <c r="P936" s="22" t="s">
        <v>17</v>
      </c>
      <c r="Q936" s="22" t="s">
        <v>14</v>
      </c>
    </row>
    <row r="937" spans="1:17" x14ac:dyDescent="0.3">
      <c r="A937" s="27">
        <v>41</v>
      </c>
      <c r="B937" s="24">
        <v>83.44</v>
      </c>
      <c r="C937" s="25">
        <f>Sales!$B937*Sales!$A937</f>
        <v>3421.04</v>
      </c>
      <c r="D937" s="26">
        <v>37669</v>
      </c>
      <c r="E937" s="27" t="s">
        <v>9</v>
      </c>
      <c r="F937" s="27">
        <v>1</v>
      </c>
      <c r="G937" s="27">
        <v>2</v>
      </c>
      <c r="H937" s="27">
        <v>2003</v>
      </c>
      <c r="I937" s="27" t="s">
        <v>118</v>
      </c>
      <c r="J937" s="25">
        <v>86</v>
      </c>
      <c r="K937" s="25">
        <f>Sales!$B937-Sales!$J937</f>
        <v>-2.5600000000000023</v>
      </c>
      <c r="L937" s="28">
        <f>(Sales!$J937-Sales!$B937)/Sales!$J937</f>
        <v>2.9767441860465142E-2</v>
      </c>
      <c r="M937" s="28" t="str">
        <f t="shared" si="14"/>
        <v>0%-5%</v>
      </c>
      <c r="N937" s="27" t="s">
        <v>113</v>
      </c>
      <c r="O937" s="27" t="s">
        <v>61</v>
      </c>
      <c r="P937" s="27" t="s">
        <v>17</v>
      </c>
      <c r="Q937" s="27" t="s">
        <v>19</v>
      </c>
    </row>
    <row r="938" spans="1:17" x14ac:dyDescent="0.3">
      <c r="A938" s="22">
        <v>21</v>
      </c>
      <c r="B938" s="19">
        <v>89.46</v>
      </c>
      <c r="C938" s="20">
        <f>Sales!$B938*Sales!$A938</f>
        <v>1878.6599999999999</v>
      </c>
      <c r="D938" s="21">
        <v>37739</v>
      </c>
      <c r="E938" s="22" t="s">
        <v>9</v>
      </c>
      <c r="F938" s="22">
        <v>2</v>
      </c>
      <c r="G938" s="22">
        <v>4</v>
      </c>
      <c r="H938" s="22">
        <v>2003</v>
      </c>
      <c r="I938" s="22" t="s">
        <v>118</v>
      </c>
      <c r="J938" s="20">
        <v>86</v>
      </c>
      <c r="K938" s="20">
        <f>Sales!$B938-Sales!$J938</f>
        <v>3.4599999999999937</v>
      </c>
      <c r="L938" s="23">
        <f>(Sales!$J938-Sales!$B938)/Sales!$J938</f>
        <v>-4.0232558139534809E-2</v>
      </c>
      <c r="M938" s="23" t="str">
        <f t="shared" si="14"/>
        <v>Below 0%</v>
      </c>
      <c r="N938" s="22" t="s">
        <v>37</v>
      </c>
      <c r="O938" s="22" t="s">
        <v>38</v>
      </c>
      <c r="P938" s="22" t="s">
        <v>17</v>
      </c>
      <c r="Q938" s="22" t="s">
        <v>14</v>
      </c>
    </row>
    <row r="939" spans="1:17" x14ac:dyDescent="0.3">
      <c r="A939" s="27">
        <v>40</v>
      </c>
      <c r="B939" s="24">
        <v>96.34</v>
      </c>
      <c r="C939" s="25">
        <f>Sales!$B939*Sales!$A939</f>
        <v>3853.6000000000004</v>
      </c>
      <c r="D939" s="26">
        <v>37788</v>
      </c>
      <c r="E939" s="27" t="s">
        <v>9</v>
      </c>
      <c r="F939" s="27">
        <v>2</v>
      </c>
      <c r="G939" s="27">
        <v>6</v>
      </c>
      <c r="H939" s="27">
        <v>2003</v>
      </c>
      <c r="I939" s="27" t="s">
        <v>118</v>
      </c>
      <c r="J939" s="25">
        <v>86</v>
      </c>
      <c r="K939" s="25">
        <f>Sales!$B939-Sales!$J939</f>
        <v>10.340000000000003</v>
      </c>
      <c r="L939" s="28">
        <f>(Sales!$J939-Sales!$B939)/Sales!$J939</f>
        <v>-0.12023255813953493</v>
      </c>
      <c r="M939" s="28" t="str">
        <f t="shared" si="14"/>
        <v>Below 0%</v>
      </c>
      <c r="N939" s="27" t="s">
        <v>66</v>
      </c>
      <c r="O939" s="27" t="s">
        <v>12</v>
      </c>
      <c r="P939" s="27" t="s">
        <v>13</v>
      </c>
      <c r="Q939" s="27" t="s">
        <v>19</v>
      </c>
    </row>
    <row r="940" spans="1:17" x14ac:dyDescent="0.3">
      <c r="A940" s="22">
        <v>46</v>
      </c>
      <c r="B940" s="19">
        <v>74.84</v>
      </c>
      <c r="C940" s="20">
        <f>Sales!$B940*Sales!$A940</f>
        <v>3442.6400000000003</v>
      </c>
      <c r="D940" s="21">
        <v>37843</v>
      </c>
      <c r="E940" s="22" t="s">
        <v>9</v>
      </c>
      <c r="F940" s="22">
        <v>3</v>
      </c>
      <c r="G940" s="22">
        <v>8</v>
      </c>
      <c r="H940" s="22">
        <v>2003</v>
      </c>
      <c r="I940" s="22" t="s">
        <v>118</v>
      </c>
      <c r="J940" s="20">
        <v>86</v>
      </c>
      <c r="K940" s="20">
        <f>Sales!$B940-Sales!$J940</f>
        <v>-11.159999999999997</v>
      </c>
      <c r="L940" s="23">
        <f>(Sales!$J940-Sales!$B940)/Sales!$J940</f>
        <v>0.12976744186046507</v>
      </c>
      <c r="M940" s="23" t="str">
        <f t="shared" si="14"/>
        <v>10%-15%</v>
      </c>
      <c r="N940" s="22" t="s">
        <v>41</v>
      </c>
      <c r="O940" s="22" t="s">
        <v>12</v>
      </c>
      <c r="P940" s="22" t="s">
        <v>13</v>
      </c>
      <c r="Q940" s="22" t="s">
        <v>19</v>
      </c>
    </row>
    <row r="941" spans="1:17" x14ac:dyDescent="0.3">
      <c r="A941" s="27">
        <v>44</v>
      </c>
      <c r="B941" s="24">
        <v>79.14</v>
      </c>
      <c r="C941" s="25">
        <f>Sales!$B941*Sales!$A941</f>
        <v>3482.16</v>
      </c>
      <c r="D941" s="26">
        <v>37900</v>
      </c>
      <c r="E941" s="27" t="s">
        <v>9</v>
      </c>
      <c r="F941" s="27">
        <v>4</v>
      </c>
      <c r="G941" s="27">
        <v>10</v>
      </c>
      <c r="H941" s="27">
        <v>2003</v>
      </c>
      <c r="I941" s="27" t="s">
        <v>118</v>
      </c>
      <c r="J941" s="25">
        <v>86</v>
      </c>
      <c r="K941" s="25">
        <f>Sales!$B941-Sales!$J941</f>
        <v>-6.8599999999999994</v>
      </c>
      <c r="L941" s="28">
        <f>(Sales!$J941-Sales!$B941)/Sales!$J941</f>
        <v>7.976744186046511E-2</v>
      </c>
      <c r="M941" s="28" t="str">
        <f t="shared" si="14"/>
        <v>5%-10%</v>
      </c>
      <c r="N941" s="27" t="s">
        <v>33</v>
      </c>
      <c r="O941" s="27" t="s">
        <v>34</v>
      </c>
      <c r="P941" s="27" t="s">
        <v>17</v>
      </c>
      <c r="Q941" s="27" t="s">
        <v>19</v>
      </c>
    </row>
    <row r="942" spans="1:17" x14ac:dyDescent="0.3">
      <c r="A942" s="22">
        <v>46</v>
      </c>
      <c r="B942" s="19">
        <v>73.12</v>
      </c>
      <c r="C942" s="20">
        <f>Sales!$B942*Sales!$A942</f>
        <v>3363.5200000000004</v>
      </c>
      <c r="D942" s="21">
        <v>37917</v>
      </c>
      <c r="E942" s="22" t="s">
        <v>75</v>
      </c>
      <c r="F942" s="22">
        <v>4</v>
      </c>
      <c r="G942" s="22">
        <v>10</v>
      </c>
      <c r="H942" s="22">
        <v>2003</v>
      </c>
      <c r="I942" s="22" t="s">
        <v>118</v>
      </c>
      <c r="J942" s="20">
        <v>86</v>
      </c>
      <c r="K942" s="20">
        <f>Sales!$B942-Sales!$J942</f>
        <v>-12.879999999999995</v>
      </c>
      <c r="L942" s="23">
        <f>(Sales!$J942-Sales!$B942)/Sales!$J942</f>
        <v>0.14976744186046506</v>
      </c>
      <c r="M942" s="23" t="str">
        <f t="shared" si="14"/>
        <v>10%-15%</v>
      </c>
      <c r="N942" s="22" t="s">
        <v>62</v>
      </c>
      <c r="O942" s="22" t="s">
        <v>49</v>
      </c>
      <c r="P942" s="22" t="s">
        <v>17</v>
      </c>
      <c r="Q942" s="22" t="s">
        <v>19</v>
      </c>
    </row>
    <row r="943" spans="1:17" x14ac:dyDescent="0.3">
      <c r="A943" s="27">
        <v>41</v>
      </c>
      <c r="B943" s="24">
        <v>81.72</v>
      </c>
      <c r="C943" s="25">
        <f>Sales!$B943*Sales!$A943</f>
        <v>3350.52</v>
      </c>
      <c r="D943" s="26">
        <v>37933</v>
      </c>
      <c r="E943" s="27" t="s">
        <v>9</v>
      </c>
      <c r="F943" s="27">
        <v>4</v>
      </c>
      <c r="G943" s="27">
        <v>11</v>
      </c>
      <c r="H943" s="27">
        <v>2003</v>
      </c>
      <c r="I943" s="27" t="s">
        <v>118</v>
      </c>
      <c r="J943" s="25">
        <v>86</v>
      </c>
      <c r="K943" s="25">
        <f>Sales!$B943-Sales!$J943</f>
        <v>-4.2800000000000011</v>
      </c>
      <c r="L943" s="28">
        <f>(Sales!$J943-Sales!$B943)/Sales!$J943</f>
        <v>4.9767441860465132E-2</v>
      </c>
      <c r="M943" s="28" t="str">
        <f t="shared" si="14"/>
        <v>0%-5%</v>
      </c>
      <c r="N943" s="27" t="s">
        <v>76</v>
      </c>
      <c r="O943" s="27" t="s">
        <v>16</v>
      </c>
      <c r="P943" s="27" t="s">
        <v>17</v>
      </c>
      <c r="Q943" s="27" t="s">
        <v>19</v>
      </c>
    </row>
    <row r="944" spans="1:17" x14ac:dyDescent="0.3">
      <c r="A944" s="22">
        <v>32</v>
      </c>
      <c r="B944" s="19">
        <v>89.46</v>
      </c>
      <c r="C944" s="20">
        <f>Sales!$B944*Sales!$A944</f>
        <v>2862.72</v>
      </c>
      <c r="D944" s="21">
        <v>37939</v>
      </c>
      <c r="E944" s="22" t="s">
        <v>9</v>
      </c>
      <c r="F944" s="22">
        <v>4</v>
      </c>
      <c r="G944" s="22">
        <v>11</v>
      </c>
      <c r="H944" s="22">
        <v>2003</v>
      </c>
      <c r="I944" s="22" t="s">
        <v>118</v>
      </c>
      <c r="J944" s="20">
        <v>86</v>
      </c>
      <c r="K944" s="20">
        <f>Sales!$B944-Sales!$J944</f>
        <v>3.4599999999999937</v>
      </c>
      <c r="L944" s="23">
        <f>(Sales!$J944-Sales!$B944)/Sales!$J944</f>
        <v>-4.0232558139534809E-2</v>
      </c>
      <c r="M944" s="23" t="str">
        <f t="shared" si="14"/>
        <v>Below 0%</v>
      </c>
      <c r="N944" s="22" t="s">
        <v>74</v>
      </c>
      <c r="O944" s="22" t="s">
        <v>43</v>
      </c>
      <c r="P944" s="22" t="s">
        <v>17</v>
      </c>
      <c r="Q944" s="22" t="s">
        <v>14</v>
      </c>
    </row>
    <row r="945" spans="1:17" x14ac:dyDescent="0.3">
      <c r="A945" s="27">
        <v>46</v>
      </c>
      <c r="B945" s="24">
        <v>87.74</v>
      </c>
      <c r="C945" s="25">
        <f>Sales!$B945*Sales!$A945</f>
        <v>4036.04</v>
      </c>
      <c r="D945" s="26">
        <v>37951</v>
      </c>
      <c r="E945" s="27" t="s">
        <v>9</v>
      </c>
      <c r="F945" s="27">
        <v>4</v>
      </c>
      <c r="G945" s="27">
        <v>11</v>
      </c>
      <c r="H945" s="27">
        <v>2003</v>
      </c>
      <c r="I945" s="27" t="s">
        <v>118</v>
      </c>
      <c r="J945" s="25">
        <v>86</v>
      </c>
      <c r="K945" s="25">
        <f>Sales!$B945-Sales!$J945</f>
        <v>1.7399999999999949</v>
      </c>
      <c r="L945" s="28">
        <f>(Sales!$J945-Sales!$B945)/Sales!$J945</f>
        <v>-2.0232558139534826E-2</v>
      </c>
      <c r="M945" s="28" t="str">
        <f t="shared" si="14"/>
        <v>Below 0%</v>
      </c>
      <c r="N945" s="27" t="s">
        <v>77</v>
      </c>
      <c r="O945" s="27" t="s">
        <v>46</v>
      </c>
      <c r="P945" s="27" t="s">
        <v>17</v>
      </c>
      <c r="Q945" s="27" t="s">
        <v>19</v>
      </c>
    </row>
    <row r="946" spans="1:17" x14ac:dyDescent="0.3">
      <c r="A946" s="22">
        <v>28</v>
      </c>
      <c r="B946" s="19">
        <v>100</v>
      </c>
      <c r="C946" s="20">
        <f>Sales!$B946*Sales!$A946</f>
        <v>2800</v>
      </c>
      <c r="D946" s="21">
        <v>37995</v>
      </c>
      <c r="E946" s="22" t="s">
        <v>9</v>
      </c>
      <c r="F946" s="22">
        <v>1</v>
      </c>
      <c r="G946" s="22">
        <v>1</v>
      </c>
      <c r="H946" s="22">
        <v>2004</v>
      </c>
      <c r="I946" s="22" t="s">
        <v>118</v>
      </c>
      <c r="J946" s="20">
        <v>86</v>
      </c>
      <c r="K946" s="20">
        <f>Sales!$B946-Sales!$J946</f>
        <v>14</v>
      </c>
      <c r="L946" s="23">
        <f>(Sales!$J946-Sales!$B946)/Sales!$J946</f>
        <v>-0.16279069767441862</v>
      </c>
      <c r="M946" s="23" t="str">
        <f t="shared" si="14"/>
        <v>Below 0%</v>
      </c>
      <c r="N946" s="22" t="s">
        <v>78</v>
      </c>
      <c r="O946" s="22" t="s">
        <v>12</v>
      </c>
      <c r="P946" s="22" t="s">
        <v>13</v>
      </c>
      <c r="Q946" s="22" t="s">
        <v>14</v>
      </c>
    </row>
    <row r="947" spans="1:17" x14ac:dyDescent="0.3">
      <c r="A947" s="27">
        <v>49</v>
      </c>
      <c r="B947" s="24">
        <v>94.62</v>
      </c>
      <c r="C947" s="25">
        <f>Sales!$B947*Sales!$A947</f>
        <v>4636.38</v>
      </c>
      <c r="D947" s="26">
        <v>38036</v>
      </c>
      <c r="E947" s="27" t="s">
        <v>9</v>
      </c>
      <c r="F947" s="27">
        <v>1</v>
      </c>
      <c r="G947" s="27">
        <v>2</v>
      </c>
      <c r="H947" s="27">
        <v>2004</v>
      </c>
      <c r="I947" s="27" t="s">
        <v>118</v>
      </c>
      <c r="J947" s="25">
        <v>86</v>
      </c>
      <c r="K947" s="25">
        <f>Sales!$B947-Sales!$J947</f>
        <v>8.6200000000000045</v>
      </c>
      <c r="L947" s="28">
        <f>(Sales!$J947-Sales!$B947)/Sales!$J947</f>
        <v>-0.10023255813953494</v>
      </c>
      <c r="M947" s="28" t="str">
        <f t="shared" si="14"/>
        <v>Below 0%</v>
      </c>
      <c r="N947" s="27" t="s">
        <v>79</v>
      </c>
      <c r="O947" s="27" t="s">
        <v>12</v>
      </c>
      <c r="P947" s="27" t="s">
        <v>13</v>
      </c>
      <c r="Q947" s="27" t="s">
        <v>19</v>
      </c>
    </row>
    <row r="948" spans="1:17" x14ac:dyDescent="0.3">
      <c r="A948" s="22">
        <v>21</v>
      </c>
      <c r="B948" s="19">
        <v>73.98</v>
      </c>
      <c r="C948" s="20">
        <f>Sales!$B948*Sales!$A948</f>
        <v>1553.5800000000002</v>
      </c>
      <c r="D948" s="21">
        <v>38114</v>
      </c>
      <c r="E948" s="22" t="s">
        <v>75</v>
      </c>
      <c r="F948" s="22">
        <v>2</v>
      </c>
      <c r="G948" s="22">
        <v>5</v>
      </c>
      <c r="H948" s="22">
        <v>2004</v>
      </c>
      <c r="I948" s="22" t="s">
        <v>118</v>
      </c>
      <c r="J948" s="20">
        <v>86</v>
      </c>
      <c r="K948" s="20">
        <f>Sales!$B948-Sales!$J948</f>
        <v>-12.019999999999996</v>
      </c>
      <c r="L948" s="23">
        <f>(Sales!$J948-Sales!$B948)/Sales!$J948</f>
        <v>0.13976744186046508</v>
      </c>
      <c r="M948" s="23" t="str">
        <f t="shared" si="14"/>
        <v>10%-15%</v>
      </c>
      <c r="N948" s="22" t="s">
        <v>11</v>
      </c>
      <c r="O948" s="22" t="s">
        <v>12</v>
      </c>
      <c r="P948" s="22" t="s">
        <v>13</v>
      </c>
      <c r="Q948" s="22" t="s">
        <v>14</v>
      </c>
    </row>
    <row r="949" spans="1:17" x14ac:dyDescent="0.3">
      <c r="A949" s="27">
        <v>32</v>
      </c>
      <c r="B949" s="24">
        <v>84.3</v>
      </c>
      <c r="C949" s="25">
        <f>Sales!$B949*Sales!$A949</f>
        <v>2697.6</v>
      </c>
      <c r="D949" s="26">
        <v>38162</v>
      </c>
      <c r="E949" s="27" t="s">
        <v>75</v>
      </c>
      <c r="F949" s="27">
        <v>2</v>
      </c>
      <c r="G949" s="27">
        <v>6</v>
      </c>
      <c r="H949" s="27">
        <v>2004</v>
      </c>
      <c r="I949" s="27" t="s">
        <v>118</v>
      </c>
      <c r="J949" s="25">
        <v>86</v>
      </c>
      <c r="K949" s="25">
        <f>Sales!$B949-Sales!$J949</f>
        <v>-1.7000000000000028</v>
      </c>
      <c r="L949" s="28">
        <f>(Sales!$J949-Sales!$B949)/Sales!$J949</f>
        <v>1.9767441860465151E-2</v>
      </c>
      <c r="M949" s="28" t="str">
        <f t="shared" si="14"/>
        <v>0%-5%</v>
      </c>
      <c r="N949" s="27" t="s">
        <v>45</v>
      </c>
      <c r="O949" s="27" t="s">
        <v>46</v>
      </c>
      <c r="P949" s="27" t="s">
        <v>17</v>
      </c>
      <c r="Q949" s="27" t="s">
        <v>14</v>
      </c>
    </row>
    <row r="950" spans="1:17" x14ac:dyDescent="0.3">
      <c r="A950" s="22">
        <v>34</v>
      </c>
      <c r="B950" s="19">
        <v>98.06</v>
      </c>
      <c r="C950" s="20">
        <f>Sales!$B950*Sales!$A950</f>
        <v>3334.04</v>
      </c>
      <c r="D950" s="21">
        <v>38189</v>
      </c>
      <c r="E950" s="22" t="s">
        <v>9</v>
      </c>
      <c r="F950" s="22">
        <v>3</v>
      </c>
      <c r="G950" s="22">
        <v>7</v>
      </c>
      <c r="H950" s="22">
        <v>2004</v>
      </c>
      <c r="I950" s="22" t="s">
        <v>118</v>
      </c>
      <c r="J950" s="20">
        <v>86</v>
      </c>
      <c r="K950" s="20">
        <f>Sales!$B950-Sales!$J950</f>
        <v>12.060000000000002</v>
      </c>
      <c r="L950" s="23">
        <f>(Sales!$J950-Sales!$B950)/Sales!$J950</f>
        <v>-0.14023255813953492</v>
      </c>
      <c r="M950" s="23" t="str">
        <f t="shared" si="14"/>
        <v>Below 0%</v>
      </c>
      <c r="N950" s="22" t="s">
        <v>80</v>
      </c>
      <c r="O950" s="22" t="s">
        <v>81</v>
      </c>
      <c r="P950" s="22" t="s">
        <v>17</v>
      </c>
      <c r="Q950" s="22" t="s">
        <v>19</v>
      </c>
    </row>
    <row r="951" spans="1:17" x14ac:dyDescent="0.3">
      <c r="A951" s="27">
        <v>21</v>
      </c>
      <c r="B951" s="24">
        <v>98.06</v>
      </c>
      <c r="C951" s="25">
        <f>Sales!$B951*Sales!$A951</f>
        <v>2059.2600000000002</v>
      </c>
      <c r="D951" s="26">
        <v>38219</v>
      </c>
      <c r="E951" s="27" t="s">
        <v>9</v>
      </c>
      <c r="F951" s="27">
        <v>3</v>
      </c>
      <c r="G951" s="27">
        <v>8</v>
      </c>
      <c r="H951" s="27">
        <v>2004</v>
      </c>
      <c r="I951" s="27" t="s">
        <v>118</v>
      </c>
      <c r="J951" s="25">
        <v>86</v>
      </c>
      <c r="K951" s="25">
        <f>Sales!$B951-Sales!$J951</f>
        <v>12.060000000000002</v>
      </c>
      <c r="L951" s="28">
        <f>(Sales!$J951-Sales!$B951)/Sales!$J951</f>
        <v>-0.14023255813953492</v>
      </c>
      <c r="M951" s="28" t="str">
        <f t="shared" si="14"/>
        <v>Below 0%</v>
      </c>
      <c r="N951" s="27" t="s">
        <v>82</v>
      </c>
      <c r="O951" s="27" t="s">
        <v>56</v>
      </c>
      <c r="P951" s="27" t="s">
        <v>13</v>
      </c>
      <c r="Q951" s="27" t="s">
        <v>14</v>
      </c>
    </row>
    <row r="952" spans="1:17" x14ac:dyDescent="0.3">
      <c r="A952" s="22">
        <v>21</v>
      </c>
      <c r="B952" s="19">
        <v>96.34</v>
      </c>
      <c r="C952" s="20">
        <f>Sales!$B952*Sales!$A952</f>
        <v>2023.14</v>
      </c>
      <c r="D952" s="21">
        <v>38245</v>
      </c>
      <c r="E952" s="22" t="s">
        <v>9</v>
      </c>
      <c r="F952" s="22">
        <v>3</v>
      </c>
      <c r="G952" s="22">
        <v>9</v>
      </c>
      <c r="H952" s="22">
        <v>2004</v>
      </c>
      <c r="I952" s="22" t="s">
        <v>118</v>
      </c>
      <c r="J952" s="20">
        <v>86</v>
      </c>
      <c r="K952" s="20">
        <f>Sales!$B952-Sales!$J952</f>
        <v>10.340000000000003</v>
      </c>
      <c r="L952" s="23">
        <f>(Sales!$J952-Sales!$B952)/Sales!$J952</f>
        <v>-0.12023255813953493</v>
      </c>
      <c r="M952" s="23" t="str">
        <f t="shared" si="14"/>
        <v>Below 0%</v>
      </c>
      <c r="N952" s="22" t="s">
        <v>116</v>
      </c>
      <c r="O952" s="22" t="s">
        <v>94</v>
      </c>
      <c r="P952" s="22" t="s">
        <v>17</v>
      </c>
      <c r="Q952" s="22" t="s">
        <v>14</v>
      </c>
    </row>
    <row r="953" spans="1:17" x14ac:dyDescent="0.3">
      <c r="A953" s="27">
        <v>31</v>
      </c>
      <c r="B953" s="24">
        <v>83.44</v>
      </c>
      <c r="C953" s="25">
        <f>Sales!$B953*Sales!$A953</f>
        <v>2586.64</v>
      </c>
      <c r="D953" s="26">
        <v>38274</v>
      </c>
      <c r="E953" s="27" t="s">
        <v>9</v>
      </c>
      <c r="F953" s="27">
        <v>4</v>
      </c>
      <c r="G953" s="27">
        <v>10</v>
      </c>
      <c r="H953" s="27">
        <v>2004</v>
      </c>
      <c r="I953" s="27" t="s">
        <v>118</v>
      </c>
      <c r="J953" s="25">
        <v>86</v>
      </c>
      <c r="K953" s="25">
        <f>Sales!$B953-Sales!$J953</f>
        <v>-2.5600000000000023</v>
      </c>
      <c r="L953" s="28">
        <f>(Sales!$J953-Sales!$B953)/Sales!$J953</f>
        <v>2.9767441860465142E-2</v>
      </c>
      <c r="M953" s="28" t="str">
        <f t="shared" si="14"/>
        <v>0%-5%</v>
      </c>
      <c r="N953" s="27" t="s">
        <v>53</v>
      </c>
      <c r="O953" s="27" t="s">
        <v>12</v>
      </c>
      <c r="P953" s="27" t="s">
        <v>13</v>
      </c>
      <c r="Q953" s="27" t="s">
        <v>14</v>
      </c>
    </row>
    <row r="954" spans="1:17" x14ac:dyDescent="0.3">
      <c r="A954" s="22">
        <v>21</v>
      </c>
      <c r="B954" s="19">
        <v>94.62</v>
      </c>
      <c r="C954" s="20">
        <f>Sales!$B954*Sales!$A954</f>
        <v>1987.02</v>
      </c>
      <c r="D954" s="21">
        <v>38292</v>
      </c>
      <c r="E954" s="22" t="s">
        <v>9</v>
      </c>
      <c r="F954" s="22">
        <v>4</v>
      </c>
      <c r="G954" s="22">
        <v>11</v>
      </c>
      <c r="H954" s="22">
        <v>2004</v>
      </c>
      <c r="I954" s="22" t="s">
        <v>118</v>
      </c>
      <c r="J954" s="20">
        <v>86</v>
      </c>
      <c r="K954" s="20">
        <f>Sales!$B954-Sales!$J954</f>
        <v>8.6200000000000045</v>
      </c>
      <c r="L954" s="23">
        <f>(Sales!$J954-Sales!$B954)/Sales!$J954</f>
        <v>-0.10023255813953494</v>
      </c>
      <c r="M954" s="23" t="str">
        <f t="shared" si="14"/>
        <v>Below 0%</v>
      </c>
      <c r="N954" s="22" t="s">
        <v>84</v>
      </c>
      <c r="O954" s="22" t="s">
        <v>43</v>
      </c>
      <c r="P954" s="22" t="s">
        <v>17</v>
      </c>
      <c r="Q954" s="22" t="s">
        <v>14</v>
      </c>
    </row>
    <row r="955" spans="1:17" x14ac:dyDescent="0.3">
      <c r="A955" s="27">
        <v>25</v>
      </c>
      <c r="B955" s="24">
        <v>45.86</v>
      </c>
      <c r="C955" s="25">
        <f>Sales!$B955*Sales!$A955</f>
        <v>1146.5</v>
      </c>
      <c r="D955" s="26">
        <v>38301</v>
      </c>
      <c r="E955" s="27" t="s">
        <v>88</v>
      </c>
      <c r="F955" s="27">
        <v>4</v>
      </c>
      <c r="G955" s="27">
        <v>11</v>
      </c>
      <c r="H955" s="27">
        <v>2004</v>
      </c>
      <c r="I955" s="27" t="s">
        <v>118</v>
      </c>
      <c r="J955" s="25">
        <v>86</v>
      </c>
      <c r="K955" s="25">
        <f>Sales!$B955-Sales!$J955</f>
        <v>-40.14</v>
      </c>
      <c r="L955" s="28">
        <f>(Sales!$J955-Sales!$B955)/Sales!$J955</f>
        <v>0.46674418604651163</v>
      </c>
      <c r="M955" s="28" t="str">
        <f t="shared" si="14"/>
        <v>+20%</v>
      </c>
      <c r="N955" s="27" t="s">
        <v>72</v>
      </c>
      <c r="O955" s="27" t="s">
        <v>73</v>
      </c>
      <c r="P955" s="27" t="s">
        <v>17</v>
      </c>
      <c r="Q955" s="27" t="s">
        <v>14</v>
      </c>
    </row>
    <row r="956" spans="1:17" x14ac:dyDescent="0.3">
      <c r="A956" s="22">
        <v>28</v>
      </c>
      <c r="B956" s="19">
        <v>82.58</v>
      </c>
      <c r="C956" s="20">
        <f>Sales!$B956*Sales!$A956</f>
        <v>2312.2399999999998</v>
      </c>
      <c r="D956" s="21">
        <v>38313</v>
      </c>
      <c r="E956" s="22" t="s">
        <v>9</v>
      </c>
      <c r="F956" s="22">
        <v>4</v>
      </c>
      <c r="G956" s="22">
        <v>11</v>
      </c>
      <c r="H956" s="22">
        <v>2004</v>
      </c>
      <c r="I956" s="22" t="s">
        <v>118</v>
      </c>
      <c r="J956" s="20">
        <v>86</v>
      </c>
      <c r="K956" s="20">
        <f>Sales!$B956-Sales!$J956</f>
        <v>-3.4200000000000017</v>
      </c>
      <c r="L956" s="23">
        <f>(Sales!$J956-Sales!$B956)/Sales!$J956</f>
        <v>3.9767441860465137E-2</v>
      </c>
      <c r="M956" s="23" t="str">
        <f t="shared" si="14"/>
        <v>0%-5%</v>
      </c>
      <c r="N956" s="22" t="s">
        <v>117</v>
      </c>
      <c r="O956" s="22" t="s">
        <v>81</v>
      </c>
      <c r="P956" s="22" t="s">
        <v>17</v>
      </c>
      <c r="Q956" s="22" t="s">
        <v>14</v>
      </c>
    </row>
    <row r="957" spans="1:17" x14ac:dyDescent="0.3">
      <c r="A957" s="27">
        <v>43</v>
      </c>
      <c r="B957" s="24">
        <v>64.97</v>
      </c>
      <c r="C957" s="25">
        <f>Sales!$B957*Sales!$A957</f>
        <v>2793.71</v>
      </c>
      <c r="D957" s="26">
        <v>38323</v>
      </c>
      <c r="E957" s="27" t="s">
        <v>9</v>
      </c>
      <c r="F957" s="27">
        <v>4</v>
      </c>
      <c r="G957" s="27">
        <v>12</v>
      </c>
      <c r="H957" s="27">
        <v>2004</v>
      </c>
      <c r="I957" s="27" t="s">
        <v>118</v>
      </c>
      <c r="J957" s="25">
        <v>86</v>
      </c>
      <c r="K957" s="25">
        <f>Sales!$B957-Sales!$J957</f>
        <v>-21.03</v>
      </c>
      <c r="L957" s="28">
        <f>(Sales!$J957-Sales!$B957)/Sales!$J957</f>
        <v>0.24453488372093024</v>
      </c>
      <c r="M957" s="28" t="str">
        <f t="shared" si="14"/>
        <v>+20%</v>
      </c>
      <c r="N957" s="27" t="s">
        <v>45</v>
      </c>
      <c r="O957" s="27" t="s">
        <v>46</v>
      </c>
      <c r="P957" s="27" t="s">
        <v>17</v>
      </c>
      <c r="Q957" s="27" t="s">
        <v>14</v>
      </c>
    </row>
    <row r="958" spans="1:17" x14ac:dyDescent="0.3">
      <c r="A958" s="22">
        <v>22</v>
      </c>
      <c r="B958" s="19">
        <v>86.74</v>
      </c>
      <c r="C958" s="20">
        <f>Sales!$B958*Sales!$A958</f>
        <v>1908.28</v>
      </c>
      <c r="D958" s="21">
        <v>38383</v>
      </c>
      <c r="E958" s="22" t="s">
        <v>9</v>
      </c>
      <c r="F958" s="22">
        <v>1</v>
      </c>
      <c r="G958" s="22">
        <v>1</v>
      </c>
      <c r="H958" s="22">
        <v>2005</v>
      </c>
      <c r="I958" s="22" t="s">
        <v>118</v>
      </c>
      <c r="J958" s="20">
        <v>86</v>
      </c>
      <c r="K958" s="20">
        <f>Sales!$B958-Sales!$J958</f>
        <v>0.73999999999999488</v>
      </c>
      <c r="L958" s="23">
        <f>(Sales!$J958-Sales!$B958)/Sales!$J958</f>
        <v>-8.6046511627906382E-3</v>
      </c>
      <c r="M958" s="23" t="str">
        <f t="shared" si="14"/>
        <v>Below 0%</v>
      </c>
      <c r="N958" s="22" t="s">
        <v>85</v>
      </c>
      <c r="O958" s="22" t="s">
        <v>34</v>
      </c>
      <c r="P958" s="22" t="s">
        <v>17</v>
      </c>
      <c r="Q958" s="22" t="s">
        <v>14</v>
      </c>
    </row>
    <row r="959" spans="1:17" x14ac:dyDescent="0.3">
      <c r="A959" s="27">
        <v>37</v>
      </c>
      <c r="B959" s="24">
        <v>93.01</v>
      </c>
      <c r="C959" s="25">
        <f>Sales!$B959*Sales!$A959</f>
        <v>3441.3700000000003</v>
      </c>
      <c r="D959" s="26">
        <v>38412</v>
      </c>
      <c r="E959" s="27" t="s">
        <v>88</v>
      </c>
      <c r="F959" s="27">
        <v>1</v>
      </c>
      <c r="G959" s="27">
        <v>3</v>
      </c>
      <c r="H959" s="27">
        <v>2005</v>
      </c>
      <c r="I959" s="27" t="s">
        <v>118</v>
      </c>
      <c r="J959" s="25">
        <v>86</v>
      </c>
      <c r="K959" s="25">
        <f>Sales!$B959-Sales!$J959</f>
        <v>7.0100000000000051</v>
      </c>
      <c r="L959" s="28">
        <f>(Sales!$J959-Sales!$B959)/Sales!$J959</f>
        <v>-8.1511627906976802E-2</v>
      </c>
      <c r="M959" s="28" t="str">
        <f t="shared" si="14"/>
        <v>Below 0%</v>
      </c>
      <c r="N959" s="27" t="s">
        <v>45</v>
      </c>
      <c r="O959" s="27" t="s">
        <v>46</v>
      </c>
      <c r="P959" s="27" t="s">
        <v>17</v>
      </c>
      <c r="Q959" s="27" t="s">
        <v>19</v>
      </c>
    </row>
    <row r="960" spans="1:17" x14ac:dyDescent="0.3">
      <c r="A960" s="22">
        <v>28</v>
      </c>
      <c r="B960" s="19">
        <v>72.260000000000005</v>
      </c>
      <c r="C960" s="20">
        <f>Sales!$B960*Sales!$A960</f>
        <v>2023.2800000000002</v>
      </c>
      <c r="D960" s="21">
        <v>38441</v>
      </c>
      <c r="E960" s="22" t="s">
        <v>9</v>
      </c>
      <c r="F960" s="22">
        <v>1</v>
      </c>
      <c r="G960" s="22">
        <v>3</v>
      </c>
      <c r="H960" s="22">
        <v>2005</v>
      </c>
      <c r="I960" s="22" t="s">
        <v>118</v>
      </c>
      <c r="J960" s="20">
        <v>86</v>
      </c>
      <c r="K960" s="20">
        <f>Sales!$B960-Sales!$J960</f>
        <v>-13.739999999999995</v>
      </c>
      <c r="L960" s="23">
        <f>(Sales!$J960-Sales!$B960)/Sales!$J960</f>
        <v>0.15976744186046507</v>
      </c>
      <c r="M960" s="23" t="str">
        <f t="shared" si="14"/>
        <v>15%-20%</v>
      </c>
      <c r="N960" s="22" t="s">
        <v>15</v>
      </c>
      <c r="O960" s="22" t="s">
        <v>16</v>
      </c>
      <c r="P960" s="22" t="s">
        <v>17</v>
      </c>
      <c r="Q960" s="22" t="s">
        <v>14</v>
      </c>
    </row>
    <row r="961" spans="1:17" x14ac:dyDescent="0.3">
      <c r="A961" s="27">
        <v>30</v>
      </c>
      <c r="B961" s="24">
        <v>74.84</v>
      </c>
      <c r="C961" s="25">
        <f>Sales!$B961*Sales!$A961</f>
        <v>2245.2000000000003</v>
      </c>
      <c r="D961" s="26">
        <v>38443</v>
      </c>
      <c r="E961" s="27" t="s">
        <v>9</v>
      </c>
      <c r="F961" s="27">
        <v>2</v>
      </c>
      <c r="G961" s="27">
        <v>4</v>
      </c>
      <c r="H961" s="27">
        <v>2005</v>
      </c>
      <c r="I961" s="27" t="s">
        <v>118</v>
      </c>
      <c r="J961" s="25">
        <v>86</v>
      </c>
      <c r="K961" s="25">
        <f>Sales!$B961-Sales!$J961</f>
        <v>-11.159999999999997</v>
      </c>
      <c r="L961" s="28">
        <f>(Sales!$J961-Sales!$B961)/Sales!$J961</f>
        <v>0.12976744186046507</v>
      </c>
      <c r="M961" s="28" t="str">
        <f t="shared" si="14"/>
        <v>10%-15%</v>
      </c>
      <c r="N961" s="27" t="s">
        <v>86</v>
      </c>
      <c r="O961" s="27" t="s">
        <v>12</v>
      </c>
      <c r="P961" s="27" t="s">
        <v>13</v>
      </c>
      <c r="Q961" s="27" t="s">
        <v>14</v>
      </c>
    </row>
    <row r="962" spans="1:17" x14ac:dyDescent="0.3">
      <c r="A962" s="22">
        <v>44</v>
      </c>
      <c r="B962" s="19">
        <v>73.98</v>
      </c>
      <c r="C962" s="20">
        <f>Sales!$B962*Sales!$A962</f>
        <v>3255.1200000000003</v>
      </c>
      <c r="D962" s="21">
        <v>38478</v>
      </c>
      <c r="E962" s="22" t="s">
        <v>87</v>
      </c>
      <c r="F962" s="22">
        <v>2</v>
      </c>
      <c r="G962" s="22">
        <v>5</v>
      </c>
      <c r="H962" s="22">
        <v>2005</v>
      </c>
      <c r="I962" s="22" t="s">
        <v>118</v>
      </c>
      <c r="J962" s="20">
        <v>86</v>
      </c>
      <c r="K962" s="20">
        <f>Sales!$B962-Sales!$J962</f>
        <v>-12.019999999999996</v>
      </c>
      <c r="L962" s="23">
        <f>(Sales!$J962-Sales!$B962)/Sales!$J962</f>
        <v>0.13976744186046508</v>
      </c>
      <c r="M962" s="23" t="str">
        <f t="shared" si="14"/>
        <v>10%-15%</v>
      </c>
      <c r="N962" s="22" t="s">
        <v>83</v>
      </c>
      <c r="O962" s="22" t="s">
        <v>12</v>
      </c>
      <c r="P962" s="22" t="s">
        <v>13</v>
      </c>
      <c r="Q962" s="22" t="s">
        <v>19</v>
      </c>
    </row>
    <row r="963" spans="1:17" x14ac:dyDescent="0.3">
      <c r="A963" s="27">
        <v>25</v>
      </c>
      <c r="B963" s="24">
        <v>100</v>
      </c>
      <c r="C963" s="25">
        <f>Sales!$B963*Sales!$A963</f>
        <v>2500</v>
      </c>
      <c r="D963" s="26">
        <v>37650</v>
      </c>
      <c r="E963" s="27" t="s">
        <v>9</v>
      </c>
      <c r="F963" s="27">
        <v>1</v>
      </c>
      <c r="G963" s="27">
        <v>1</v>
      </c>
      <c r="H963" s="27">
        <v>2003</v>
      </c>
      <c r="I963" s="27" t="s">
        <v>112</v>
      </c>
      <c r="J963" s="25">
        <v>104</v>
      </c>
      <c r="K963" s="25">
        <f>Sales!$B963-Sales!$J963</f>
        <v>-4</v>
      </c>
      <c r="L963" s="28">
        <f>(Sales!$J963-Sales!$B963)/Sales!$J963</f>
        <v>3.8461538461538464E-2</v>
      </c>
      <c r="M963" s="28" t="str">
        <f t="shared" ref="M963:M1026" si="15">IF(L963&lt;0%,"Below 0%",IF(L963=0%,"0%",IF(AND(L963&lt;=5%,L963&gt;0%),"0%-5%",IF(AND(L963&lt;=10%,L963&gt;5%),"5%-10%",IF(AND(L963&lt;=15%,L963&gt;10%),"10%-15%",IF(AND(L963&lt;=20%,L963&gt;15%),"15%-20%","+20%"))))))</f>
        <v>0%-5%</v>
      </c>
      <c r="N963" s="27" t="s">
        <v>35</v>
      </c>
      <c r="O963" s="27" t="s">
        <v>25</v>
      </c>
      <c r="P963" s="27" t="s">
        <v>17</v>
      </c>
      <c r="Q963" s="27" t="s">
        <v>14</v>
      </c>
    </row>
    <row r="964" spans="1:17" x14ac:dyDescent="0.3">
      <c r="A964" s="22">
        <v>43</v>
      </c>
      <c r="B964" s="19">
        <v>100</v>
      </c>
      <c r="C964" s="20">
        <f>Sales!$B964*Sales!$A964</f>
        <v>4300</v>
      </c>
      <c r="D964" s="21">
        <v>37705</v>
      </c>
      <c r="E964" s="22" t="s">
        <v>9</v>
      </c>
      <c r="F964" s="22">
        <v>1</v>
      </c>
      <c r="G964" s="22">
        <v>3</v>
      </c>
      <c r="H964" s="22">
        <v>2003</v>
      </c>
      <c r="I964" s="22" t="s">
        <v>112</v>
      </c>
      <c r="J964" s="20">
        <v>104</v>
      </c>
      <c r="K964" s="20">
        <f>Sales!$B964-Sales!$J964</f>
        <v>-4</v>
      </c>
      <c r="L964" s="23">
        <f>(Sales!$J964-Sales!$B964)/Sales!$J964</f>
        <v>3.8461538461538464E-2</v>
      </c>
      <c r="M964" s="23" t="str">
        <f t="shared" si="15"/>
        <v>0%-5%</v>
      </c>
      <c r="N964" s="22" t="s">
        <v>21</v>
      </c>
      <c r="O964" s="22" t="s">
        <v>12</v>
      </c>
      <c r="P964" s="22" t="s">
        <v>13</v>
      </c>
      <c r="Q964" s="22" t="s">
        <v>19</v>
      </c>
    </row>
    <row r="965" spans="1:17" x14ac:dyDescent="0.3">
      <c r="A965" s="27">
        <v>30</v>
      </c>
      <c r="B965" s="24">
        <v>97.39</v>
      </c>
      <c r="C965" s="25">
        <f>Sales!$B965*Sales!$A965</f>
        <v>2921.7</v>
      </c>
      <c r="D965" s="26">
        <v>37769</v>
      </c>
      <c r="E965" s="27" t="s">
        <v>9</v>
      </c>
      <c r="F965" s="27">
        <v>2</v>
      </c>
      <c r="G965" s="27">
        <v>5</v>
      </c>
      <c r="H965" s="27">
        <v>2003</v>
      </c>
      <c r="I965" s="27" t="s">
        <v>112</v>
      </c>
      <c r="J965" s="25">
        <v>104</v>
      </c>
      <c r="K965" s="25">
        <f>Sales!$B965-Sales!$J965</f>
        <v>-6.6099999999999994</v>
      </c>
      <c r="L965" s="28">
        <f>(Sales!$J965-Sales!$B965)/Sales!$J965</f>
        <v>6.3557692307692301E-2</v>
      </c>
      <c r="M965" s="28" t="str">
        <f t="shared" si="15"/>
        <v>5%-10%</v>
      </c>
      <c r="N965" s="27" t="s">
        <v>45</v>
      </c>
      <c r="O965" s="27" t="s">
        <v>46</v>
      </c>
      <c r="P965" s="27" t="s">
        <v>17</v>
      </c>
      <c r="Q965" s="27" t="s">
        <v>14</v>
      </c>
    </row>
    <row r="966" spans="1:17" x14ac:dyDescent="0.3">
      <c r="A966" s="22">
        <v>20</v>
      </c>
      <c r="B966" s="19">
        <v>90.06</v>
      </c>
      <c r="C966" s="20">
        <f>Sales!$B966*Sales!$A966</f>
        <v>1801.2</v>
      </c>
      <c r="D966" s="21">
        <v>37818</v>
      </c>
      <c r="E966" s="22" t="s">
        <v>9</v>
      </c>
      <c r="F966" s="22">
        <v>3</v>
      </c>
      <c r="G966" s="22">
        <v>7</v>
      </c>
      <c r="H966" s="22">
        <v>2003</v>
      </c>
      <c r="I966" s="22" t="s">
        <v>112</v>
      </c>
      <c r="J966" s="20">
        <v>104</v>
      </c>
      <c r="K966" s="20">
        <f>Sales!$B966-Sales!$J966</f>
        <v>-13.939999999999998</v>
      </c>
      <c r="L966" s="23">
        <f>(Sales!$J966-Sales!$B966)/Sales!$J966</f>
        <v>0.13403846153846152</v>
      </c>
      <c r="M966" s="23" t="str">
        <f t="shared" si="15"/>
        <v>10%-15%</v>
      </c>
      <c r="N966" s="22" t="s">
        <v>40</v>
      </c>
      <c r="O966" s="22" t="s">
        <v>27</v>
      </c>
      <c r="P966" s="22" t="s">
        <v>28</v>
      </c>
      <c r="Q966" s="22" t="s">
        <v>14</v>
      </c>
    </row>
    <row r="967" spans="1:17" x14ac:dyDescent="0.3">
      <c r="A967" s="27">
        <v>26</v>
      </c>
      <c r="B967" s="24">
        <v>100</v>
      </c>
      <c r="C967" s="25">
        <f>Sales!$B967*Sales!$A967</f>
        <v>2600</v>
      </c>
      <c r="D967" s="26">
        <v>37883</v>
      </c>
      <c r="E967" s="27" t="s">
        <v>9</v>
      </c>
      <c r="F967" s="27">
        <v>3</v>
      </c>
      <c r="G967" s="27">
        <v>9</v>
      </c>
      <c r="H967" s="27">
        <v>2003</v>
      </c>
      <c r="I967" s="27" t="s">
        <v>112</v>
      </c>
      <c r="J967" s="25">
        <v>104</v>
      </c>
      <c r="K967" s="25">
        <f>Sales!$B967-Sales!$J967</f>
        <v>-4</v>
      </c>
      <c r="L967" s="28">
        <f>(Sales!$J967-Sales!$B967)/Sales!$J967</f>
        <v>3.8461538461538464E-2</v>
      </c>
      <c r="M967" s="28" t="str">
        <f t="shared" si="15"/>
        <v>0%-5%</v>
      </c>
      <c r="N967" s="27" t="s">
        <v>50</v>
      </c>
      <c r="O967" s="27" t="s">
        <v>50</v>
      </c>
      <c r="P967" s="27" t="s">
        <v>28</v>
      </c>
      <c r="Q967" s="27" t="s">
        <v>14</v>
      </c>
    </row>
    <row r="968" spans="1:17" x14ac:dyDescent="0.3">
      <c r="A968" s="22">
        <v>40</v>
      </c>
      <c r="B968" s="19">
        <v>100</v>
      </c>
      <c r="C968" s="20">
        <f>Sales!$B968*Sales!$A968</f>
        <v>4000</v>
      </c>
      <c r="D968" s="21">
        <v>37914</v>
      </c>
      <c r="E968" s="22" t="s">
        <v>9</v>
      </c>
      <c r="F968" s="22">
        <v>4</v>
      </c>
      <c r="G968" s="22">
        <v>10</v>
      </c>
      <c r="H968" s="22">
        <v>2003</v>
      </c>
      <c r="I968" s="22" t="s">
        <v>112</v>
      </c>
      <c r="J968" s="20">
        <v>104</v>
      </c>
      <c r="K968" s="20">
        <f>Sales!$B968-Sales!$J968</f>
        <v>-4</v>
      </c>
      <c r="L968" s="23">
        <f>(Sales!$J968-Sales!$B968)/Sales!$J968</f>
        <v>3.8461538461538464E-2</v>
      </c>
      <c r="M968" s="23" t="str">
        <f t="shared" si="15"/>
        <v>0%-5%</v>
      </c>
      <c r="N968" s="22" t="s">
        <v>11</v>
      </c>
      <c r="O968" s="22" t="s">
        <v>12</v>
      </c>
      <c r="P968" s="22" t="s">
        <v>13</v>
      </c>
      <c r="Q968" s="22" t="s">
        <v>19</v>
      </c>
    </row>
    <row r="969" spans="1:17" x14ac:dyDescent="0.3">
      <c r="A969" s="27">
        <v>31</v>
      </c>
      <c r="B969" s="24">
        <v>89.01</v>
      </c>
      <c r="C969" s="25">
        <f>Sales!$B969*Sales!$A969</f>
        <v>2759.31</v>
      </c>
      <c r="D969" s="26">
        <v>37930</v>
      </c>
      <c r="E969" s="27" t="s">
        <v>9</v>
      </c>
      <c r="F969" s="27">
        <v>4</v>
      </c>
      <c r="G969" s="27">
        <v>11</v>
      </c>
      <c r="H969" s="27">
        <v>2003</v>
      </c>
      <c r="I969" s="27" t="s">
        <v>112</v>
      </c>
      <c r="J969" s="25">
        <v>104</v>
      </c>
      <c r="K969" s="25">
        <f>Sales!$B969-Sales!$J969</f>
        <v>-14.989999999999995</v>
      </c>
      <c r="L969" s="28">
        <f>(Sales!$J969-Sales!$B969)/Sales!$J969</f>
        <v>0.14413461538461533</v>
      </c>
      <c r="M969" s="28" t="str">
        <f t="shared" si="15"/>
        <v>10%-15%</v>
      </c>
      <c r="N969" s="27" t="s">
        <v>113</v>
      </c>
      <c r="O969" s="27" t="s">
        <v>61</v>
      </c>
      <c r="P969" s="27" t="s">
        <v>17</v>
      </c>
      <c r="Q969" s="27" t="s">
        <v>14</v>
      </c>
    </row>
    <row r="970" spans="1:17" x14ac:dyDescent="0.3">
      <c r="A970" s="22">
        <v>22</v>
      </c>
      <c r="B970" s="19">
        <v>100</v>
      </c>
      <c r="C970" s="20">
        <f>Sales!$B970*Sales!$A970</f>
        <v>2200</v>
      </c>
      <c r="D970" s="21">
        <v>37938</v>
      </c>
      <c r="E970" s="22" t="s">
        <v>9</v>
      </c>
      <c r="F970" s="22">
        <v>4</v>
      </c>
      <c r="G970" s="22">
        <v>11</v>
      </c>
      <c r="H970" s="22">
        <v>2003</v>
      </c>
      <c r="I970" s="22" t="s">
        <v>112</v>
      </c>
      <c r="J970" s="20">
        <v>104</v>
      </c>
      <c r="K970" s="20">
        <f>Sales!$B970-Sales!$J970</f>
        <v>-4</v>
      </c>
      <c r="L970" s="23">
        <f>(Sales!$J970-Sales!$B970)/Sales!$J970</f>
        <v>3.8461538461538464E-2</v>
      </c>
      <c r="M970" s="23" t="str">
        <f t="shared" si="15"/>
        <v>0%-5%</v>
      </c>
      <c r="N970" s="22" t="s">
        <v>53</v>
      </c>
      <c r="O970" s="22" t="s">
        <v>12</v>
      </c>
      <c r="P970" s="22" t="s">
        <v>13</v>
      </c>
      <c r="Q970" s="22" t="s">
        <v>14</v>
      </c>
    </row>
    <row r="971" spans="1:17" x14ac:dyDescent="0.3">
      <c r="A971" s="27">
        <v>23</v>
      </c>
      <c r="B971" s="24">
        <v>100</v>
      </c>
      <c r="C971" s="25">
        <f>Sales!$B971*Sales!$A971</f>
        <v>2300</v>
      </c>
      <c r="D971" s="26">
        <v>37946</v>
      </c>
      <c r="E971" s="27" t="s">
        <v>9</v>
      </c>
      <c r="F971" s="27">
        <v>4</v>
      </c>
      <c r="G971" s="27">
        <v>11</v>
      </c>
      <c r="H971" s="27">
        <v>2003</v>
      </c>
      <c r="I971" s="27" t="s">
        <v>112</v>
      </c>
      <c r="J971" s="25">
        <v>104</v>
      </c>
      <c r="K971" s="25">
        <f>Sales!$B971-Sales!$J971</f>
        <v>-4</v>
      </c>
      <c r="L971" s="28">
        <f>(Sales!$J971-Sales!$B971)/Sales!$J971</f>
        <v>3.8461538461538464E-2</v>
      </c>
      <c r="M971" s="28" t="str">
        <f t="shared" si="15"/>
        <v>0%-5%</v>
      </c>
      <c r="N971" s="27" t="s">
        <v>114</v>
      </c>
      <c r="O971" s="27" t="s">
        <v>27</v>
      </c>
      <c r="P971" s="27" t="s">
        <v>28</v>
      </c>
      <c r="Q971" s="27" t="s">
        <v>14</v>
      </c>
    </row>
    <row r="972" spans="1:17" x14ac:dyDescent="0.3">
      <c r="A972" s="22">
        <v>30</v>
      </c>
      <c r="B972" s="19">
        <v>100</v>
      </c>
      <c r="C972" s="20">
        <f>Sales!$B972*Sales!$A972</f>
        <v>3000</v>
      </c>
      <c r="D972" s="21">
        <v>37960</v>
      </c>
      <c r="E972" s="22" t="s">
        <v>9</v>
      </c>
      <c r="F972" s="22">
        <v>4</v>
      </c>
      <c r="G972" s="22">
        <v>12</v>
      </c>
      <c r="H972" s="22">
        <v>2003</v>
      </c>
      <c r="I972" s="22" t="s">
        <v>112</v>
      </c>
      <c r="J972" s="20">
        <v>104</v>
      </c>
      <c r="K972" s="20">
        <f>Sales!$B972-Sales!$J972</f>
        <v>-4</v>
      </c>
      <c r="L972" s="23">
        <f>(Sales!$J972-Sales!$B972)/Sales!$J972</f>
        <v>3.8461538461538464E-2</v>
      </c>
      <c r="M972" s="23" t="str">
        <f t="shared" si="15"/>
        <v>0%-5%</v>
      </c>
      <c r="N972" s="22" t="s">
        <v>55</v>
      </c>
      <c r="O972" s="22" t="s">
        <v>56</v>
      </c>
      <c r="P972" s="22" t="s">
        <v>13</v>
      </c>
      <c r="Q972" s="22" t="s">
        <v>19</v>
      </c>
    </row>
    <row r="973" spans="1:17" x14ac:dyDescent="0.3">
      <c r="A973" s="27">
        <v>49</v>
      </c>
      <c r="B973" s="24">
        <v>100</v>
      </c>
      <c r="C973" s="25">
        <f>Sales!$B973*Sales!$A973</f>
        <v>4900</v>
      </c>
      <c r="D973" s="26">
        <v>38015</v>
      </c>
      <c r="E973" s="27" t="s">
        <v>9</v>
      </c>
      <c r="F973" s="27">
        <v>1</v>
      </c>
      <c r="G973" s="27">
        <v>1</v>
      </c>
      <c r="H973" s="27">
        <v>2004</v>
      </c>
      <c r="I973" s="27" t="s">
        <v>112</v>
      </c>
      <c r="J973" s="25">
        <v>104</v>
      </c>
      <c r="K973" s="25">
        <f>Sales!$B973-Sales!$J973</f>
        <v>-4</v>
      </c>
      <c r="L973" s="28">
        <f>(Sales!$J973-Sales!$B973)/Sales!$J973</f>
        <v>3.8461538461538464E-2</v>
      </c>
      <c r="M973" s="28" t="str">
        <f t="shared" si="15"/>
        <v>0%-5%</v>
      </c>
      <c r="N973" s="27" t="s">
        <v>57</v>
      </c>
      <c r="O973" s="27" t="s">
        <v>12</v>
      </c>
      <c r="P973" s="27" t="s">
        <v>13</v>
      </c>
      <c r="Q973" s="27" t="s">
        <v>19</v>
      </c>
    </row>
    <row r="974" spans="1:17" x14ac:dyDescent="0.3">
      <c r="A974" s="22">
        <v>31</v>
      </c>
      <c r="B974" s="19">
        <v>100</v>
      </c>
      <c r="C974" s="20">
        <f>Sales!$B974*Sales!$A974</f>
        <v>3100</v>
      </c>
      <c r="D974" s="21">
        <v>38056</v>
      </c>
      <c r="E974" s="22" t="s">
        <v>9</v>
      </c>
      <c r="F974" s="22">
        <v>1</v>
      </c>
      <c r="G974" s="22">
        <v>3</v>
      </c>
      <c r="H974" s="22">
        <v>2004</v>
      </c>
      <c r="I974" s="22" t="s">
        <v>112</v>
      </c>
      <c r="J974" s="20">
        <v>104</v>
      </c>
      <c r="K974" s="20">
        <f>Sales!$B974-Sales!$J974</f>
        <v>-4</v>
      </c>
      <c r="L974" s="23">
        <f>(Sales!$J974-Sales!$B974)/Sales!$J974</f>
        <v>3.8461538461538464E-2</v>
      </c>
      <c r="M974" s="23" t="str">
        <f t="shared" si="15"/>
        <v>0%-5%</v>
      </c>
      <c r="N974" s="22" t="s">
        <v>32</v>
      </c>
      <c r="O974" s="22" t="s">
        <v>12</v>
      </c>
      <c r="P974" s="22" t="s">
        <v>13</v>
      </c>
      <c r="Q974" s="22" t="s">
        <v>19</v>
      </c>
    </row>
    <row r="975" spans="1:17" x14ac:dyDescent="0.3">
      <c r="A975" s="27">
        <v>29</v>
      </c>
      <c r="B975" s="24">
        <v>100</v>
      </c>
      <c r="C975" s="25">
        <f>Sales!$B975*Sales!$A975</f>
        <v>2900</v>
      </c>
      <c r="D975" s="26">
        <v>38106</v>
      </c>
      <c r="E975" s="27" t="s">
        <v>9</v>
      </c>
      <c r="F975" s="27">
        <v>2</v>
      </c>
      <c r="G975" s="27">
        <v>4</v>
      </c>
      <c r="H975" s="27">
        <v>2004</v>
      </c>
      <c r="I975" s="27" t="s">
        <v>112</v>
      </c>
      <c r="J975" s="25">
        <v>104</v>
      </c>
      <c r="K975" s="25">
        <f>Sales!$B975-Sales!$J975</f>
        <v>-4</v>
      </c>
      <c r="L975" s="28">
        <f>(Sales!$J975-Sales!$B975)/Sales!$J975</f>
        <v>3.8461538461538464E-2</v>
      </c>
      <c r="M975" s="28" t="str">
        <f t="shared" si="15"/>
        <v>0%-5%</v>
      </c>
      <c r="N975" s="27" t="s">
        <v>45</v>
      </c>
      <c r="O975" s="27" t="s">
        <v>46</v>
      </c>
      <c r="P975" s="27" t="s">
        <v>17</v>
      </c>
      <c r="Q975" s="27" t="s">
        <v>19</v>
      </c>
    </row>
    <row r="976" spans="1:17" x14ac:dyDescent="0.3">
      <c r="A976" s="22">
        <v>37</v>
      </c>
      <c r="B976" s="19">
        <v>84.82</v>
      </c>
      <c r="C976" s="20">
        <f>Sales!$B976*Sales!$A976</f>
        <v>3138.3399999999997</v>
      </c>
      <c r="D976" s="21">
        <v>38152</v>
      </c>
      <c r="E976" s="22" t="s">
        <v>9</v>
      </c>
      <c r="F976" s="22">
        <v>2</v>
      </c>
      <c r="G976" s="22">
        <v>6</v>
      </c>
      <c r="H976" s="22">
        <v>2004</v>
      </c>
      <c r="I976" s="22" t="s">
        <v>112</v>
      </c>
      <c r="J976" s="20">
        <v>104</v>
      </c>
      <c r="K976" s="20">
        <f>Sales!$B976-Sales!$J976</f>
        <v>-19.180000000000007</v>
      </c>
      <c r="L976" s="23">
        <f>(Sales!$J976-Sales!$B976)/Sales!$J976</f>
        <v>0.184423076923077</v>
      </c>
      <c r="M976" s="23" t="str">
        <f t="shared" si="15"/>
        <v>15%-20%</v>
      </c>
      <c r="N976" s="22" t="s">
        <v>86</v>
      </c>
      <c r="O976" s="22" t="s">
        <v>12</v>
      </c>
      <c r="P976" s="22" t="s">
        <v>13</v>
      </c>
      <c r="Q976" s="22" t="s">
        <v>19</v>
      </c>
    </row>
    <row r="977" spans="1:17" x14ac:dyDescent="0.3">
      <c r="A977" s="27">
        <v>38</v>
      </c>
      <c r="B977" s="24">
        <v>100</v>
      </c>
      <c r="C977" s="25">
        <f>Sales!$B977*Sales!$A977</f>
        <v>3800</v>
      </c>
      <c r="D977" s="26">
        <v>38187</v>
      </c>
      <c r="E977" s="27" t="s">
        <v>9</v>
      </c>
      <c r="F977" s="27">
        <v>3</v>
      </c>
      <c r="G977" s="27">
        <v>7</v>
      </c>
      <c r="H977" s="27">
        <v>2004</v>
      </c>
      <c r="I977" s="27" t="s">
        <v>112</v>
      </c>
      <c r="J977" s="25">
        <v>104</v>
      </c>
      <c r="K977" s="25">
        <f>Sales!$B977-Sales!$J977</f>
        <v>-4</v>
      </c>
      <c r="L977" s="28">
        <f>(Sales!$J977-Sales!$B977)/Sales!$J977</f>
        <v>3.8461538461538464E-2</v>
      </c>
      <c r="M977" s="28" t="str">
        <f t="shared" si="15"/>
        <v>0%-5%</v>
      </c>
      <c r="N977" s="27" t="s">
        <v>40</v>
      </c>
      <c r="O977" s="27" t="s">
        <v>27</v>
      </c>
      <c r="P977" s="27" t="s">
        <v>28</v>
      </c>
      <c r="Q977" s="27" t="s">
        <v>19</v>
      </c>
    </row>
    <row r="978" spans="1:17" x14ac:dyDescent="0.3">
      <c r="A978" s="22">
        <v>29</v>
      </c>
      <c r="B978" s="19">
        <v>100</v>
      </c>
      <c r="C978" s="20">
        <f>Sales!$B978*Sales!$A978</f>
        <v>2900</v>
      </c>
      <c r="D978" s="21">
        <v>38216</v>
      </c>
      <c r="E978" s="22" t="s">
        <v>9</v>
      </c>
      <c r="F978" s="22">
        <v>3</v>
      </c>
      <c r="G978" s="22">
        <v>8</v>
      </c>
      <c r="H978" s="22">
        <v>2004</v>
      </c>
      <c r="I978" s="22" t="s">
        <v>112</v>
      </c>
      <c r="J978" s="20">
        <v>104</v>
      </c>
      <c r="K978" s="20">
        <f>Sales!$B978-Sales!$J978</f>
        <v>-4</v>
      </c>
      <c r="L978" s="23">
        <f>(Sales!$J978-Sales!$B978)/Sales!$J978</f>
        <v>3.8461538461538464E-2</v>
      </c>
      <c r="M978" s="23" t="str">
        <f t="shared" si="15"/>
        <v>0%-5%</v>
      </c>
      <c r="N978" s="22" t="s">
        <v>60</v>
      </c>
      <c r="O978" s="22" t="s">
        <v>61</v>
      </c>
      <c r="P978" s="22" t="s">
        <v>17</v>
      </c>
      <c r="Q978" s="22" t="s">
        <v>19</v>
      </c>
    </row>
    <row r="979" spans="1:17" x14ac:dyDescent="0.3">
      <c r="A979" s="27">
        <v>23</v>
      </c>
      <c r="B979" s="24">
        <v>100</v>
      </c>
      <c r="C979" s="25">
        <f>Sales!$B979*Sales!$A979</f>
        <v>2300</v>
      </c>
      <c r="D979" s="26">
        <v>38238</v>
      </c>
      <c r="E979" s="27" t="s">
        <v>9</v>
      </c>
      <c r="F979" s="27">
        <v>3</v>
      </c>
      <c r="G979" s="27">
        <v>9</v>
      </c>
      <c r="H979" s="27">
        <v>2004</v>
      </c>
      <c r="I979" s="27" t="s">
        <v>112</v>
      </c>
      <c r="J979" s="25">
        <v>104</v>
      </c>
      <c r="K979" s="25">
        <f>Sales!$B979-Sales!$J979</f>
        <v>-4</v>
      </c>
      <c r="L979" s="28">
        <f>(Sales!$J979-Sales!$B979)/Sales!$J979</f>
        <v>3.8461538461538464E-2</v>
      </c>
      <c r="M979" s="28" t="str">
        <f t="shared" si="15"/>
        <v>0%-5%</v>
      </c>
      <c r="N979" s="27" t="s">
        <v>62</v>
      </c>
      <c r="O979" s="27" t="s">
        <v>49</v>
      </c>
      <c r="P979" s="27" t="s">
        <v>17</v>
      </c>
      <c r="Q979" s="27" t="s">
        <v>14</v>
      </c>
    </row>
    <row r="980" spans="1:17" x14ac:dyDescent="0.3">
      <c r="A980" s="22">
        <v>26</v>
      </c>
      <c r="B980" s="19">
        <v>85.87</v>
      </c>
      <c r="C980" s="20">
        <f>Sales!$B980*Sales!$A980</f>
        <v>2232.62</v>
      </c>
      <c r="D980" s="21">
        <v>38271</v>
      </c>
      <c r="E980" s="22" t="s">
        <v>9</v>
      </c>
      <c r="F980" s="22">
        <v>4</v>
      </c>
      <c r="G980" s="22">
        <v>10</v>
      </c>
      <c r="H980" s="22">
        <v>2004</v>
      </c>
      <c r="I980" s="22" t="s">
        <v>112</v>
      </c>
      <c r="J980" s="20">
        <v>104</v>
      </c>
      <c r="K980" s="20">
        <f>Sales!$B980-Sales!$J980</f>
        <v>-18.129999999999995</v>
      </c>
      <c r="L980" s="23">
        <f>(Sales!$J980-Sales!$B980)/Sales!$J980</f>
        <v>0.17432692307692305</v>
      </c>
      <c r="M980" s="23" t="str">
        <f t="shared" si="15"/>
        <v>15%-20%</v>
      </c>
      <c r="N980" s="22" t="s">
        <v>63</v>
      </c>
      <c r="O980" s="22" t="s">
        <v>16</v>
      </c>
      <c r="P980" s="22" t="s">
        <v>17</v>
      </c>
      <c r="Q980" s="22" t="s">
        <v>14</v>
      </c>
    </row>
    <row r="981" spans="1:17" x14ac:dyDescent="0.3">
      <c r="A981" s="27">
        <v>38</v>
      </c>
      <c r="B981" s="24">
        <v>100</v>
      </c>
      <c r="C981" s="25">
        <f>Sales!$B981*Sales!$A981</f>
        <v>3800</v>
      </c>
      <c r="D981" s="26">
        <v>38281</v>
      </c>
      <c r="E981" s="27" t="s">
        <v>9</v>
      </c>
      <c r="F981" s="27">
        <v>4</v>
      </c>
      <c r="G981" s="27">
        <v>10</v>
      </c>
      <c r="H981" s="27">
        <v>2004</v>
      </c>
      <c r="I981" s="27" t="s">
        <v>112</v>
      </c>
      <c r="J981" s="25">
        <v>104</v>
      </c>
      <c r="K981" s="25">
        <f>Sales!$B981-Sales!$J981</f>
        <v>-4</v>
      </c>
      <c r="L981" s="28">
        <f>(Sales!$J981-Sales!$B981)/Sales!$J981</f>
        <v>3.8461538461538464E-2</v>
      </c>
      <c r="M981" s="28" t="str">
        <f t="shared" si="15"/>
        <v>0%-5%</v>
      </c>
      <c r="N981" s="27" t="s">
        <v>64</v>
      </c>
      <c r="O981" s="27" t="s">
        <v>12</v>
      </c>
      <c r="P981" s="27" t="s">
        <v>13</v>
      </c>
      <c r="Q981" s="27" t="s">
        <v>19</v>
      </c>
    </row>
    <row r="982" spans="1:17" x14ac:dyDescent="0.3">
      <c r="A982" s="22">
        <v>48</v>
      </c>
      <c r="B982" s="19">
        <v>47.04</v>
      </c>
      <c r="C982" s="20">
        <f>Sales!$B982*Sales!$A982</f>
        <v>2257.92</v>
      </c>
      <c r="D982" s="21">
        <v>38295</v>
      </c>
      <c r="E982" s="22" t="s">
        <v>9</v>
      </c>
      <c r="F982" s="22">
        <v>4</v>
      </c>
      <c r="G982" s="22">
        <v>11</v>
      </c>
      <c r="H982" s="22">
        <v>2004</v>
      </c>
      <c r="I982" s="22" t="s">
        <v>112</v>
      </c>
      <c r="J982" s="20">
        <v>104</v>
      </c>
      <c r="K982" s="20">
        <f>Sales!$B982-Sales!$J982</f>
        <v>-56.96</v>
      </c>
      <c r="L982" s="23">
        <f>(Sales!$J982-Sales!$B982)/Sales!$J982</f>
        <v>0.5476923076923077</v>
      </c>
      <c r="M982" s="23" t="str">
        <f t="shared" si="15"/>
        <v>+20%</v>
      </c>
      <c r="N982" s="22" t="s">
        <v>65</v>
      </c>
      <c r="O982" s="22" t="s">
        <v>12</v>
      </c>
      <c r="P982" s="22" t="s">
        <v>13</v>
      </c>
      <c r="Q982" s="22" t="s">
        <v>14</v>
      </c>
    </row>
    <row r="983" spans="1:17" x14ac:dyDescent="0.3">
      <c r="A983" s="27">
        <v>40</v>
      </c>
      <c r="B983" s="24">
        <v>39.799999999999997</v>
      </c>
      <c r="C983" s="25">
        <f>Sales!$B983*Sales!$A983</f>
        <v>1592</v>
      </c>
      <c r="D983" s="26">
        <v>38308</v>
      </c>
      <c r="E983" s="27" t="s">
        <v>9</v>
      </c>
      <c r="F983" s="27">
        <v>4</v>
      </c>
      <c r="G983" s="27">
        <v>11</v>
      </c>
      <c r="H983" s="27">
        <v>2004</v>
      </c>
      <c r="I983" s="27" t="s">
        <v>112</v>
      </c>
      <c r="J983" s="25">
        <v>104</v>
      </c>
      <c r="K983" s="25">
        <f>Sales!$B983-Sales!$J983</f>
        <v>-64.2</v>
      </c>
      <c r="L983" s="28">
        <f>(Sales!$J983-Sales!$B983)/Sales!$J983</f>
        <v>0.61730769230769234</v>
      </c>
      <c r="M983" s="28" t="str">
        <f t="shared" si="15"/>
        <v>+20%</v>
      </c>
      <c r="N983" s="27" t="s">
        <v>102</v>
      </c>
      <c r="O983" s="27" t="s">
        <v>43</v>
      </c>
      <c r="P983" s="27" t="s">
        <v>17</v>
      </c>
      <c r="Q983" s="27" t="s">
        <v>14</v>
      </c>
    </row>
    <row r="984" spans="1:17" x14ac:dyDescent="0.3">
      <c r="A984" s="22">
        <v>45</v>
      </c>
      <c r="B984" s="19">
        <v>100</v>
      </c>
      <c r="C984" s="20">
        <f>Sales!$B984*Sales!$A984</f>
        <v>4500</v>
      </c>
      <c r="D984" s="21">
        <v>38320</v>
      </c>
      <c r="E984" s="22" t="s">
        <v>9</v>
      </c>
      <c r="F984" s="22">
        <v>4</v>
      </c>
      <c r="G984" s="22">
        <v>11</v>
      </c>
      <c r="H984" s="22">
        <v>2004</v>
      </c>
      <c r="I984" s="22" t="s">
        <v>112</v>
      </c>
      <c r="J984" s="20">
        <v>104</v>
      </c>
      <c r="K984" s="20">
        <f>Sales!$B984-Sales!$J984</f>
        <v>-4</v>
      </c>
      <c r="L984" s="23">
        <f>(Sales!$J984-Sales!$B984)/Sales!$J984</f>
        <v>3.8461538461538464E-2</v>
      </c>
      <c r="M984" s="23" t="str">
        <f t="shared" si="15"/>
        <v>0%-5%</v>
      </c>
      <c r="N984" s="22" t="s">
        <v>26</v>
      </c>
      <c r="O984" s="22" t="s">
        <v>27</v>
      </c>
      <c r="P984" s="22" t="s">
        <v>28</v>
      </c>
      <c r="Q984" s="22" t="s">
        <v>19</v>
      </c>
    </row>
    <row r="985" spans="1:17" x14ac:dyDescent="0.3">
      <c r="A985" s="27">
        <v>44</v>
      </c>
      <c r="B985" s="24">
        <v>100</v>
      </c>
      <c r="C985" s="25">
        <f>Sales!$B985*Sales!$A985</f>
        <v>4400</v>
      </c>
      <c r="D985" s="26">
        <v>38331</v>
      </c>
      <c r="E985" s="27" t="s">
        <v>9</v>
      </c>
      <c r="F985" s="27">
        <v>4</v>
      </c>
      <c r="G985" s="27">
        <v>12</v>
      </c>
      <c r="H985" s="27">
        <v>2004</v>
      </c>
      <c r="I985" s="27" t="s">
        <v>112</v>
      </c>
      <c r="J985" s="25">
        <v>104</v>
      </c>
      <c r="K985" s="25">
        <f>Sales!$B985-Sales!$J985</f>
        <v>-4</v>
      </c>
      <c r="L985" s="28">
        <f>(Sales!$J985-Sales!$B985)/Sales!$J985</f>
        <v>3.8461538461538464E-2</v>
      </c>
      <c r="M985" s="28" t="str">
        <f t="shared" si="15"/>
        <v>0%-5%</v>
      </c>
      <c r="N985" s="27" t="s">
        <v>64</v>
      </c>
      <c r="O985" s="27" t="s">
        <v>12</v>
      </c>
      <c r="P985" s="27" t="s">
        <v>13</v>
      </c>
      <c r="Q985" s="27" t="s">
        <v>19</v>
      </c>
    </row>
    <row r="986" spans="1:17" x14ac:dyDescent="0.3">
      <c r="A986" s="22">
        <v>21</v>
      </c>
      <c r="B986" s="19">
        <v>94.22</v>
      </c>
      <c r="C986" s="20">
        <f>Sales!$B986*Sales!$A986</f>
        <v>1978.62</v>
      </c>
      <c r="D986" s="21">
        <v>38372</v>
      </c>
      <c r="E986" s="22" t="s">
        <v>9</v>
      </c>
      <c r="F986" s="22">
        <v>1</v>
      </c>
      <c r="G986" s="22">
        <v>1</v>
      </c>
      <c r="H986" s="22">
        <v>2005</v>
      </c>
      <c r="I986" s="22" t="s">
        <v>112</v>
      </c>
      <c r="J986" s="20">
        <v>104</v>
      </c>
      <c r="K986" s="20">
        <f>Sales!$B986-Sales!$J986</f>
        <v>-9.7800000000000011</v>
      </c>
      <c r="L986" s="23">
        <f>(Sales!$J986-Sales!$B986)/Sales!$J986</f>
        <v>9.4038461538461543E-2</v>
      </c>
      <c r="M986" s="23" t="str">
        <f t="shared" si="15"/>
        <v>5%-10%</v>
      </c>
      <c r="N986" s="22" t="s">
        <v>66</v>
      </c>
      <c r="O986" s="22" t="s">
        <v>12</v>
      </c>
      <c r="P986" s="22" t="s">
        <v>13</v>
      </c>
      <c r="Q986" s="22" t="s">
        <v>14</v>
      </c>
    </row>
    <row r="987" spans="1:17" x14ac:dyDescent="0.3">
      <c r="A987" s="27">
        <v>35</v>
      </c>
      <c r="B987" s="24">
        <v>100</v>
      </c>
      <c r="C987" s="25">
        <f>Sales!$B987*Sales!$A987</f>
        <v>3500</v>
      </c>
      <c r="D987" s="26">
        <v>38400</v>
      </c>
      <c r="E987" s="27" t="s">
        <v>9</v>
      </c>
      <c r="F987" s="27">
        <v>1</v>
      </c>
      <c r="G987" s="27">
        <v>2</v>
      </c>
      <c r="H987" s="27">
        <v>2005</v>
      </c>
      <c r="I987" s="27" t="s">
        <v>112</v>
      </c>
      <c r="J987" s="25">
        <v>104</v>
      </c>
      <c r="K987" s="25">
        <f>Sales!$B987-Sales!$J987</f>
        <v>-4</v>
      </c>
      <c r="L987" s="28">
        <f>(Sales!$J987-Sales!$B987)/Sales!$J987</f>
        <v>3.8461538461538464E-2</v>
      </c>
      <c r="M987" s="28" t="str">
        <f t="shared" si="15"/>
        <v>0%-5%</v>
      </c>
      <c r="N987" s="27" t="s">
        <v>21</v>
      </c>
      <c r="O987" s="27" t="s">
        <v>12</v>
      </c>
      <c r="P987" s="27" t="s">
        <v>13</v>
      </c>
      <c r="Q987" s="27" t="s">
        <v>19</v>
      </c>
    </row>
    <row r="988" spans="1:17" x14ac:dyDescent="0.3">
      <c r="A988" s="22">
        <v>29</v>
      </c>
      <c r="B988" s="19">
        <v>86.92</v>
      </c>
      <c r="C988" s="20">
        <f>Sales!$B988*Sales!$A988</f>
        <v>2520.6799999999998</v>
      </c>
      <c r="D988" s="21">
        <v>38421</v>
      </c>
      <c r="E988" s="22" t="s">
        <v>9</v>
      </c>
      <c r="F988" s="22">
        <v>1</v>
      </c>
      <c r="G988" s="22">
        <v>3</v>
      </c>
      <c r="H988" s="22">
        <v>2005</v>
      </c>
      <c r="I988" s="22" t="s">
        <v>112</v>
      </c>
      <c r="J988" s="20">
        <v>104</v>
      </c>
      <c r="K988" s="20">
        <f>Sales!$B988-Sales!$J988</f>
        <v>-17.079999999999998</v>
      </c>
      <c r="L988" s="23">
        <f>(Sales!$J988-Sales!$B988)/Sales!$J988</f>
        <v>0.16423076923076921</v>
      </c>
      <c r="M988" s="23" t="str">
        <f t="shared" si="15"/>
        <v>15%-20%</v>
      </c>
      <c r="N988" s="22" t="s">
        <v>89</v>
      </c>
      <c r="O988" s="22" t="s">
        <v>38</v>
      </c>
      <c r="P988" s="22" t="s">
        <v>17</v>
      </c>
      <c r="Q988" s="22" t="s">
        <v>14</v>
      </c>
    </row>
    <row r="989" spans="1:17" x14ac:dyDescent="0.3">
      <c r="A989" s="27">
        <v>21</v>
      </c>
      <c r="B989" s="24">
        <v>84.82</v>
      </c>
      <c r="C989" s="25">
        <f>Sales!$B989*Sales!$A989</f>
        <v>1781.2199999999998</v>
      </c>
      <c r="D989" s="26">
        <v>38502</v>
      </c>
      <c r="E989" s="27" t="s">
        <v>69</v>
      </c>
      <c r="F989" s="27">
        <v>2</v>
      </c>
      <c r="G989" s="27">
        <v>5</v>
      </c>
      <c r="H989" s="27">
        <v>2005</v>
      </c>
      <c r="I989" s="27" t="s">
        <v>112</v>
      </c>
      <c r="J989" s="25">
        <v>104</v>
      </c>
      <c r="K989" s="25">
        <f>Sales!$B989-Sales!$J989</f>
        <v>-19.180000000000007</v>
      </c>
      <c r="L989" s="28">
        <f>(Sales!$J989-Sales!$B989)/Sales!$J989</f>
        <v>0.184423076923077</v>
      </c>
      <c r="M989" s="28" t="str">
        <f t="shared" si="15"/>
        <v>15%-20%</v>
      </c>
      <c r="N989" s="27" t="s">
        <v>80</v>
      </c>
      <c r="O989" s="27" t="s">
        <v>81</v>
      </c>
      <c r="P989" s="27" t="s">
        <v>17</v>
      </c>
      <c r="Q989" s="27" t="s">
        <v>14</v>
      </c>
    </row>
    <row r="990" spans="1:17" x14ac:dyDescent="0.3">
      <c r="A990" s="22">
        <v>22</v>
      </c>
      <c r="B990" s="19">
        <v>100</v>
      </c>
      <c r="C990" s="20">
        <f>Sales!$B990*Sales!$A990</f>
        <v>2200</v>
      </c>
      <c r="D990" s="21">
        <v>37663</v>
      </c>
      <c r="E990" s="22" t="s">
        <v>9</v>
      </c>
      <c r="F990" s="22">
        <v>1</v>
      </c>
      <c r="G990" s="22">
        <v>2</v>
      </c>
      <c r="H990" s="22">
        <v>2003</v>
      </c>
      <c r="I990" s="22" t="s">
        <v>112</v>
      </c>
      <c r="J990" s="20">
        <v>136</v>
      </c>
      <c r="K990" s="20">
        <f>Sales!$B990-Sales!$J990</f>
        <v>-36</v>
      </c>
      <c r="L990" s="23">
        <f>(Sales!$J990-Sales!$B990)/Sales!$J990</f>
        <v>0.26470588235294118</v>
      </c>
      <c r="M990" s="23" t="str">
        <f t="shared" si="15"/>
        <v>+20%</v>
      </c>
      <c r="N990" s="22" t="s">
        <v>72</v>
      </c>
      <c r="O990" s="22" t="s">
        <v>73</v>
      </c>
      <c r="P990" s="22" t="s">
        <v>17</v>
      </c>
      <c r="Q990" s="22" t="s">
        <v>19</v>
      </c>
    </row>
    <row r="991" spans="1:17" x14ac:dyDescent="0.3">
      <c r="A991" s="27">
        <v>26</v>
      </c>
      <c r="B991" s="24">
        <v>100</v>
      </c>
      <c r="C991" s="25">
        <f>Sales!$B991*Sales!$A991</f>
        <v>2600</v>
      </c>
      <c r="D991" s="26">
        <v>37727</v>
      </c>
      <c r="E991" s="27" t="s">
        <v>9</v>
      </c>
      <c r="F991" s="27">
        <v>2</v>
      </c>
      <c r="G991" s="27">
        <v>4</v>
      </c>
      <c r="H991" s="27">
        <v>2003</v>
      </c>
      <c r="I991" s="27" t="s">
        <v>112</v>
      </c>
      <c r="J991" s="25">
        <v>136</v>
      </c>
      <c r="K991" s="25">
        <f>Sales!$B991-Sales!$J991</f>
        <v>-36</v>
      </c>
      <c r="L991" s="28">
        <f>(Sales!$J991-Sales!$B991)/Sales!$J991</f>
        <v>0.26470588235294118</v>
      </c>
      <c r="M991" s="28" t="str">
        <f t="shared" si="15"/>
        <v>+20%</v>
      </c>
      <c r="N991" s="27" t="s">
        <v>50</v>
      </c>
      <c r="O991" s="27" t="s">
        <v>50</v>
      </c>
      <c r="P991" s="27" t="s">
        <v>28</v>
      </c>
      <c r="Q991" s="27" t="s">
        <v>19</v>
      </c>
    </row>
    <row r="992" spans="1:17" x14ac:dyDescent="0.3">
      <c r="A992" s="22">
        <v>41</v>
      </c>
      <c r="B992" s="19">
        <v>100</v>
      </c>
      <c r="C992" s="20">
        <f>Sales!$B992*Sales!$A992</f>
        <v>4100</v>
      </c>
      <c r="D992" s="21">
        <v>37778</v>
      </c>
      <c r="E992" s="22" t="s">
        <v>9</v>
      </c>
      <c r="F992" s="22">
        <v>2</v>
      </c>
      <c r="G992" s="22">
        <v>6</v>
      </c>
      <c r="H992" s="22">
        <v>2003</v>
      </c>
      <c r="I992" s="22" t="s">
        <v>112</v>
      </c>
      <c r="J992" s="20">
        <v>136</v>
      </c>
      <c r="K992" s="20">
        <f>Sales!$B992-Sales!$J992</f>
        <v>-36</v>
      </c>
      <c r="L992" s="23">
        <f>(Sales!$J992-Sales!$B992)/Sales!$J992</f>
        <v>0.26470588235294118</v>
      </c>
      <c r="M992" s="23" t="str">
        <f t="shared" si="15"/>
        <v>+20%</v>
      </c>
      <c r="N992" s="22" t="s">
        <v>45</v>
      </c>
      <c r="O992" s="22" t="s">
        <v>46</v>
      </c>
      <c r="P992" s="22" t="s">
        <v>17</v>
      </c>
      <c r="Q992" s="22" t="s">
        <v>19</v>
      </c>
    </row>
    <row r="993" spans="1:17" x14ac:dyDescent="0.3">
      <c r="A993" s="27">
        <v>47</v>
      </c>
      <c r="B993" s="24">
        <v>100</v>
      </c>
      <c r="C993" s="25">
        <f>Sales!$B993*Sales!$A993</f>
        <v>4700</v>
      </c>
      <c r="D993" s="26">
        <v>37841</v>
      </c>
      <c r="E993" s="27" t="s">
        <v>9</v>
      </c>
      <c r="F993" s="27">
        <v>3</v>
      </c>
      <c r="G993" s="27">
        <v>8</v>
      </c>
      <c r="H993" s="27">
        <v>2003</v>
      </c>
      <c r="I993" s="27" t="s">
        <v>112</v>
      </c>
      <c r="J993" s="25">
        <v>136</v>
      </c>
      <c r="K993" s="25">
        <f>Sales!$B993-Sales!$J993</f>
        <v>-36</v>
      </c>
      <c r="L993" s="28">
        <f>(Sales!$J993-Sales!$B993)/Sales!$J993</f>
        <v>0.26470588235294118</v>
      </c>
      <c r="M993" s="28" t="str">
        <f t="shared" si="15"/>
        <v>+20%</v>
      </c>
      <c r="N993" s="27" t="s">
        <v>64</v>
      </c>
      <c r="O993" s="27" t="s">
        <v>12</v>
      </c>
      <c r="P993" s="27" t="s">
        <v>13</v>
      </c>
      <c r="Q993" s="27" t="s">
        <v>19</v>
      </c>
    </row>
    <row r="994" spans="1:17" x14ac:dyDescent="0.3">
      <c r="A994" s="22">
        <v>31</v>
      </c>
      <c r="B994" s="19">
        <v>100</v>
      </c>
      <c r="C994" s="20">
        <f>Sales!$B994*Sales!$A994</f>
        <v>3100</v>
      </c>
      <c r="D994" s="21">
        <v>37892</v>
      </c>
      <c r="E994" s="22" t="s">
        <v>9</v>
      </c>
      <c r="F994" s="22">
        <v>3</v>
      </c>
      <c r="G994" s="22">
        <v>9</v>
      </c>
      <c r="H994" s="22">
        <v>2003</v>
      </c>
      <c r="I994" s="22" t="s">
        <v>112</v>
      </c>
      <c r="J994" s="20">
        <v>136</v>
      </c>
      <c r="K994" s="20">
        <f>Sales!$B994-Sales!$J994</f>
        <v>-36</v>
      </c>
      <c r="L994" s="23">
        <f>(Sales!$J994-Sales!$B994)/Sales!$J994</f>
        <v>0.26470588235294118</v>
      </c>
      <c r="M994" s="23" t="str">
        <f t="shared" si="15"/>
        <v>+20%</v>
      </c>
      <c r="N994" s="22" t="s">
        <v>45</v>
      </c>
      <c r="O994" s="22" t="s">
        <v>46</v>
      </c>
      <c r="P994" s="22" t="s">
        <v>17</v>
      </c>
      <c r="Q994" s="22" t="s">
        <v>19</v>
      </c>
    </row>
    <row r="995" spans="1:17" x14ac:dyDescent="0.3">
      <c r="A995" s="27">
        <v>43</v>
      </c>
      <c r="B995" s="24">
        <v>100</v>
      </c>
      <c r="C995" s="25">
        <f>Sales!$B995*Sales!$A995</f>
        <v>4300</v>
      </c>
      <c r="D995" s="26">
        <v>37915</v>
      </c>
      <c r="E995" s="27" t="s">
        <v>9</v>
      </c>
      <c r="F995" s="27">
        <v>4</v>
      </c>
      <c r="G995" s="27">
        <v>10</v>
      </c>
      <c r="H995" s="27">
        <v>2003</v>
      </c>
      <c r="I995" s="27" t="s">
        <v>112</v>
      </c>
      <c r="J995" s="25">
        <v>136</v>
      </c>
      <c r="K995" s="25">
        <f>Sales!$B995-Sales!$J995</f>
        <v>-36</v>
      </c>
      <c r="L995" s="28">
        <f>(Sales!$J995-Sales!$B995)/Sales!$J995</f>
        <v>0.26470588235294118</v>
      </c>
      <c r="M995" s="28" t="str">
        <f t="shared" si="15"/>
        <v>+20%</v>
      </c>
      <c r="N995" s="27" t="s">
        <v>41</v>
      </c>
      <c r="O995" s="27" t="s">
        <v>12</v>
      </c>
      <c r="P995" s="27" t="s">
        <v>13</v>
      </c>
      <c r="Q995" s="27" t="s">
        <v>19</v>
      </c>
    </row>
    <row r="996" spans="1:17" x14ac:dyDescent="0.3">
      <c r="A996" s="22">
        <v>23</v>
      </c>
      <c r="B996" s="19">
        <v>100</v>
      </c>
      <c r="C996" s="20">
        <f>Sales!$B996*Sales!$A996</f>
        <v>2300</v>
      </c>
      <c r="D996" s="21">
        <v>37932</v>
      </c>
      <c r="E996" s="22" t="s">
        <v>9</v>
      </c>
      <c r="F996" s="22">
        <v>4</v>
      </c>
      <c r="G996" s="22">
        <v>11</v>
      </c>
      <c r="H996" s="22">
        <v>2003</v>
      </c>
      <c r="I996" s="22" t="s">
        <v>112</v>
      </c>
      <c r="J996" s="20">
        <v>136</v>
      </c>
      <c r="K996" s="20">
        <f>Sales!$B996-Sales!$J996</f>
        <v>-36</v>
      </c>
      <c r="L996" s="23">
        <f>(Sales!$J996-Sales!$B996)/Sales!$J996</f>
        <v>0.26470588235294118</v>
      </c>
      <c r="M996" s="23" t="str">
        <f t="shared" si="15"/>
        <v>+20%</v>
      </c>
      <c r="N996" s="22" t="s">
        <v>45</v>
      </c>
      <c r="O996" s="22" t="s">
        <v>46</v>
      </c>
      <c r="P996" s="22" t="s">
        <v>17</v>
      </c>
      <c r="Q996" s="22" t="s">
        <v>19</v>
      </c>
    </row>
    <row r="997" spans="1:17" x14ac:dyDescent="0.3">
      <c r="A997" s="27">
        <v>28</v>
      </c>
      <c r="B997" s="24">
        <v>100</v>
      </c>
      <c r="C997" s="25">
        <f>Sales!$B997*Sales!$A997</f>
        <v>2800</v>
      </c>
      <c r="D997" s="26">
        <v>37939</v>
      </c>
      <c r="E997" s="27" t="s">
        <v>9</v>
      </c>
      <c r="F997" s="27">
        <v>4</v>
      </c>
      <c r="G997" s="27">
        <v>11</v>
      </c>
      <c r="H997" s="27">
        <v>2003</v>
      </c>
      <c r="I997" s="27" t="s">
        <v>112</v>
      </c>
      <c r="J997" s="25">
        <v>136</v>
      </c>
      <c r="K997" s="25">
        <f>Sales!$B997-Sales!$J997</f>
        <v>-36</v>
      </c>
      <c r="L997" s="28">
        <f>(Sales!$J997-Sales!$B997)/Sales!$J997</f>
        <v>0.26470588235294118</v>
      </c>
      <c r="M997" s="28" t="str">
        <f t="shared" si="15"/>
        <v>+20%</v>
      </c>
      <c r="N997" s="27" t="s">
        <v>41</v>
      </c>
      <c r="O997" s="27" t="s">
        <v>12</v>
      </c>
      <c r="P997" s="27" t="s">
        <v>13</v>
      </c>
      <c r="Q997" s="27" t="s">
        <v>19</v>
      </c>
    </row>
    <row r="998" spans="1:17" x14ac:dyDescent="0.3">
      <c r="A998" s="22">
        <v>49</v>
      </c>
      <c r="B998" s="19">
        <v>100</v>
      </c>
      <c r="C998" s="20">
        <f>Sales!$B998*Sales!$A998</f>
        <v>4900</v>
      </c>
      <c r="D998" s="21">
        <v>37951</v>
      </c>
      <c r="E998" s="22" t="s">
        <v>9</v>
      </c>
      <c r="F998" s="22">
        <v>4</v>
      </c>
      <c r="G998" s="22">
        <v>11</v>
      </c>
      <c r="H998" s="22">
        <v>2003</v>
      </c>
      <c r="I998" s="22" t="s">
        <v>112</v>
      </c>
      <c r="J998" s="20">
        <v>136</v>
      </c>
      <c r="K998" s="20">
        <f>Sales!$B998-Sales!$J998</f>
        <v>-36</v>
      </c>
      <c r="L998" s="23">
        <f>(Sales!$J998-Sales!$B998)/Sales!$J998</f>
        <v>0.26470588235294118</v>
      </c>
      <c r="M998" s="23" t="str">
        <f t="shared" si="15"/>
        <v>+20%</v>
      </c>
      <c r="N998" s="22" t="s">
        <v>58</v>
      </c>
      <c r="O998" s="22" t="s">
        <v>12</v>
      </c>
      <c r="P998" s="22" t="s">
        <v>13</v>
      </c>
      <c r="Q998" s="22" t="s">
        <v>19</v>
      </c>
    </row>
    <row r="999" spans="1:17" x14ac:dyDescent="0.3">
      <c r="A999" s="27">
        <v>24</v>
      </c>
      <c r="B999" s="24">
        <v>100</v>
      </c>
      <c r="C999" s="25">
        <f>Sales!$B999*Sales!$A999</f>
        <v>2400</v>
      </c>
      <c r="D999" s="26">
        <v>37988</v>
      </c>
      <c r="E999" s="27" t="s">
        <v>9</v>
      </c>
      <c r="F999" s="27">
        <v>1</v>
      </c>
      <c r="G999" s="27">
        <v>1</v>
      </c>
      <c r="H999" s="27">
        <v>2004</v>
      </c>
      <c r="I999" s="27" t="s">
        <v>112</v>
      </c>
      <c r="J999" s="25">
        <v>136</v>
      </c>
      <c r="K999" s="25">
        <f>Sales!$B999-Sales!$J999</f>
        <v>-36</v>
      </c>
      <c r="L999" s="28">
        <f>(Sales!$J999-Sales!$B999)/Sales!$J999</f>
        <v>0.26470588235294118</v>
      </c>
      <c r="M999" s="28" t="str">
        <f t="shared" si="15"/>
        <v>+20%</v>
      </c>
      <c r="N999" s="27" t="s">
        <v>54</v>
      </c>
      <c r="O999" s="27" t="s">
        <v>16</v>
      </c>
      <c r="P999" s="27" t="s">
        <v>17</v>
      </c>
      <c r="Q999" s="27" t="s">
        <v>14</v>
      </c>
    </row>
    <row r="1000" spans="1:17" x14ac:dyDescent="0.3">
      <c r="A1000" s="22">
        <v>33</v>
      </c>
      <c r="B1000" s="19">
        <v>100</v>
      </c>
      <c r="C1000" s="20">
        <f>Sales!$B1000*Sales!$A1000</f>
        <v>3300</v>
      </c>
      <c r="D1000" s="21">
        <v>38035</v>
      </c>
      <c r="E1000" s="22" t="s">
        <v>9</v>
      </c>
      <c r="F1000" s="22">
        <v>1</v>
      </c>
      <c r="G1000" s="22">
        <v>2</v>
      </c>
      <c r="H1000" s="22">
        <v>2004</v>
      </c>
      <c r="I1000" s="22" t="s">
        <v>112</v>
      </c>
      <c r="J1000" s="20">
        <v>136</v>
      </c>
      <c r="K1000" s="20">
        <f>Sales!$B1000-Sales!$J1000</f>
        <v>-36</v>
      </c>
      <c r="L1000" s="23">
        <f>(Sales!$J1000-Sales!$B1000)/Sales!$J1000</f>
        <v>0.26470588235294118</v>
      </c>
      <c r="M1000" s="23" t="str">
        <f t="shared" si="15"/>
        <v>+20%</v>
      </c>
      <c r="N1000" s="22" t="s">
        <v>80</v>
      </c>
      <c r="O1000" s="22" t="s">
        <v>81</v>
      </c>
      <c r="P1000" s="22" t="s">
        <v>17</v>
      </c>
      <c r="Q1000" s="22" t="s">
        <v>19</v>
      </c>
    </row>
    <row r="1001" spans="1:17" x14ac:dyDescent="0.3">
      <c r="A1001" s="27">
        <v>22</v>
      </c>
      <c r="B1001" s="24">
        <v>100</v>
      </c>
      <c r="C1001" s="25">
        <f>Sales!$B1001*Sales!$A1001</f>
        <v>2200</v>
      </c>
      <c r="D1001" s="26">
        <v>38066</v>
      </c>
      <c r="E1001" s="27" t="s">
        <v>9</v>
      </c>
      <c r="F1001" s="27">
        <v>1</v>
      </c>
      <c r="G1001" s="27">
        <v>3</v>
      </c>
      <c r="H1001" s="27">
        <v>2004</v>
      </c>
      <c r="I1001" s="27" t="s">
        <v>112</v>
      </c>
      <c r="J1001" s="25">
        <v>136</v>
      </c>
      <c r="K1001" s="25">
        <f>Sales!$B1001-Sales!$J1001</f>
        <v>-36</v>
      </c>
      <c r="L1001" s="28">
        <f>(Sales!$J1001-Sales!$B1001)/Sales!$J1001</f>
        <v>0.26470588235294118</v>
      </c>
      <c r="M1001" s="28" t="str">
        <f t="shared" si="15"/>
        <v>+20%</v>
      </c>
      <c r="N1001" s="27" t="s">
        <v>84</v>
      </c>
      <c r="O1001" s="27" t="s">
        <v>43</v>
      </c>
      <c r="P1001" s="27" t="s">
        <v>17</v>
      </c>
      <c r="Q1001" s="27" t="s">
        <v>19</v>
      </c>
    </row>
    <row r="1002" spans="1:17" x14ac:dyDescent="0.3">
      <c r="A1002" s="22">
        <v>32</v>
      </c>
      <c r="B1002" s="19">
        <v>100</v>
      </c>
      <c r="C1002" s="20">
        <f>Sales!$B1002*Sales!$A1002</f>
        <v>3200</v>
      </c>
      <c r="D1002" s="21">
        <v>38114</v>
      </c>
      <c r="E1002" s="22" t="s">
        <v>75</v>
      </c>
      <c r="F1002" s="22">
        <v>2</v>
      </c>
      <c r="G1002" s="22">
        <v>5</v>
      </c>
      <c r="H1002" s="22">
        <v>2004</v>
      </c>
      <c r="I1002" s="22" t="s">
        <v>112</v>
      </c>
      <c r="J1002" s="20">
        <v>136</v>
      </c>
      <c r="K1002" s="20">
        <f>Sales!$B1002-Sales!$J1002</f>
        <v>-36</v>
      </c>
      <c r="L1002" s="23">
        <f>(Sales!$J1002-Sales!$B1002)/Sales!$J1002</f>
        <v>0.26470588235294118</v>
      </c>
      <c r="M1002" s="23" t="str">
        <f t="shared" si="15"/>
        <v>+20%</v>
      </c>
      <c r="N1002" s="22" t="s">
        <v>11</v>
      </c>
      <c r="O1002" s="22" t="s">
        <v>12</v>
      </c>
      <c r="P1002" s="22" t="s">
        <v>13</v>
      </c>
      <c r="Q1002" s="22" t="s">
        <v>19</v>
      </c>
    </row>
    <row r="1003" spans="1:17" x14ac:dyDescent="0.3">
      <c r="A1003" s="27">
        <v>40</v>
      </c>
      <c r="B1003" s="24">
        <v>100</v>
      </c>
      <c r="C1003" s="25">
        <f>Sales!$B1003*Sales!$A1003</f>
        <v>4000</v>
      </c>
      <c r="D1003" s="26">
        <v>38189</v>
      </c>
      <c r="E1003" s="27" t="s">
        <v>9</v>
      </c>
      <c r="F1003" s="27">
        <v>3</v>
      </c>
      <c r="G1003" s="27">
        <v>7</v>
      </c>
      <c r="H1003" s="27">
        <v>2004</v>
      </c>
      <c r="I1003" s="27" t="s">
        <v>112</v>
      </c>
      <c r="J1003" s="25">
        <v>136</v>
      </c>
      <c r="K1003" s="25">
        <f>Sales!$B1003-Sales!$J1003</f>
        <v>-36</v>
      </c>
      <c r="L1003" s="28">
        <f>(Sales!$J1003-Sales!$B1003)/Sales!$J1003</f>
        <v>0.26470588235294118</v>
      </c>
      <c r="M1003" s="28" t="str">
        <f t="shared" si="15"/>
        <v>+20%</v>
      </c>
      <c r="N1003" s="27" t="s">
        <v>80</v>
      </c>
      <c r="O1003" s="27" t="s">
        <v>81</v>
      </c>
      <c r="P1003" s="27" t="s">
        <v>17</v>
      </c>
      <c r="Q1003" s="27" t="s">
        <v>19</v>
      </c>
    </row>
    <row r="1004" spans="1:17" x14ac:dyDescent="0.3">
      <c r="A1004" s="22">
        <v>43</v>
      </c>
      <c r="B1004" s="19">
        <v>100</v>
      </c>
      <c r="C1004" s="20">
        <f>Sales!$B1004*Sales!$A1004</f>
        <v>4300</v>
      </c>
      <c r="D1004" s="21">
        <v>38219</v>
      </c>
      <c r="E1004" s="22" t="s">
        <v>9</v>
      </c>
      <c r="F1004" s="22">
        <v>3</v>
      </c>
      <c r="G1004" s="22">
        <v>8</v>
      </c>
      <c r="H1004" s="22">
        <v>2004</v>
      </c>
      <c r="I1004" s="22" t="s">
        <v>112</v>
      </c>
      <c r="J1004" s="20">
        <v>136</v>
      </c>
      <c r="K1004" s="20">
        <f>Sales!$B1004-Sales!$J1004</f>
        <v>-36</v>
      </c>
      <c r="L1004" s="23">
        <f>(Sales!$J1004-Sales!$B1004)/Sales!$J1004</f>
        <v>0.26470588235294118</v>
      </c>
      <c r="M1004" s="23" t="str">
        <f t="shared" si="15"/>
        <v>+20%</v>
      </c>
      <c r="N1004" s="22" t="s">
        <v>64</v>
      </c>
      <c r="O1004" s="22" t="s">
        <v>12</v>
      </c>
      <c r="P1004" s="22" t="s">
        <v>13</v>
      </c>
      <c r="Q1004" s="22" t="s">
        <v>19</v>
      </c>
    </row>
    <row r="1005" spans="1:17" x14ac:dyDescent="0.3">
      <c r="A1005" s="27">
        <v>24</v>
      </c>
      <c r="B1005" s="24">
        <v>100</v>
      </c>
      <c r="C1005" s="25">
        <f>Sales!$B1005*Sales!$A1005</f>
        <v>2400</v>
      </c>
      <c r="D1005" s="26">
        <v>38239</v>
      </c>
      <c r="E1005" s="27" t="s">
        <v>9</v>
      </c>
      <c r="F1005" s="27">
        <v>3</v>
      </c>
      <c r="G1005" s="27">
        <v>9</v>
      </c>
      <c r="H1005" s="27">
        <v>2004</v>
      </c>
      <c r="I1005" s="27" t="s">
        <v>112</v>
      </c>
      <c r="J1005" s="25">
        <v>136</v>
      </c>
      <c r="K1005" s="25">
        <f>Sales!$B1005-Sales!$J1005</f>
        <v>-36</v>
      </c>
      <c r="L1005" s="28">
        <f>(Sales!$J1005-Sales!$B1005)/Sales!$J1005</f>
        <v>0.26470588235294118</v>
      </c>
      <c r="M1005" s="28" t="str">
        <f t="shared" si="15"/>
        <v>+20%</v>
      </c>
      <c r="N1005" s="27" t="s">
        <v>60</v>
      </c>
      <c r="O1005" s="27" t="s">
        <v>61</v>
      </c>
      <c r="P1005" s="27" t="s">
        <v>17</v>
      </c>
      <c r="Q1005" s="27" t="s">
        <v>14</v>
      </c>
    </row>
    <row r="1006" spans="1:17" x14ac:dyDescent="0.3">
      <c r="A1006" s="22">
        <v>32</v>
      </c>
      <c r="B1006" s="19">
        <v>100</v>
      </c>
      <c r="C1006" s="20">
        <f>Sales!$B1006*Sales!$A1006</f>
        <v>3200</v>
      </c>
      <c r="D1006" s="21">
        <v>38274</v>
      </c>
      <c r="E1006" s="22" t="s">
        <v>9</v>
      </c>
      <c r="F1006" s="22">
        <v>4</v>
      </c>
      <c r="G1006" s="22">
        <v>10</v>
      </c>
      <c r="H1006" s="22">
        <v>2004</v>
      </c>
      <c r="I1006" s="22" t="s">
        <v>112</v>
      </c>
      <c r="J1006" s="20">
        <v>136</v>
      </c>
      <c r="K1006" s="20">
        <f>Sales!$B1006-Sales!$J1006</f>
        <v>-36</v>
      </c>
      <c r="L1006" s="23">
        <f>(Sales!$J1006-Sales!$B1006)/Sales!$J1006</f>
        <v>0.26470588235294118</v>
      </c>
      <c r="M1006" s="23" t="str">
        <f t="shared" si="15"/>
        <v>+20%</v>
      </c>
      <c r="N1006" s="22" t="s">
        <v>102</v>
      </c>
      <c r="O1006" s="22" t="s">
        <v>43</v>
      </c>
      <c r="P1006" s="22" t="s">
        <v>17</v>
      </c>
      <c r="Q1006" s="22" t="s">
        <v>19</v>
      </c>
    </row>
    <row r="1007" spans="1:17" x14ac:dyDescent="0.3">
      <c r="A1007" s="27">
        <v>20</v>
      </c>
      <c r="B1007" s="24">
        <v>100</v>
      </c>
      <c r="C1007" s="25">
        <f>Sales!$B1007*Sales!$A1007</f>
        <v>2000</v>
      </c>
      <c r="D1007" s="26">
        <v>38282</v>
      </c>
      <c r="E1007" s="27" t="s">
        <v>9</v>
      </c>
      <c r="F1007" s="27">
        <v>4</v>
      </c>
      <c r="G1007" s="27">
        <v>10</v>
      </c>
      <c r="H1007" s="27">
        <v>2004</v>
      </c>
      <c r="I1007" s="27" t="s">
        <v>112</v>
      </c>
      <c r="J1007" s="25">
        <v>136</v>
      </c>
      <c r="K1007" s="25">
        <f>Sales!$B1007-Sales!$J1007</f>
        <v>-36</v>
      </c>
      <c r="L1007" s="28">
        <f>(Sales!$J1007-Sales!$B1007)/Sales!$J1007</f>
        <v>0.26470588235294118</v>
      </c>
      <c r="M1007" s="28" t="str">
        <f t="shared" si="15"/>
        <v>+20%</v>
      </c>
      <c r="N1007" s="27" t="s">
        <v>103</v>
      </c>
      <c r="O1007" s="27" t="s">
        <v>73</v>
      </c>
      <c r="P1007" s="27" t="s">
        <v>17</v>
      </c>
      <c r="Q1007" s="27" t="s">
        <v>14</v>
      </c>
    </row>
    <row r="1008" spans="1:17" x14ac:dyDescent="0.3">
      <c r="A1008" s="22">
        <v>24</v>
      </c>
      <c r="B1008" s="19">
        <v>69.12</v>
      </c>
      <c r="C1008" s="20">
        <f>Sales!$B1008*Sales!$A1008</f>
        <v>1658.88</v>
      </c>
      <c r="D1008" s="21">
        <v>38296</v>
      </c>
      <c r="E1008" s="22" t="s">
        <v>9</v>
      </c>
      <c r="F1008" s="22">
        <v>4</v>
      </c>
      <c r="G1008" s="22">
        <v>11</v>
      </c>
      <c r="H1008" s="22">
        <v>2004</v>
      </c>
      <c r="I1008" s="22" t="s">
        <v>112</v>
      </c>
      <c r="J1008" s="20">
        <v>136</v>
      </c>
      <c r="K1008" s="20">
        <f>Sales!$B1008-Sales!$J1008</f>
        <v>-66.88</v>
      </c>
      <c r="L1008" s="23">
        <f>(Sales!$J1008-Sales!$B1008)/Sales!$J1008</f>
        <v>0.49176470588235288</v>
      </c>
      <c r="M1008" s="23" t="str">
        <f t="shared" si="15"/>
        <v>+20%</v>
      </c>
      <c r="N1008" s="22" t="s">
        <v>35</v>
      </c>
      <c r="O1008" s="22" t="s">
        <v>25</v>
      </c>
      <c r="P1008" s="22" t="s">
        <v>17</v>
      </c>
      <c r="Q1008" s="22" t="s">
        <v>14</v>
      </c>
    </row>
    <row r="1009" spans="1:17" x14ac:dyDescent="0.3">
      <c r="A1009" s="27">
        <v>48</v>
      </c>
      <c r="B1009" s="24">
        <v>100</v>
      </c>
      <c r="C1009" s="25">
        <f>Sales!$B1009*Sales!$A1009</f>
        <v>4800</v>
      </c>
      <c r="D1009" s="26">
        <v>38311</v>
      </c>
      <c r="E1009" s="27" t="s">
        <v>9</v>
      </c>
      <c r="F1009" s="27">
        <v>4</v>
      </c>
      <c r="G1009" s="27">
        <v>11</v>
      </c>
      <c r="H1009" s="27">
        <v>2004</v>
      </c>
      <c r="I1009" s="27" t="s">
        <v>112</v>
      </c>
      <c r="J1009" s="25">
        <v>136</v>
      </c>
      <c r="K1009" s="25">
        <f>Sales!$B1009-Sales!$J1009</f>
        <v>-36</v>
      </c>
      <c r="L1009" s="28">
        <f>(Sales!$J1009-Sales!$B1009)/Sales!$J1009</f>
        <v>0.26470588235294118</v>
      </c>
      <c r="M1009" s="28" t="str">
        <f t="shared" si="15"/>
        <v>+20%</v>
      </c>
      <c r="N1009" s="27" t="s">
        <v>18</v>
      </c>
      <c r="O1009" s="27" t="s">
        <v>16</v>
      </c>
      <c r="P1009" s="27" t="s">
        <v>17</v>
      </c>
      <c r="Q1009" s="27" t="s">
        <v>19</v>
      </c>
    </row>
    <row r="1010" spans="1:17" x14ac:dyDescent="0.3">
      <c r="A1010" s="22">
        <v>44</v>
      </c>
      <c r="B1010" s="19">
        <v>100</v>
      </c>
      <c r="C1010" s="20">
        <f>Sales!$B1010*Sales!$A1010</f>
        <v>4400</v>
      </c>
      <c r="D1010" s="21">
        <v>38323</v>
      </c>
      <c r="E1010" s="22" t="s">
        <v>9</v>
      </c>
      <c r="F1010" s="22">
        <v>4</v>
      </c>
      <c r="G1010" s="22">
        <v>12</v>
      </c>
      <c r="H1010" s="22">
        <v>2004</v>
      </c>
      <c r="I1010" s="22" t="s">
        <v>112</v>
      </c>
      <c r="J1010" s="20">
        <v>136</v>
      </c>
      <c r="K1010" s="20">
        <f>Sales!$B1010-Sales!$J1010</f>
        <v>-36</v>
      </c>
      <c r="L1010" s="23">
        <f>(Sales!$J1010-Sales!$B1010)/Sales!$J1010</f>
        <v>0.26470588235294118</v>
      </c>
      <c r="M1010" s="23" t="str">
        <f t="shared" si="15"/>
        <v>+20%</v>
      </c>
      <c r="N1010" s="22" t="s">
        <v>45</v>
      </c>
      <c r="O1010" s="22" t="s">
        <v>46</v>
      </c>
      <c r="P1010" s="22" t="s">
        <v>17</v>
      </c>
      <c r="Q1010" s="22" t="s">
        <v>19</v>
      </c>
    </row>
    <row r="1011" spans="1:17" x14ac:dyDescent="0.3">
      <c r="A1011" s="27">
        <v>28</v>
      </c>
      <c r="B1011" s="24">
        <v>100</v>
      </c>
      <c r="C1011" s="25">
        <f>Sales!$B1011*Sales!$A1011</f>
        <v>2800</v>
      </c>
      <c r="D1011" s="26">
        <v>38378</v>
      </c>
      <c r="E1011" s="27" t="s">
        <v>9</v>
      </c>
      <c r="F1011" s="27">
        <v>1</v>
      </c>
      <c r="G1011" s="27">
        <v>1</v>
      </c>
      <c r="H1011" s="27">
        <v>2005</v>
      </c>
      <c r="I1011" s="27" t="s">
        <v>112</v>
      </c>
      <c r="J1011" s="25">
        <v>136</v>
      </c>
      <c r="K1011" s="25">
        <f>Sales!$B1011-Sales!$J1011</f>
        <v>-36</v>
      </c>
      <c r="L1011" s="28">
        <f>(Sales!$J1011-Sales!$B1011)/Sales!$J1011</f>
        <v>0.26470588235294118</v>
      </c>
      <c r="M1011" s="28" t="str">
        <f t="shared" si="15"/>
        <v>+20%</v>
      </c>
      <c r="N1011" s="27" t="s">
        <v>59</v>
      </c>
      <c r="O1011" s="27" t="s">
        <v>51</v>
      </c>
      <c r="P1011" s="27" t="s">
        <v>51</v>
      </c>
      <c r="Q1011" s="27" t="s">
        <v>19</v>
      </c>
    </row>
    <row r="1012" spans="1:17" x14ac:dyDescent="0.3">
      <c r="A1012" s="22">
        <v>24</v>
      </c>
      <c r="B1012" s="19">
        <v>61.52</v>
      </c>
      <c r="C1012" s="20">
        <f>Sales!$B1012*Sales!$A1012</f>
        <v>1476.48</v>
      </c>
      <c r="D1012" s="21">
        <v>38405</v>
      </c>
      <c r="E1012" s="22" t="s">
        <v>9</v>
      </c>
      <c r="F1012" s="22">
        <v>1</v>
      </c>
      <c r="G1012" s="22">
        <v>2</v>
      </c>
      <c r="H1012" s="22">
        <v>2005</v>
      </c>
      <c r="I1012" s="22" t="s">
        <v>112</v>
      </c>
      <c r="J1012" s="20">
        <v>136</v>
      </c>
      <c r="K1012" s="20">
        <f>Sales!$B1012-Sales!$J1012</f>
        <v>-74.47999999999999</v>
      </c>
      <c r="L1012" s="23">
        <f>(Sales!$J1012-Sales!$B1012)/Sales!$J1012</f>
        <v>0.54764705882352938</v>
      </c>
      <c r="M1012" s="23" t="str">
        <f t="shared" si="15"/>
        <v>+20%</v>
      </c>
      <c r="N1012" s="22" t="s">
        <v>45</v>
      </c>
      <c r="O1012" s="22" t="s">
        <v>46</v>
      </c>
      <c r="P1012" s="22" t="s">
        <v>17</v>
      </c>
      <c r="Q1012" s="22" t="s">
        <v>14</v>
      </c>
    </row>
    <row r="1013" spans="1:17" x14ac:dyDescent="0.3">
      <c r="A1013" s="27">
        <v>33</v>
      </c>
      <c r="B1013" s="24">
        <v>100</v>
      </c>
      <c r="C1013" s="25">
        <f>Sales!$B1013*Sales!$A1013</f>
        <v>3300</v>
      </c>
      <c r="D1013" s="26">
        <v>38434</v>
      </c>
      <c r="E1013" s="27" t="s">
        <v>9</v>
      </c>
      <c r="F1013" s="27">
        <v>1</v>
      </c>
      <c r="G1013" s="27">
        <v>3</v>
      </c>
      <c r="H1013" s="27">
        <v>2005</v>
      </c>
      <c r="I1013" s="27" t="s">
        <v>112</v>
      </c>
      <c r="J1013" s="25">
        <v>136</v>
      </c>
      <c r="K1013" s="25">
        <f>Sales!$B1013-Sales!$J1013</f>
        <v>-36</v>
      </c>
      <c r="L1013" s="28">
        <f>(Sales!$J1013-Sales!$B1013)/Sales!$J1013</f>
        <v>0.26470588235294118</v>
      </c>
      <c r="M1013" s="28" t="str">
        <f t="shared" si="15"/>
        <v>+20%</v>
      </c>
      <c r="N1013" s="27" t="s">
        <v>64</v>
      </c>
      <c r="O1013" s="27" t="s">
        <v>12</v>
      </c>
      <c r="P1013" s="27" t="s">
        <v>13</v>
      </c>
      <c r="Q1013" s="27" t="s">
        <v>19</v>
      </c>
    </row>
    <row r="1014" spans="1:17" x14ac:dyDescent="0.3">
      <c r="A1014" s="22">
        <v>41</v>
      </c>
      <c r="B1014" s="19">
        <v>100</v>
      </c>
      <c r="C1014" s="20">
        <f>Sales!$B1014*Sales!$A1014</f>
        <v>4100</v>
      </c>
      <c r="D1014" s="21">
        <v>38478</v>
      </c>
      <c r="E1014" s="22" t="s">
        <v>87</v>
      </c>
      <c r="F1014" s="22">
        <v>2</v>
      </c>
      <c r="G1014" s="22">
        <v>5</v>
      </c>
      <c r="H1014" s="22">
        <v>2005</v>
      </c>
      <c r="I1014" s="22" t="s">
        <v>112</v>
      </c>
      <c r="J1014" s="20">
        <v>136</v>
      </c>
      <c r="K1014" s="20">
        <f>Sales!$B1014-Sales!$J1014</f>
        <v>-36</v>
      </c>
      <c r="L1014" s="23">
        <f>(Sales!$J1014-Sales!$B1014)/Sales!$J1014</f>
        <v>0.26470588235294118</v>
      </c>
      <c r="M1014" s="23" t="str">
        <f t="shared" si="15"/>
        <v>+20%</v>
      </c>
      <c r="N1014" s="22" t="s">
        <v>83</v>
      </c>
      <c r="O1014" s="22" t="s">
        <v>12</v>
      </c>
      <c r="P1014" s="22" t="s">
        <v>13</v>
      </c>
      <c r="Q1014" s="22" t="s">
        <v>19</v>
      </c>
    </row>
    <row r="1015" spans="1:17" x14ac:dyDescent="0.3">
      <c r="A1015" s="27">
        <v>23</v>
      </c>
      <c r="B1015" s="24">
        <v>100</v>
      </c>
      <c r="C1015" s="25">
        <f>Sales!$B1015*Sales!$A1015</f>
        <v>2300</v>
      </c>
      <c r="D1015" s="26">
        <v>37652</v>
      </c>
      <c r="E1015" s="27" t="s">
        <v>9</v>
      </c>
      <c r="F1015" s="27">
        <v>1</v>
      </c>
      <c r="G1015" s="27">
        <v>1</v>
      </c>
      <c r="H1015" s="27">
        <v>2003</v>
      </c>
      <c r="I1015" s="27" t="s">
        <v>47</v>
      </c>
      <c r="J1015" s="25">
        <v>169</v>
      </c>
      <c r="K1015" s="25">
        <f>Sales!$B1015-Sales!$J1015</f>
        <v>-69</v>
      </c>
      <c r="L1015" s="28">
        <f>(Sales!$J1015-Sales!$B1015)/Sales!$J1015</f>
        <v>0.40828402366863903</v>
      </c>
      <c r="M1015" s="28" t="str">
        <f t="shared" si="15"/>
        <v>+20%</v>
      </c>
      <c r="N1015" s="27" t="s">
        <v>45</v>
      </c>
      <c r="O1015" s="27" t="s">
        <v>46</v>
      </c>
      <c r="P1015" s="27" t="s">
        <v>17</v>
      </c>
      <c r="Q1015" s="27" t="s">
        <v>19</v>
      </c>
    </row>
    <row r="1016" spans="1:17" x14ac:dyDescent="0.3">
      <c r="A1016" s="22">
        <v>46</v>
      </c>
      <c r="B1016" s="19">
        <v>100</v>
      </c>
      <c r="C1016" s="20">
        <f>Sales!$B1016*Sales!$A1016</f>
        <v>4600</v>
      </c>
      <c r="D1016" s="21">
        <v>37690</v>
      </c>
      <c r="E1016" s="22" t="s">
        <v>9</v>
      </c>
      <c r="F1016" s="22">
        <v>1</v>
      </c>
      <c r="G1016" s="22">
        <v>3</v>
      </c>
      <c r="H1016" s="22">
        <v>2003</v>
      </c>
      <c r="I1016" s="22" t="s">
        <v>47</v>
      </c>
      <c r="J1016" s="20">
        <v>169</v>
      </c>
      <c r="K1016" s="20">
        <f>Sales!$B1016-Sales!$J1016</f>
        <v>-69</v>
      </c>
      <c r="L1016" s="23">
        <f>(Sales!$J1016-Sales!$B1016)/Sales!$J1016</f>
        <v>0.40828402366863903</v>
      </c>
      <c r="M1016" s="23" t="str">
        <f t="shared" si="15"/>
        <v>+20%</v>
      </c>
      <c r="N1016" s="22" t="s">
        <v>53</v>
      </c>
      <c r="O1016" s="22" t="s">
        <v>12</v>
      </c>
      <c r="P1016" s="22" t="s">
        <v>13</v>
      </c>
      <c r="Q1016" s="22" t="s">
        <v>39</v>
      </c>
    </row>
    <row r="1017" spans="1:17" x14ac:dyDescent="0.3">
      <c r="A1017" s="27">
        <v>48</v>
      </c>
      <c r="B1017" s="24">
        <v>100</v>
      </c>
      <c r="C1017" s="25">
        <f>Sales!$B1017*Sales!$A1017</f>
        <v>4800</v>
      </c>
      <c r="D1017" s="26">
        <v>37712</v>
      </c>
      <c r="E1017" s="27" t="s">
        <v>9</v>
      </c>
      <c r="F1017" s="27">
        <v>2</v>
      </c>
      <c r="G1017" s="27">
        <v>4</v>
      </c>
      <c r="H1017" s="27">
        <v>2003</v>
      </c>
      <c r="I1017" s="27" t="s">
        <v>47</v>
      </c>
      <c r="J1017" s="25">
        <v>169</v>
      </c>
      <c r="K1017" s="25">
        <f>Sales!$B1017-Sales!$J1017</f>
        <v>-69</v>
      </c>
      <c r="L1017" s="28">
        <f>(Sales!$J1017-Sales!$B1017)/Sales!$J1017</f>
        <v>0.40828402366863903</v>
      </c>
      <c r="M1017" s="28" t="str">
        <f t="shared" si="15"/>
        <v>+20%</v>
      </c>
      <c r="N1017" s="27" t="s">
        <v>18</v>
      </c>
      <c r="O1017" s="27" t="s">
        <v>16</v>
      </c>
      <c r="P1017" s="27" t="s">
        <v>17</v>
      </c>
      <c r="Q1017" s="27" t="s">
        <v>39</v>
      </c>
    </row>
    <row r="1018" spans="1:17" x14ac:dyDescent="0.3">
      <c r="A1018" s="22">
        <v>25</v>
      </c>
      <c r="B1018" s="19">
        <v>100</v>
      </c>
      <c r="C1018" s="20">
        <f>Sales!$B1018*Sales!$A1018</f>
        <v>2500</v>
      </c>
      <c r="D1018" s="21">
        <v>37749</v>
      </c>
      <c r="E1018" s="22" t="s">
        <v>9</v>
      </c>
      <c r="F1018" s="22">
        <v>2</v>
      </c>
      <c r="G1018" s="22">
        <v>5</v>
      </c>
      <c r="H1018" s="22">
        <v>2003</v>
      </c>
      <c r="I1018" s="22" t="s">
        <v>47</v>
      </c>
      <c r="J1018" s="20">
        <v>169</v>
      </c>
      <c r="K1018" s="20">
        <f>Sales!$B1018-Sales!$J1018</f>
        <v>-69</v>
      </c>
      <c r="L1018" s="23">
        <f>(Sales!$J1018-Sales!$B1018)/Sales!$J1018</f>
        <v>0.40828402366863903</v>
      </c>
      <c r="M1018" s="23" t="str">
        <f t="shared" si="15"/>
        <v>+20%</v>
      </c>
      <c r="N1018" s="22" t="s">
        <v>92</v>
      </c>
      <c r="O1018" s="22" t="s">
        <v>16</v>
      </c>
      <c r="P1018" s="22" t="s">
        <v>17</v>
      </c>
      <c r="Q1018" s="22" t="s">
        <v>19</v>
      </c>
    </row>
    <row r="1019" spans="1:17" x14ac:dyDescent="0.3">
      <c r="A1019" s="27">
        <v>22</v>
      </c>
      <c r="B1019" s="24">
        <v>100</v>
      </c>
      <c r="C1019" s="25">
        <f>Sales!$B1019*Sales!$A1019</f>
        <v>2200</v>
      </c>
      <c r="D1019" s="26">
        <v>37775</v>
      </c>
      <c r="E1019" s="27" t="s">
        <v>9</v>
      </c>
      <c r="F1019" s="27">
        <v>2</v>
      </c>
      <c r="G1019" s="27">
        <v>6</v>
      </c>
      <c r="H1019" s="27">
        <v>2003</v>
      </c>
      <c r="I1019" s="27" t="s">
        <v>47</v>
      </c>
      <c r="J1019" s="25">
        <v>169</v>
      </c>
      <c r="K1019" s="25">
        <f>Sales!$B1019-Sales!$J1019</f>
        <v>-69</v>
      </c>
      <c r="L1019" s="28">
        <f>(Sales!$J1019-Sales!$B1019)/Sales!$J1019</f>
        <v>0.40828402366863903</v>
      </c>
      <c r="M1019" s="28" t="str">
        <f t="shared" si="15"/>
        <v>+20%</v>
      </c>
      <c r="N1019" s="27" t="s">
        <v>11</v>
      </c>
      <c r="O1019" s="27" t="s">
        <v>12</v>
      </c>
      <c r="P1019" s="27" t="s">
        <v>13</v>
      </c>
      <c r="Q1019" s="27" t="s">
        <v>19</v>
      </c>
    </row>
    <row r="1020" spans="1:17" x14ac:dyDescent="0.3">
      <c r="A1020" s="22">
        <v>41</v>
      </c>
      <c r="B1020" s="19">
        <v>100</v>
      </c>
      <c r="C1020" s="20">
        <f>Sales!$B1020*Sales!$A1020</f>
        <v>4100</v>
      </c>
      <c r="D1020" s="21">
        <v>37806</v>
      </c>
      <c r="E1020" s="22" t="s">
        <v>9</v>
      </c>
      <c r="F1020" s="22">
        <v>3</v>
      </c>
      <c r="G1020" s="22">
        <v>7</v>
      </c>
      <c r="H1020" s="22">
        <v>2003</v>
      </c>
      <c r="I1020" s="22" t="s">
        <v>47</v>
      </c>
      <c r="J1020" s="20">
        <v>169</v>
      </c>
      <c r="K1020" s="20">
        <f>Sales!$B1020-Sales!$J1020</f>
        <v>-69</v>
      </c>
      <c r="L1020" s="23">
        <f>(Sales!$J1020-Sales!$B1020)/Sales!$J1020</f>
        <v>0.40828402366863903</v>
      </c>
      <c r="M1020" s="23" t="str">
        <f t="shared" si="15"/>
        <v>+20%</v>
      </c>
      <c r="N1020" s="22" t="s">
        <v>76</v>
      </c>
      <c r="O1020" s="22" t="s">
        <v>16</v>
      </c>
      <c r="P1020" s="22" t="s">
        <v>17</v>
      </c>
      <c r="Q1020" s="22" t="s">
        <v>39</v>
      </c>
    </row>
    <row r="1021" spans="1:17" x14ac:dyDescent="0.3">
      <c r="A1021" s="27">
        <v>34</v>
      </c>
      <c r="B1021" s="24">
        <v>100</v>
      </c>
      <c r="C1021" s="25">
        <f>Sales!$B1021*Sales!$A1021</f>
        <v>3400</v>
      </c>
      <c r="D1021" s="26">
        <v>37834</v>
      </c>
      <c r="E1021" s="27" t="s">
        <v>9</v>
      </c>
      <c r="F1021" s="27">
        <v>3</v>
      </c>
      <c r="G1021" s="27">
        <v>8</v>
      </c>
      <c r="H1021" s="27">
        <v>2003</v>
      </c>
      <c r="I1021" s="27" t="s">
        <v>47</v>
      </c>
      <c r="J1021" s="25">
        <v>169</v>
      </c>
      <c r="K1021" s="25">
        <f>Sales!$B1021-Sales!$J1021</f>
        <v>-69</v>
      </c>
      <c r="L1021" s="28">
        <f>(Sales!$J1021-Sales!$B1021)/Sales!$J1021</f>
        <v>0.40828402366863903</v>
      </c>
      <c r="M1021" s="28" t="str">
        <f t="shared" si="15"/>
        <v>+20%</v>
      </c>
      <c r="N1021" s="27" t="s">
        <v>99</v>
      </c>
      <c r="O1021" s="27" t="s">
        <v>34</v>
      </c>
      <c r="P1021" s="27" t="s">
        <v>17</v>
      </c>
      <c r="Q1021" s="27" t="s">
        <v>19</v>
      </c>
    </row>
    <row r="1022" spans="1:17" x14ac:dyDescent="0.3">
      <c r="A1022" s="22">
        <v>32</v>
      </c>
      <c r="B1022" s="19">
        <v>100</v>
      </c>
      <c r="C1022" s="20">
        <f>Sales!$B1022*Sales!$A1022</f>
        <v>3200</v>
      </c>
      <c r="D1022" s="21">
        <v>37875</v>
      </c>
      <c r="E1022" s="22" t="s">
        <v>9</v>
      </c>
      <c r="F1022" s="22">
        <v>3</v>
      </c>
      <c r="G1022" s="22">
        <v>9</v>
      </c>
      <c r="H1022" s="22">
        <v>2003</v>
      </c>
      <c r="I1022" s="22" t="s">
        <v>47</v>
      </c>
      <c r="J1022" s="20">
        <v>169</v>
      </c>
      <c r="K1022" s="20">
        <f>Sales!$B1022-Sales!$J1022</f>
        <v>-69</v>
      </c>
      <c r="L1022" s="23">
        <f>(Sales!$J1022-Sales!$B1022)/Sales!$J1022</f>
        <v>0.40828402366863903</v>
      </c>
      <c r="M1022" s="23" t="str">
        <f t="shared" si="15"/>
        <v>+20%</v>
      </c>
      <c r="N1022" s="22" t="s">
        <v>67</v>
      </c>
      <c r="O1022" s="22" t="s">
        <v>27</v>
      </c>
      <c r="P1022" s="22" t="s">
        <v>28</v>
      </c>
      <c r="Q1022" s="22" t="s">
        <v>19</v>
      </c>
    </row>
    <row r="1023" spans="1:17" x14ac:dyDescent="0.3">
      <c r="A1023" s="27">
        <v>21</v>
      </c>
      <c r="B1023" s="24">
        <v>100</v>
      </c>
      <c r="C1023" s="25">
        <f>Sales!$B1023*Sales!$A1023</f>
        <v>2100</v>
      </c>
      <c r="D1023" s="26">
        <v>37885</v>
      </c>
      <c r="E1023" s="27" t="s">
        <v>9</v>
      </c>
      <c r="F1023" s="27">
        <v>3</v>
      </c>
      <c r="G1023" s="27">
        <v>9</v>
      </c>
      <c r="H1023" s="27">
        <v>2003</v>
      </c>
      <c r="I1023" s="27" t="s">
        <v>47</v>
      </c>
      <c r="J1023" s="25">
        <v>169</v>
      </c>
      <c r="K1023" s="25">
        <f>Sales!$B1023-Sales!$J1023</f>
        <v>-69</v>
      </c>
      <c r="L1023" s="28">
        <f>(Sales!$J1023-Sales!$B1023)/Sales!$J1023</f>
        <v>0.40828402366863903</v>
      </c>
      <c r="M1023" s="28" t="str">
        <f t="shared" si="15"/>
        <v>+20%</v>
      </c>
      <c r="N1023" s="27" t="s">
        <v>85</v>
      </c>
      <c r="O1023" s="27" t="s">
        <v>34</v>
      </c>
      <c r="P1023" s="27" t="s">
        <v>17</v>
      </c>
      <c r="Q1023" s="27" t="s">
        <v>19</v>
      </c>
    </row>
    <row r="1024" spans="1:17" x14ac:dyDescent="0.3">
      <c r="A1024" s="22">
        <v>20</v>
      </c>
      <c r="B1024" s="19">
        <v>100</v>
      </c>
      <c r="C1024" s="20">
        <f>Sales!$B1024*Sales!$A1024</f>
        <v>2000</v>
      </c>
      <c r="D1024" s="21">
        <v>37905</v>
      </c>
      <c r="E1024" s="22" t="s">
        <v>9</v>
      </c>
      <c r="F1024" s="22">
        <v>4</v>
      </c>
      <c r="G1024" s="22">
        <v>10</v>
      </c>
      <c r="H1024" s="22">
        <v>2003</v>
      </c>
      <c r="I1024" s="22" t="s">
        <v>47</v>
      </c>
      <c r="J1024" s="20">
        <v>169</v>
      </c>
      <c r="K1024" s="20">
        <f>Sales!$B1024-Sales!$J1024</f>
        <v>-69</v>
      </c>
      <c r="L1024" s="23">
        <f>(Sales!$J1024-Sales!$B1024)/Sales!$J1024</f>
        <v>0.40828402366863903</v>
      </c>
      <c r="M1024" s="23" t="str">
        <f t="shared" si="15"/>
        <v>+20%</v>
      </c>
      <c r="N1024" s="22" t="s">
        <v>78</v>
      </c>
      <c r="O1024" s="22" t="s">
        <v>12</v>
      </c>
      <c r="P1024" s="22" t="s">
        <v>13</v>
      </c>
      <c r="Q1024" s="22" t="s">
        <v>19</v>
      </c>
    </row>
    <row r="1025" spans="1:17" x14ac:dyDescent="0.3">
      <c r="A1025" s="27">
        <v>47</v>
      </c>
      <c r="B1025" s="24">
        <v>100</v>
      </c>
      <c r="C1025" s="25">
        <f>Sales!$B1025*Sales!$A1025</f>
        <v>4700</v>
      </c>
      <c r="D1025" s="26">
        <v>37916</v>
      </c>
      <c r="E1025" s="27" t="s">
        <v>9</v>
      </c>
      <c r="F1025" s="27">
        <v>4</v>
      </c>
      <c r="G1025" s="27">
        <v>10</v>
      </c>
      <c r="H1025" s="27">
        <v>2003</v>
      </c>
      <c r="I1025" s="27" t="s">
        <v>47</v>
      </c>
      <c r="J1025" s="25">
        <v>169</v>
      </c>
      <c r="K1025" s="25">
        <f>Sales!$B1025-Sales!$J1025</f>
        <v>-69</v>
      </c>
      <c r="L1025" s="28">
        <f>(Sales!$J1025-Sales!$B1025)/Sales!$J1025</f>
        <v>0.40828402366863903</v>
      </c>
      <c r="M1025" s="28" t="str">
        <f t="shared" si="15"/>
        <v>+20%</v>
      </c>
      <c r="N1025" s="27" t="s">
        <v>50</v>
      </c>
      <c r="O1025" s="27" t="s">
        <v>50</v>
      </c>
      <c r="P1025" s="27" t="s">
        <v>28</v>
      </c>
      <c r="Q1025" s="27" t="s">
        <v>39</v>
      </c>
    </row>
    <row r="1026" spans="1:17" x14ac:dyDescent="0.3">
      <c r="A1026" s="22">
        <v>39</v>
      </c>
      <c r="B1026" s="19">
        <v>100</v>
      </c>
      <c r="C1026" s="20">
        <f>Sales!$B1026*Sales!$A1026</f>
        <v>3900</v>
      </c>
      <c r="D1026" s="21">
        <v>37930</v>
      </c>
      <c r="E1026" s="22" t="s">
        <v>9</v>
      </c>
      <c r="F1026" s="22">
        <v>4</v>
      </c>
      <c r="G1026" s="22">
        <v>11</v>
      </c>
      <c r="H1026" s="22">
        <v>2003</v>
      </c>
      <c r="I1026" s="22" t="s">
        <v>47</v>
      </c>
      <c r="J1026" s="20">
        <v>169</v>
      </c>
      <c r="K1026" s="20">
        <f>Sales!$B1026-Sales!$J1026</f>
        <v>-69</v>
      </c>
      <c r="L1026" s="23">
        <f>(Sales!$J1026-Sales!$B1026)/Sales!$J1026</f>
        <v>0.40828402366863903</v>
      </c>
      <c r="M1026" s="23" t="str">
        <f t="shared" si="15"/>
        <v>+20%</v>
      </c>
      <c r="N1026" s="22" t="s">
        <v>68</v>
      </c>
      <c r="O1026" s="22" t="s">
        <v>56</v>
      </c>
      <c r="P1026" s="22" t="s">
        <v>13</v>
      </c>
      <c r="Q1026" s="22" t="s">
        <v>19</v>
      </c>
    </row>
    <row r="1027" spans="1:17" x14ac:dyDescent="0.3">
      <c r="A1027" s="27">
        <v>29</v>
      </c>
      <c r="B1027" s="24">
        <v>100</v>
      </c>
      <c r="C1027" s="25">
        <f>Sales!$B1027*Sales!$A1027</f>
        <v>2900</v>
      </c>
      <c r="D1027" s="26">
        <v>37931</v>
      </c>
      <c r="E1027" s="27" t="s">
        <v>9</v>
      </c>
      <c r="F1027" s="27">
        <v>4</v>
      </c>
      <c r="G1027" s="27">
        <v>11</v>
      </c>
      <c r="H1027" s="27">
        <v>2003</v>
      </c>
      <c r="I1027" s="27" t="s">
        <v>47</v>
      </c>
      <c r="J1027" s="25">
        <v>169</v>
      </c>
      <c r="K1027" s="25">
        <f>Sales!$B1027-Sales!$J1027</f>
        <v>-69</v>
      </c>
      <c r="L1027" s="28">
        <f>(Sales!$J1027-Sales!$B1027)/Sales!$J1027</f>
        <v>0.40828402366863903</v>
      </c>
      <c r="M1027" s="28" t="str">
        <f t="shared" ref="M1027:M1087" si="16">IF(L1027&lt;0%,"Below 0%",IF(L1027=0%,"0%",IF(AND(L1027&lt;=5%,L1027&gt;0%),"0%-5%",IF(AND(L1027&lt;=10%,L1027&gt;5%),"5%-10%",IF(AND(L1027&lt;=15%,L1027&gt;10%),"10%-15%",IF(AND(L1027&lt;=20%,L1027&gt;15%),"15%-20%","+20%"))))))</f>
        <v>+20%</v>
      </c>
      <c r="N1027" s="27" t="s">
        <v>74</v>
      </c>
      <c r="O1027" s="27" t="s">
        <v>43</v>
      </c>
      <c r="P1027" s="27" t="s">
        <v>17</v>
      </c>
      <c r="Q1027" s="27" t="s">
        <v>19</v>
      </c>
    </row>
    <row r="1028" spans="1:17" x14ac:dyDescent="0.3">
      <c r="A1028" s="22">
        <v>45</v>
      </c>
      <c r="B1028" s="19">
        <v>100</v>
      </c>
      <c r="C1028" s="20">
        <f>Sales!$B1028*Sales!$A1028</f>
        <v>4500</v>
      </c>
      <c r="D1028" s="21">
        <v>37937</v>
      </c>
      <c r="E1028" s="22" t="s">
        <v>9</v>
      </c>
      <c r="F1028" s="22">
        <v>4</v>
      </c>
      <c r="G1028" s="22">
        <v>11</v>
      </c>
      <c r="H1028" s="22">
        <v>2003</v>
      </c>
      <c r="I1028" s="22" t="s">
        <v>47</v>
      </c>
      <c r="J1028" s="20">
        <v>169</v>
      </c>
      <c r="K1028" s="20">
        <f>Sales!$B1028-Sales!$J1028</f>
        <v>-69</v>
      </c>
      <c r="L1028" s="23">
        <f>(Sales!$J1028-Sales!$B1028)/Sales!$J1028</f>
        <v>0.40828402366863903</v>
      </c>
      <c r="M1028" s="23" t="str">
        <f t="shared" si="16"/>
        <v>+20%</v>
      </c>
      <c r="N1028" s="22" t="s">
        <v>24</v>
      </c>
      <c r="O1028" s="22" t="s">
        <v>25</v>
      </c>
      <c r="P1028" s="22" t="s">
        <v>17</v>
      </c>
      <c r="Q1028" s="22" t="s">
        <v>19</v>
      </c>
    </row>
    <row r="1029" spans="1:17" x14ac:dyDescent="0.3">
      <c r="A1029" s="27">
        <v>28</v>
      </c>
      <c r="B1029" s="24">
        <v>100</v>
      </c>
      <c r="C1029" s="25">
        <f>Sales!$B1029*Sales!$A1029</f>
        <v>2800</v>
      </c>
      <c r="D1029" s="26">
        <v>37939</v>
      </c>
      <c r="E1029" s="27" t="s">
        <v>9</v>
      </c>
      <c r="F1029" s="27">
        <v>4</v>
      </c>
      <c r="G1029" s="27">
        <v>11</v>
      </c>
      <c r="H1029" s="27">
        <v>2003</v>
      </c>
      <c r="I1029" s="27" t="s">
        <v>47</v>
      </c>
      <c r="J1029" s="25">
        <v>169</v>
      </c>
      <c r="K1029" s="25">
        <f>Sales!$B1029-Sales!$J1029</f>
        <v>-69</v>
      </c>
      <c r="L1029" s="28">
        <f>(Sales!$J1029-Sales!$B1029)/Sales!$J1029</f>
        <v>0.40828402366863903</v>
      </c>
      <c r="M1029" s="28" t="str">
        <f t="shared" si="16"/>
        <v>+20%</v>
      </c>
      <c r="N1029" s="27" t="s">
        <v>106</v>
      </c>
      <c r="O1029" s="27" t="s">
        <v>46</v>
      </c>
      <c r="P1029" s="27" t="s">
        <v>17</v>
      </c>
      <c r="Q1029" s="27" t="s">
        <v>19</v>
      </c>
    </row>
    <row r="1030" spans="1:17" x14ac:dyDescent="0.3">
      <c r="A1030" s="22">
        <v>26</v>
      </c>
      <c r="B1030" s="19">
        <v>100</v>
      </c>
      <c r="C1030" s="20">
        <f>Sales!$B1030*Sales!$A1030</f>
        <v>2600</v>
      </c>
      <c r="D1030" s="21">
        <v>37945</v>
      </c>
      <c r="E1030" s="22" t="s">
        <v>9</v>
      </c>
      <c r="F1030" s="22">
        <v>4</v>
      </c>
      <c r="G1030" s="22">
        <v>11</v>
      </c>
      <c r="H1030" s="22">
        <v>2003</v>
      </c>
      <c r="I1030" s="22" t="s">
        <v>47</v>
      </c>
      <c r="J1030" s="20">
        <v>169</v>
      </c>
      <c r="K1030" s="20">
        <f>Sales!$B1030-Sales!$J1030</f>
        <v>-69</v>
      </c>
      <c r="L1030" s="23">
        <f>(Sales!$J1030-Sales!$B1030)/Sales!$J1030</f>
        <v>0.40828402366863903</v>
      </c>
      <c r="M1030" s="23" t="str">
        <f t="shared" si="16"/>
        <v>+20%</v>
      </c>
      <c r="N1030" s="22" t="s">
        <v>65</v>
      </c>
      <c r="O1030" s="22" t="s">
        <v>12</v>
      </c>
      <c r="P1030" s="22" t="s">
        <v>13</v>
      </c>
      <c r="Q1030" s="22" t="s">
        <v>19</v>
      </c>
    </row>
    <row r="1031" spans="1:17" x14ac:dyDescent="0.3">
      <c r="A1031" s="27">
        <v>50</v>
      </c>
      <c r="B1031" s="24">
        <v>100</v>
      </c>
      <c r="C1031" s="25">
        <f>Sales!$B1031*Sales!$A1031</f>
        <v>5000</v>
      </c>
      <c r="D1031" s="26">
        <v>37950</v>
      </c>
      <c r="E1031" s="27" t="s">
        <v>9</v>
      </c>
      <c r="F1031" s="27">
        <v>4</v>
      </c>
      <c r="G1031" s="27">
        <v>11</v>
      </c>
      <c r="H1031" s="27">
        <v>2003</v>
      </c>
      <c r="I1031" s="27" t="s">
        <v>47</v>
      </c>
      <c r="J1031" s="25">
        <v>169</v>
      </c>
      <c r="K1031" s="25">
        <f>Sales!$B1031-Sales!$J1031</f>
        <v>-69</v>
      </c>
      <c r="L1031" s="28">
        <f>(Sales!$J1031-Sales!$B1031)/Sales!$J1031</f>
        <v>0.40828402366863903</v>
      </c>
      <c r="M1031" s="28" t="str">
        <f t="shared" si="16"/>
        <v>+20%</v>
      </c>
      <c r="N1031" s="27" t="s">
        <v>71</v>
      </c>
      <c r="O1031" s="27" t="s">
        <v>12</v>
      </c>
      <c r="P1031" s="27" t="s">
        <v>13</v>
      </c>
      <c r="Q1031" s="27" t="s">
        <v>39</v>
      </c>
    </row>
    <row r="1032" spans="1:17" x14ac:dyDescent="0.3">
      <c r="A1032" s="22">
        <v>48</v>
      </c>
      <c r="B1032" s="19">
        <v>100</v>
      </c>
      <c r="C1032" s="20">
        <f>Sales!$B1032*Sales!$A1032</f>
        <v>4800</v>
      </c>
      <c r="D1032" s="21">
        <v>37957</v>
      </c>
      <c r="E1032" s="22" t="s">
        <v>9</v>
      </c>
      <c r="F1032" s="22">
        <v>4</v>
      </c>
      <c r="G1032" s="22">
        <v>12</v>
      </c>
      <c r="H1032" s="22">
        <v>2003</v>
      </c>
      <c r="I1032" s="22" t="s">
        <v>47</v>
      </c>
      <c r="J1032" s="20">
        <v>169</v>
      </c>
      <c r="K1032" s="20">
        <f>Sales!$B1032-Sales!$J1032</f>
        <v>-69</v>
      </c>
      <c r="L1032" s="23">
        <f>(Sales!$J1032-Sales!$B1032)/Sales!$J1032</f>
        <v>0.40828402366863903</v>
      </c>
      <c r="M1032" s="23" t="str">
        <f t="shared" si="16"/>
        <v>+20%</v>
      </c>
      <c r="N1032" s="22" t="s">
        <v>45</v>
      </c>
      <c r="O1032" s="22" t="s">
        <v>46</v>
      </c>
      <c r="P1032" s="22" t="s">
        <v>17</v>
      </c>
      <c r="Q1032" s="22" t="s">
        <v>39</v>
      </c>
    </row>
    <row r="1033" spans="1:17" x14ac:dyDescent="0.3">
      <c r="A1033" s="27">
        <v>25</v>
      </c>
      <c r="B1033" s="24">
        <v>100</v>
      </c>
      <c r="C1033" s="25">
        <f>Sales!$B1033*Sales!$A1033</f>
        <v>2500</v>
      </c>
      <c r="D1033" s="26">
        <v>37964</v>
      </c>
      <c r="E1033" s="27" t="s">
        <v>9</v>
      </c>
      <c r="F1033" s="27">
        <v>4</v>
      </c>
      <c r="G1033" s="27">
        <v>12</v>
      </c>
      <c r="H1033" s="27">
        <v>2003</v>
      </c>
      <c r="I1033" s="27" t="s">
        <v>47</v>
      </c>
      <c r="J1033" s="25">
        <v>169</v>
      </c>
      <c r="K1033" s="25">
        <f>Sales!$B1033-Sales!$J1033</f>
        <v>-69</v>
      </c>
      <c r="L1033" s="28">
        <f>(Sales!$J1033-Sales!$B1033)/Sales!$J1033</f>
        <v>0.40828402366863903</v>
      </c>
      <c r="M1033" s="28" t="str">
        <f t="shared" si="16"/>
        <v>+20%</v>
      </c>
      <c r="N1033" s="27" t="s">
        <v>83</v>
      </c>
      <c r="O1033" s="27" t="s">
        <v>12</v>
      </c>
      <c r="P1033" s="27" t="s">
        <v>13</v>
      </c>
      <c r="Q1033" s="27" t="s">
        <v>19</v>
      </c>
    </row>
    <row r="1034" spans="1:17" x14ac:dyDescent="0.3">
      <c r="A1034" s="22">
        <v>40</v>
      </c>
      <c r="B1034" s="19">
        <v>100</v>
      </c>
      <c r="C1034" s="20">
        <f>Sales!$B1034*Sales!$A1034</f>
        <v>4000</v>
      </c>
      <c r="D1034" s="21">
        <v>38002</v>
      </c>
      <c r="E1034" s="22" t="s">
        <v>9</v>
      </c>
      <c r="F1034" s="22">
        <v>1</v>
      </c>
      <c r="G1034" s="22">
        <v>1</v>
      </c>
      <c r="H1034" s="22">
        <v>2004</v>
      </c>
      <c r="I1034" s="22" t="s">
        <v>47</v>
      </c>
      <c r="J1034" s="20">
        <v>169</v>
      </c>
      <c r="K1034" s="20">
        <f>Sales!$B1034-Sales!$J1034</f>
        <v>-69</v>
      </c>
      <c r="L1034" s="23">
        <f>(Sales!$J1034-Sales!$B1034)/Sales!$J1034</f>
        <v>0.40828402366863903</v>
      </c>
      <c r="M1034" s="23" t="str">
        <f t="shared" si="16"/>
        <v>+20%</v>
      </c>
      <c r="N1034" s="22" t="s">
        <v>45</v>
      </c>
      <c r="O1034" s="22" t="s">
        <v>46</v>
      </c>
      <c r="P1034" s="22" t="s">
        <v>17</v>
      </c>
      <c r="Q1034" s="22" t="s">
        <v>19</v>
      </c>
    </row>
    <row r="1035" spans="1:17" x14ac:dyDescent="0.3">
      <c r="A1035" s="27">
        <v>43</v>
      </c>
      <c r="B1035" s="24">
        <v>100</v>
      </c>
      <c r="C1035" s="25">
        <f>Sales!$B1035*Sales!$A1035</f>
        <v>4300</v>
      </c>
      <c r="D1035" s="26">
        <v>38039</v>
      </c>
      <c r="E1035" s="27" t="s">
        <v>9</v>
      </c>
      <c r="F1035" s="27">
        <v>1</v>
      </c>
      <c r="G1035" s="27">
        <v>2</v>
      </c>
      <c r="H1035" s="27">
        <v>2004</v>
      </c>
      <c r="I1035" s="27" t="s">
        <v>47</v>
      </c>
      <c r="J1035" s="25">
        <v>169</v>
      </c>
      <c r="K1035" s="25">
        <f>Sales!$B1035-Sales!$J1035</f>
        <v>-69</v>
      </c>
      <c r="L1035" s="28">
        <f>(Sales!$J1035-Sales!$B1035)/Sales!$J1035</f>
        <v>0.40828402366863903</v>
      </c>
      <c r="M1035" s="28" t="str">
        <f t="shared" si="16"/>
        <v>+20%</v>
      </c>
      <c r="N1035" s="27" t="s">
        <v>95</v>
      </c>
      <c r="O1035" s="27" t="s">
        <v>96</v>
      </c>
      <c r="P1035" s="27" t="s">
        <v>17</v>
      </c>
      <c r="Q1035" s="27" t="s">
        <v>19</v>
      </c>
    </row>
    <row r="1036" spans="1:17" x14ac:dyDescent="0.3">
      <c r="A1036" s="22">
        <v>22</v>
      </c>
      <c r="B1036" s="19">
        <v>100</v>
      </c>
      <c r="C1036" s="20">
        <f>Sales!$B1036*Sales!$A1036</f>
        <v>2200</v>
      </c>
      <c r="D1036" s="21">
        <v>38057</v>
      </c>
      <c r="E1036" s="22" t="s">
        <v>9</v>
      </c>
      <c r="F1036" s="22">
        <v>1</v>
      </c>
      <c r="G1036" s="22">
        <v>3</v>
      </c>
      <c r="H1036" s="22">
        <v>2004</v>
      </c>
      <c r="I1036" s="22" t="s">
        <v>47</v>
      </c>
      <c r="J1036" s="20">
        <v>169</v>
      </c>
      <c r="K1036" s="20">
        <f>Sales!$B1036-Sales!$J1036</f>
        <v>-69</v>
      </c>
      <c r="L1036" s="23">
        <f>(Sales!$J1036-Sales!$B1036)/Sales!$J1036</f>
        <v>0.40828402366863903</v>
      </c>
      <c r="M1036" s="23" t="str">
        <f t="shared" si="16"/>
        <v>+20%</v>
      </c>
      <c r="N1036" s="22" t="s">
        <v>64</v>
      </c>
      <c r="O1036" s="22" t="s">
        <v>12</v>
      </c>
      <c r="P1036" s="22" t="s">
        <v>13</v>
      </c>
      <c r="Q1036" s="22" t="s">
        <v>19</v>
      </c>
    </row>
    <row r="1037" spans="1:17" x14ac:dyDescent="0.3">
      <c r="A1037" s="27">
        <v>47</v>
      </c>
      <c r="B1037" s="24">
        <v>100</v>
      </c>
      <c r="C1037" s="25">
        <f>Sales!$B1037*Sales!$A1037</f>
        <v>4700</v>
      </c>
      <c r="D1037" s="26">
        <v>38089</v>
      </c>
      <c r="E1037" s="27" t="s">
        <v>9</v>
      </c>
      <c r="F1037" s="27">
        <v>2</v>
      </c>
      <c r="G1037" s="27">
        <v>4</v>
      </c>
      <c r="H1037" s="27">
        <v>2004</v>
      </c>
      <c r="I1037" s="27" t="s">
        <v>47</v>
      </c>
      <c r="J1037" s="25">
        <v>169</v>
      </c>
      <c r="K1037" s="25">
        <f>Sales!$B1037-Sales!$J1037</f>
        <v>-69</v>
      </c>
      <c r="L1037" s="28">
        <f>(Sales!$J1037-Sales!$B1037)/Sales!$J1037</f>
        <v>0.40828402366863903</v>
      </c>
      <c r="M1037" s="28" t="str">
        <f t="shared" si="16"/>
        <v>+20%</v>
      </c>
      <c r="N1037" s="27" t="s">
        <v>85</v>
      </c>
      <c r="O1037" s="27" t="s">
        <v>34</v>
      </c>
      <c r="P1037" s="27" t="s">
        <v>17</v>
      </c>
      <c r="Q1037" s="27" t="s">
        <v>39</v>
      </c>
    </row>
    <row r="1038" spans="1:17" x14ac:dyDescent="0.3">
      <c r="A1038" s="22">
        <v>36</v>
      </c>
      <c r="B1038" s="19">
        <v>100</v>
      </c>
      <c r="C1038" s="20">
        <f>Sales!$B1038*Sales!$A1038</f>
        <v>3600</v>
      </c>
      <c r="D1038" s="21">
        <v>38112</v>
      </c>
      <c r="E1038" s="22" t="s">
        <v>9</v>
      </c>
      <c r="F1038" s="22">
        <v>2</v>
      </c>
      <c r="G1038" s="22">
        <v>5</v>
      </c>
      <c r="H1038" s="22">
        <v>2004</v>
      </c>
      <c r="I1038" s="22" t="s">
        <v>47</v>
      </c>
      <c r="J1038" s="20">
        <v>169</v>
      </c>
      <c r="K1038" s="20">
        <f>Sales!$B1038-Sales!$J1038</f>
        <v>-69</v>
      </c>
      <c r="L1038" s="23">
        <f>(Sales!$J1038-Sales!$B1038)/Sales!$J1038</f>
        <v>0.40828402366863903</v>
      </c>
      <c r="M1038" s="23" t="str">
        <f t="shared" si="16"/>
        <v>+20%</v>
      </c>
      <c r="N1038" s="22" t="s">
        <v>45</v>
      </c>
      <c r="O1038" s="22" t="s">
        <v>46</v>
      </c>
      <c r="P1038" s="22" t="s">
        <v>17</v>
      </c>
      <c r="Q1038" s="22" t="s">
        <v>39</v>
      </c>
    </row>
    <row r="1039" spans="1:17" x14ac:dyDescent="0.3">
      <c r="A1039" s="27">
        <v>40</v>
      </c>
      <c r="B1039" s="24">
        <v>100</v>
      </c>
      <c r="C1039" s="25">
        <f>Sales!$B1039*Sales!$A1039</f>
        <v>4000</v>
      </c>
      <c r="D1039" s="26">
        <v>38139</v>
      </c>
      <c r="E1039" s="27" t="s">
        <v>75</v>
      </c>
      <c r="F1039" s="27">
        <v>2</v>
      </c>
      <c r="G1039" s="27">
        <v>6</v>
      </c>
      <c r="H1039" s="27">
        <v>2004</v>
      </c>
      <c r="I1039" s="27" t="s">
        <v>47</v>
      </c>
      <c r="J1039" s="25">
        <v>169</v>
      </c>
      <c r="K1039" s="25">
        <f>Sales!$B1039-Sales!$J1039</f>
        <v>-69</v>
      </c>
      <c r="L1039" s="28">
        <f>(Sales!$J1039-Sales!$B1039)/Sales!$J1039</f>
        <v>0.40828402366863903</v>
      </c>
      <c r="M1039" s="28" t="str">
        <f t="shared" si="16"/>
        <v>+20%</v>
      </c>
      <c r="N1039" s="27" t="s">
        <v>42</v>
      </c>
      <c r="O1039" s="27" t="s">
        <v>43</v>
      </c>
      <c r="P1039" s="27" t="s">
        <v>17</v>
      </c>
      <c r="Q1039" s="27" t="s">
        <v>19</v>
      </c>
    </row>
    <row r="1040" spans="1:17" x14ac:dyDescent="0.3">
      <c r="A1040" s="22">
        <v>27</v>
      </c>
      <c r="B1040" s="19">
        <v>100</v>
      </c>
      <c r="C1040" s="20">
        <f>Sales!$B1040*Sales!$A1040</f>
        <v>2700</v>
      </c>
      <c r="D1040" s="21">
        <v>38153</v>
      </c>
      <c r="E1040" s="22" t="s">
        <v>9</v>
      </c>
      <c r="F1040" s="22">
        <v>2</v>
      </c>
      <c r="G1040" s="22">
        <v>6</v>
      </c>
      <c r="H1040" s="22">
        <v>2004</v>
      </c>
      <c r="I1040" s="22" t="s">
        <v>47</v>
      </c>
      <c r="J1040" s="20">
        <v>169</v>
      </c>
      <c r="K1040" s="20">
        <f>Sales!$B1040-Sales!$J1040</f>
        <v>-69</v>
      </c>
      <c r="L1040" s="23">
        <f>(Sales!$J1040-Sales!$B1040)/Sales!$J1040</f>
        <v>0.40828402366863903</v>
      </c>
      <c r="M1040" s="23" t="str">
        <f t="shared" si="16"/>
        <v>+20%</v>
      </c>
      <c r="N1040" s="22" t="s">
        <v>50</v>
      </c>
      <c r="O1040" s="22" t="s">
        <v>50</v>
      </c>
      <c r="P1040" s="22" t="s">
        <v>28</v>
      </c>
      <c r="Q1040" s="22" t="s">
        <v>19</v>
      </c>
    </row>
    <row r="1041" spans="1:17" x14ac:dyDescent="0.3">
      <c r="A1041" s="27">
        <v>29</v>
      </c>
      <c r="B1041" s="24">
        <v>100</v>
      </c>
      <c r="C1041" s="25">
        <f>Sales!$B1041*Sales!$A1041</f>
        <v>2900</v>
      </c>
      <c r="D1041" s="26">
        <v>38174</v>
      </c>
      <c r="E1041" s="27" t="s">
        <v>9</v>
      </c>
      <c r="F1041" s="27">
        <v>3</v>
      </c>
      <c r="G1041" s="27">
        <v>7</v>
      </c>
      <c r="H1041" s="27">
        <v>2004</v>
      </c>
      <c r="I1041" s="27" t="s">
        <v>47</v>
      </c>
      <c r="J1041" s="25">
        <v>169</v>
      </c>
      <c r="K1041" s="25">
        <f>Sales!$B1041-Sales!$J1041</f>
        <v>-69</v>
      </c>
      <c r="L1041" s="28">
        <f>(Sales!$J1041-Sales!$B1041)/Sales!$J1041</f>
        <v>0.40828402366863903</v>
      </c>
      <c r="M1041" s="28" t="str">
        <f t="shared" si="16"/>
        <v>+20%</v>
      </c>
      <c r="N1041" s="27" t="s">
        <v>97</v>
      </c>
      <c r="O1041" s="27" t="s">
        <v>61</v>
      </c>
      <c r="P1041" s="27" t="s">
        <v>17</v>
      </c>
      <c r="Q1041" s="27" t="s">
        <v>19</v>
      </c>
    </row>
    <row r="1042" spans="1:17" x14ac:dyDescent="0.3">
      <c r="A1042" s="22">
        <v>20</v>
      </c>
      <c r="B1042" s="19">
        <v>100</v>
      </c>
      <c r="C1042" s="20">
        <f>Sales!$B1042*Sales!$A1042</f>
        <v>2000</v>
      </c>
      <c r="D1042" s="21">
        <v>38188</v>
      </c>
      <c r="E1042" s="22" t="s">
        <v>9</v>
      </c>
      <c r="F1042" s="22">
        <v>3</v>
      </c>
      <c r="G1042" s="22">
        <v>7</v>
      </c>
      <c r="H1042" s="22">
        <v>2004</v>
      </c>
      <c r="I1042" s="22" t="s">
        <v>47</v>
      </c>
      <c r="J1042" s="20">
        <v>169</v>
      </c>
      <c r="K1042" s="20">
        <f>Sales!$B1042-Sales!$J1042</f>
        <v>-69</v>
      </c>
      <c r="L1042" s="23">
        <f>(Sales!$J1042-Sales!$B1042)/Sales!$J1042</f>
        <v>0.40828402366863903</v>
      </c>
      <c r="M1042" s="23" t="str">
        <f t="shared" si="16"/>
        <v>+20%</v>
      </c>
      <c r="N1042" s="22" t="s">
        <v>64</v>
      </c>
      <c r="O1042" s="22" t="s">
        <v>12</v>
      </c>
      <c r="P1042" s="22" t="s">
        <v>13</v>
      </c>
      <c r="Q1042" s="22" t="s">
        <v>19</v>
      </c>
    </row>
    <row r="1043" spans="1:17" x14ac:dyDescent="0.3">
      <c r="A1043" s="27">
        <v>42</v>
      </c>
      <c r="B1043" s="24">
        <v>100</v>
      </c>
      <c r="C1043" s="25">
        <f>Sales!$B1043*Sales!$A1043</f>
        <v>4200</v>
      </c>
      <c r="D1043" s="26">
        <v>38205</v>
      </c>
      <c r="E1043" s="27" t="s">
        <v>9</v>
      </c>
      <c r="F1043" s="27">
        <v>3</v>
      </c>
      <c r="G1043" s="27">
        <v>8</v>
      </c>
      <c r="H1043" s="27">
        <v>2004</v>
      </c>
      <c r="I1043" s="27" t="s">
        <v>47</v>
      </c>
      <c r="J1043" s="25">
        <v>169</v>
      </c>
      <c r="K1043" s="25">
        <f>Sales!$B1043-Sales!$J1043</f>
        <v>-69</v>
      </c>
      <c r="L1043" s="28">
        <f>(Sales!$J1043-Sales!$B1043)/Sales!$J1043</f>
        <v>0.40828402366863903</v>
      </c>
      <c r="M1043" s="28" t="str">
        <f t="shared" si="16"/>
        <v>+20%</v>
      </c>
      <c r="N1043" s="27" t="s">
        <v>109</v>
      </c>
      <c r="O1043" s="27" t="s">
        <v>12</v>
      </c>
      <c r="P1043" s="27" t="s">
        <v>13</v>
      </c>
      <c r="Q1043" s="27" t="s">
        <v>19</v>
      </c>
    </row>
    <row r="1044" spans="1:17" x14ac:dyDescent="0.3">
      <c r="A1044" s="22">
        <v>25</v>
      </c>
      <c r="B1044" s="19">
        <v>100</v>
      </c>
      <c r="C1044" s="20">
        <f>Sales!$B1044*Sales!$A1044</f>
        <v>2500</v>
      </c>
      <c r="D1044" s="21">
        <v>38218</v>
      </c>
      <c r="E1044" s="22" t="s">
        <v>9</v>
      </c>
      <c r="F1044" s="22">
        <v>3</v>
      </c>
      <c r="G1044" s="22">
        <v>8</v>
      </c>
      <c r="H1044" s="22">
        <v>2004</v>
      </c>
      <c r="I1044" s="22" t="s">
        <v>47</v>
      </c>
      <c r="J1044" s="20">
        <v>169</v>
      </c>
      <c r="K1044" s="20">
        <f>Sales!$B1044-Sales!$J1044</f>
        <v>-69</v>
      </c>
      <c r="L1044" s="23">
        <f>(Sales!$J1044-Sales!$B1044)/Sales!$J1044</f>
        <v>0.40828402366863903</v>
      </c>
      <c r="M1044" s="23" t="str">
        <f t="shared" si="16"/>
        <v>+20%</v>
      </c>
      <c r="N1044" s="22" t="s">
        <v>36</v>
      </c>
      <c r="O1044" s="22" t="s">
        <v>12</v>
      </c>
      <c r="P1044" s="22" t="s">
        <v>13</v>
      </c>
      <c r="Q1044" s="22" t="s">
        <v>19</v>
      </c>
    </row>
    <row r="1045" spans="1:17" x14ac:dyDescent="0.3">
      <c r="A1045" s="27">
        <v>36</v>
      </c>
      <c r="B1045" s="24">
        <v>100</v>
      </c>
      <c r="C1045" s="25">
        <f>Sales!$B1045*Sales!$A1045</f>
        <v>3600</v>
      </c>
      <c r="D1045" s="26">
        <v>38229</v>
      </c>
      <c r="E1045" s="27" t="s">
        <v>9</v>
      </c>
      <c r="F1045" s="27">
        <v>3</v>
      </c>
      <c r="G1045" s="27">
        <v>8</v>
      </c>
      <c r="H1045" s="27">
        <v>2004</v>
      </c>
      <c r="I1045" s="27" t="s">
        <v>47</v>
      </c>
      <c r="J1045" s="25">
        <v>169</v>
      </c>
      <c r="K1045" s="25">
        <f>Sales!$B1045-Sales!$J1045</f>
        <v>-69</v>
      </c>
      <c r="L1045" s="28">
        <f>(Sales!$J1045-Sales!$B1045)/Sales!$J1045</f>
        <v>0.40828402366863903</v>
      </c>
      <c r="M1045" s="28" t="str">
        <f t="shared" si="16"/>
        <v>+20%</v>
      </c>
      <c r="N1045" s="27" t="s">
        <v>95</v>
      </c>
      <c r="O1045" s="27" t="s">
        <v>96</v>
      </c>
      <c r="P1045" s="27" t="s">
        <v>17</v>
      </c>
      <c r="Q1045" s="27" t="s">
        <v>19</v>
      </c>
    </row>
    <row r="1046" spans="1:17" x14ac:dyDescent="0.3">
      <c r="A1046" s="22">
        <v>21</v>
      </c>
      <c r="B1046" s="19">
        <v>100</v>
      </c>
      <c r="C1046" s="20">
        <f>Sales!$B1046*Sales!$A1046</f>
        <v>2100</v>
      </c>
      <c r="D1046" s="21">
        <v>38238</v>
      </c>
      <c r="E1046" s="22" t="s">
        <v>9</v>
      </c>
      <c r="F1046" s="22">
        <v>3</v>
      </c>
      <c r="G1046" s="22">
        <v>9</v>
      </c>
      <c r="H1046" s="22">
        <v>2004</v>
      </c>
      <c r="I1046" s="22" t="s">
        <v>47</v>
      </c>
      <c r="J1046" s="20">
        <v>169</v>
      </c>
      <c r="K1046" s="20">
        <f>Sales!$B1046-Sales!$J1046</f>
        <v>-69</v>
      </c>
      <c r="L1046" s="23">
        <f>(Sales!$J1046-Sales!$B1046)/Sales!$J1046</f>
        <v>0.40828402366863903</v>
      </c>
      <c r="M1046" s="23" t="str">
        <f t="shared" si="16"/>
        <v>+20%</v>
      </c>
      <c r="N1046" s="22" t="s">
        <v>11</v>
      </c>
      <c r="O1046" s="22" t="s">
        <v>12</v>
      </c>
      <c r="P1046" s="22" t="s">
        <v>13</v>
      </c>
      <c r="Q1046" s="22" t="s">
        <v>14</v>
      </c>
    </row>
    <row r="1047" spans="1:17" x14ac:dyDescent="0.3">
      <c r="A1047" s="27">
        <v>23</v>
      </c>
      <c r="B1047" s="24">
        <v>100</v>
      </c>
      <c r="C1047" s="25">
        <f>Sales!$B1047*Sales!$A1047</f>
        <v>2300</v>
      </c>
      <c r="D1047" s="26">
        <v>37899</v>
      </c>
      <c r="E1047" s="27" t="s">
        <v>9</v>
      </c>
      <c r="F1047" s="27">
        <v>4</v>
      </c>
      <c r="G1047" s="27">
        <v>10</v>
      </c>
      <c r="H1047" s="27">
        <v>2003</v>
      </c>
      <c r="I1047" s="27" t="s">
        <v>47</v>
      </c>
      <c r="J1047" s="25">
        <v>169</v>
      </c>
      <c r="K1047" s="25">
        <f>Sales!$B1047-Sales!$J1047</f>
        <v>-69</v>
      </c>
      <c r="L1047" s="28">
        <f>(Sales!$J1047-Sales!$B1047)/Sales!$J1047</f>
        <v>0.40828402366863903</v>
      </c>
      <c r="M1047" s="28" t="str">
        <f t="shared" si="16"/>
        <v>+20%</v>
      </c>
      <c r="N1047" s="27" t="s">
        <v>110</v>
      </c>
      <c r="O1047" s="27" t="s">
        <v>25</v>
      </c>
      <c r="P1047" s="27" t="s">
        <v>17</v>
      </c>
      <c r="Q1047" s="27" t="s">
        <v>19</v>
      </c>
    </row>
    <row r="1048" spans="1:17" x14ac:dyDescent="0.3">
      <c r="A1048" s="22">
        <v>37</v>
      </c>
      <c r="B1048" s="19">
        <v>100</v>
      </c>
      <c r="C1048" s="20">
        <f>Sales!$B1048*Sales!$A1048</f>
        <v>3700</v>
      </c>
      <c r="D1048" s="21">
        <v>38273</v>
      </c>
      <c r="E1048" s="22" t="s">
        <v>9</v>
      </c>
      <c r="F1048" s="22">
        <v>4</v>
      </c>
      <c r="G1048" s="22">
        <v>10</v>
      </c>
      <c r="H1048" s="22">
        <v>2004</v>
      </c>
      <c r="I1048" s="22" t="s">
        <v>47</v>
      </c>
      <c r="J1048" s="20">
        <v>169</v>
      </c>
      <c r="K1048" s="20">
        <f>Sales!$B1048-Sales!$J1048</f>
        <v>-69</v>
      </c>
      <c r="L1048" s="23">
        <f>(Sales!$J1048-Sales!$B1048)/Sales!$J1048</f>
        <v>0.40828402366863903</v>
      </c>
      <c r="M1048" s="23" t="str">
        <f t="shared" si="16"/>
        <v>+20%</v>
      </c>
      <c r="N1048" s="22" t="s">
        <v>32</v>
      </c>
      <c r="O1048" s="22" t="s">
        <v>12</v>
      </c>
      <c r="P1048" s="22" t="s">
        <v>13</v>
      </c>
      <c r="Q1048" s="22" t="s">
        <v>39</v>
      </c>
    </row>
    <row r="1049" spans="1:17" x14ac:dyDescent="0.3">
      <c r="A1049" s="27">
        <v>48</v>
      </c>
      <c r="B1049" s="24">
        <v>100</v>
      </c>
      <c r="C1049" s="25">
        <f>Sales!$B1049*Sales!$A1049</f>
        <v>4800</v>
      </c>
      <c r="D1049" s="26">
        <v>38276</v>
      </c>
      <c r="E1049" s="27" t="s">
        <v>9</v>
      </c>
      <c r="F1049" s="27">
        <v>4</v>
      </c>
      <c r="G1049" s="27">
        <v>10</v>
      </c>
      <c r="H1049" s="27">
        <v>2004</v>
      </c>
      <c r="I1049" s="27" t="s">
        <v>47</v>
      </c>
      <c r="J1049" s="25">
        <v>169</v>
      </c>
      <c r="K1049" s="25">
        <f>Sales!$B1049-Sales!$J1049</f>
        <v>-69</v>
      </c>
      <c r="L1049" s="28">
        <f>(Sales!$J1049-Sales!$B1049)/Sales!$J1049</f>
        <v>0.40828402366863903</v>
      </c>
      <c r="M1049" s="28" t="str">
        <f t="shared" si="16"/>
        <v>+20%</v>
      </c>
      <c r="N1049" s="27" t="s">
        <v>93</v>
      </c>
      <c r="O1049" s="27" t="s">
        <v>94</v>
      </c>
      <c r="P1049" s="27" t="s">
        <v>17</v>
      </c>
      <c r="Q1049" s="27" t="s">
        <v>39</v>
      </c>
    </row>
    <row r="1050" spans="1:17" x14ac:dyDescent="0.3">
      <c r="A1050" s="22">
        <v>25</v>
      </c>
      <c r="B1050" s="19">
        <v>100</v>
      </c>
      <c r="C1050" s="20">
        <f>Sales!$B1050*Sales!$A1050</f>
        <v>2500</v>
      </c>
      <c r="D1050" s="21">
        <v>38282</v>
      </c>
      <c r="E1050" s="22" t="s">
        <v>9</v>
      </c>
      <c r="F1050" s="22">
        <v>4</v>
      </c>
      <c r="G1050" s="22">
        <v>10</v>
      </c>
      <c r="H1050" s="22">
        <v>2004</v>
      </c>
      <c r="I1050" s="22" t="s">
        <v>47</v>
      </c>
      <c r="J1050" s="20">
        <v>169</v>
      </c>
      <c r="K1050" s="20">
        <f>Sales!$B1050-Sales!$J1050</f>
        <v>-69</v>
      </c>
      <c r="L1050" s="23">
        <f>(Sales!$J1050-Sales!$B1050)/Sales!$J1050</f>
        <v>0.40828402366863903</v>
      </c>
      <c r="M1050" s="23" t="str">
        <f t="shared" si="16"/>
        <v>+20%</v>
      </c>
      <c r="N1050" s="22" t="s">
        <v>55</v>
      </c>
      <c r="O1050" s="22" t="s">
        <v>56</v>
      </c>
      <c r="P1050" s="22" t="s">
        <v>13</v>
      </c>
      <c r="Q1050" s="22" t="s">
        <v>19</v>
      </c>
    </row>
    <row r="1051" spans="1:17" x14ac:dyDescent="0.3">
      <c r="A1051" s="27">
        <v>33</v>
      </c>
      <c r="B1051" s="24">
        <v>100</v>
      </c>
      <c r="C1051" s="25">
        <f>Sales!$B1051*Sales!$A1051</f>
        <v>3300</v>
      </c>
      <c r="D1051" s="26">
        <v>38295</v>
      </c>
      <c r="E1051" s="27" t="s">
        <v>9</v>
      </c>
      <c r="F1051" s="27">
        <v>4</v>
      </c>
      <c r="G1051" s="27">
        <v>11</v>
      </c>
      <c r="H1051" s="27">
        <v>2004</v>
      </c>
      <c r="I1051" s="27" t="s">
        <v>47</v>
      </c>
      <c r="J1051" s="25">
        <v>169</v>
      </c>
      <c r="K1051" s="25">
        <f>Sales!$B1051-Sales!$J1051</f>
        <v>-69</v>
      </c>
      <c r="L1051" s="28">
        <f>(Sales!$J1051-Sales!$B1051)/Sales!$J1051</f>
        <v>0.40828402366863903</v>
      </c>
      <c r="M1051" s="28" t="str">
        <f t="shared" si="16"/>
        <v>+20%</v>
      </c>
      <c r="N1051" s="27" t="s">
        <v>41</v>
      </c>
      <c r="O1051" s="27" t="s">
        <v>12</v>
      </c>
      <c r="P1051" s="27" t="s">
        <v>13</v>
      </c>
      <c r="Q1051" s="27" t="s">
        <v>19</v>
      </c>
    </row>
    <row r="1052" spans="1:17" x14ac:dyDescent="0.3">
      <c r="A1052" s="22">
        <v>27</v>
      </c>
      <c r="B1052" s="19">
        <v>100</v>
      </c>
      <c r="C1052" s="20">
        <f>Sales!$B1052*Sales!$A1052</f>
        <v>2700</v>
      </c>
      <c r="D1052" s="21">
        <v>38296</v>
      </c>
      <c r="E1052" s="22" t="s">
        <v>9</v>
      </c>
      <c r="F1052" s="22">
        <v>4</v>
      </c>
      <c r="G1052" s="22">
        <v>11</v>
      </c>
      <c r="H1052" s="22">
        <v>2004</v>
      </c>
      <c r="I1052" s="22" t="s">
        <v>47</v>
      </c>
      <c r="J1052" s="20">
        <v>169</v>
      </c>
      <c r="K1052" s="20">
        <f>Sales!$B1052-Sales!$J1052</f>
        <v>-69</v>
      </c>
      <c r="L1052" s="23">
        <f>(Sales!$J1052-Sales!$B1052)/Sales!$J1052</f>
        <v>0.40828402366863903</v>
      </c>
      <c r="M1052" s="23" t="str">
        <f t="shared" si="16"/>
        <v>+20%</v>
      </c>
      <c r="N1052" s="22" t="s">
        <v>11</v>
      </c>
      <c r="O1052" s="22" t="s">
        <v>12</v>
      </c>
      <c r="P1052" s="22" t="s">
        <v>13</v>
      </c>
      <c r="Q1052" s="22" t="s">
        <v>19</v>
      </c>
    </row>
    <row r="1053" spans="1:17" x14ac:dyDescent="0.3">
      <c r="A1053" s="27">
        <v>27</v>
      </c>
      <c r="B1053" s="24">
        <v>100</v>
      </c>
      <c r="C1053" s="25">
        <f>Sales!$B1053*Sales!$A1053</f>
        <v>2700</v>
      </c>
      <c r="D1053" s="26">
        <v>38308</v>
      </c>
      <c r="E1053" s="27" t="s">
        <v>9</v>
      </c>
      <c r="F1053" s="27">
        <v>4</v>
      </c>
      <c r="G1053" s="27">
        <v>11</v>
      </c>
      <c r="H1053" s="27">
        <v>2004</v>
      </c>
      <c r="I1053" s="27" t="s">
        <v>47</v>
      </c>
      <c r="J1053" s="25">
        <v>169</v>
      </c>
      <c r="K1053" s="25">
        <f>Sales!$B1053-Sales!$J1053</f>
        <v>-69</v>
      </c>
      <c r="L1053" s="28">
        <f>(Sales!$J1053-Sales!$B1053)/Sales!$J1053</f>
        <v>0.40828402366863903</v>
      </c>
      <c r="M1053" s="28" t="str">
        <f t="shared" si="16"/>
        <v>+20%</v>
      </c>
      <c r="N1053" s="27" t="s">
        <v>53</v>
      </c>
      <c r="O1053" s="27" t="s">
        <v>12</v>
      </c>
      <c r="P1053" s="27" t="s">
        <v>13</v>
      </c>
      <c r="Q1053" s="27" t="s">
        <v>19</v>
      </c>
    </row>
    <row r="1054" spans="1:17" x14ac:dyDescent="0.3">
      <c r="A1054" s="22">
        <v>20</v>
      </c>
      <c r="B1054" s="19">
        <v>100</v>
      </c>
      <c r="C1054" s="20">
        <f>Sales!$B1054*Sales!$A1054</f>
        <v>2000</v>
      </c>
      <c r="D1054" s="21">
        <v>38310</v>
      </c>
      <c r="E1054" s="22" t="s">
        <v>87</v>
      </c>
      <c r="F1054" s="22">
        <v>4</v>
      </c>
      <c r="G1054" s="22">
        <v>11</v>
      </c>
      <c r="H1054" s="22">
        <v>2004</v>
      </c>
      <c r="I1054" s="22" t="s">
        <v>47</v>
      </c>
      <c r="J1054" s="20">
        <v>169</v>
      </c>
      <c r="K1054" s="20">
        <f>Sales!$B1054-Sales!$J1054</f>
        <v>-69</v>
      </c>
      <c r="L1054" s="23">
        <f>(Sales!$J1054-Sales!$B1054)/Sales!$J1054</f>
        <v>0.40828402366863903</v>
      </c>
      <c r="M1054" s="23" t="str">
        <f t="shared" si="16"/>
        <v>+20%</v>
      </c>
      <c r="N1054" s="22" t="s">
        <v>48</v>
      </c>
      <c r="O1054" s="22" t="s">
        <v>49</v>
      </c>
      <c r="P1054" s="22" t="s">
        <v>17</v>
      </c>
      <c r="Q1054" s="22" t="s">
        <v>14</v>
      </c>
    </row>
    <row r="1055" spans="1:17" x14ac:dyDescent="0.3">
      <c r="A1055" s="27">
        <v>30</v>
      </c>
      <c r="B1055" s="24">
        <v>100</v>
      </c>
      <c r="C1055" s="25">
        <f>Sales!$B1055*Sales!$A1055</f>
        <v>3000</v>
      </c>
      <c r="D1055" s="26">
        <v>38315</v>
      </c>
      <c r="E1055" s="27" t="s">
        <v>9</v>
      </c>
      <c r="F1055" s="27">
        <v>4</v>
      </c>
      <c r="G1055" s="27">
        <v>11</v>
      </c>
      <c r="H1055" s="27">
        <v>2004</v>
      </c>
      <c r="I1055" s="27" t="s">
        <v>47</v>
      </c>
      <c r="J1055" s="25">
        <v>169</v>
      </c>
      <c r="K1055" s="25">
        <f>Sales!$B1055-Sales!$J1055</f>
        <v>-69</v>
      </c>
      <c r="L1055" s="28">
        <f>(Sales!$J1055-Sales!$B1055)/Sales!$J1055</f>
        <v>0.40828402366863903</v>
      </c>
      <c r="M1055" s="28" t="str">
        <f t="shared" si="16"/>
        <v>+20%</v>
      </c>
      <c r="N1055" s="27" t="s">
        <v>26</v>
      </c>
      <c r="O1055" s="27" t="s">
        <v>27</v>
      </c>
      <c r="P1055" s="27" t="s">
        <v>28</v>
      </c>
      <c r="Q1055" s="27" t="s">
        <v>19</v>
      </c>
    </row>
    <row r="1056" spans="1:17" x14ac:dyDescent="0.3">
      <c r="A1056" s="22">
        <v>48</v>
      </c>
      <c r="B1056" s="19">
        <v>100</v>
      </c>
      <c r="C1056" s="20">
        <f>Sales!$B1056*Sales!$A1056</f>
        <v>4800</v>
      </c>
      <c r="D1056" s="21">
        <v>38322</v>
      </c>
      <c r="E1056" s="22" t="s">
        <v>9</v>
      </c>
      <c r="F1056" s="22">
        <v>4</v>
      </c>
      <c r="G1056" s="22">
        <v>12</v>
      </c>
      <c r="H1056" s="22">
        <v>2004</v>
      </c>
      <c r="I1056" s="22" t="s">
        <v>47</v>
      </c>
      <c r="J1056" s="20">
        <v>169</v>
      </c>
      <c r="K1056" s="20">
        <f>Sales!$B1056-Sales!$J1056</f>
        <v>-69</v>
      </c>
      <c r="L1056" s="23">
        <f>(Sales!$J1056-Sales!$B1056)/Sales!$J1056</f>
        <v>0.40828402366863903</v>
      </c>
      <c r="M1056" s="23" t="str">
        <f t="shared" si="16"/>
        <v>+20%</v>
      </c>
      <c r="N1056" s="22" t="s">
        <v>11</v>
      </c>
      <c r="O1056" s="22" t="s">
        <v>12</v>
      </c>
      <c r="P1056" s="22" t="s">
        <v>13</v>
      </c>
      <c r="Q1056" s="22" t="s">
        <v>39</v>
      </c>
    </row>
    <row r="1057" spans="1:17" x14ac:dyDescent="0.3">
      <c r="A1057" s="27">
        <v>32</v>
      </c>
      <c r="B1057" s="24">
        <v>93.49</v>
      </c>
      <c r="C1057" s="25">
        <f>Sales!$B1057*Sales!$A1057</f>
        <v>2991.68</v>
      </c>
      <c r="D1057" s="26">
        <v>38331</v>
      </c>
      <c r="E1057" s="27" t="s">
        <v>9</v>
      </c>
      <c r="F1057" s="27">
        <v>4</v>
      </c>
      <c r="G1057" s="27">
        <v>12</v>
      </c>
      <c r="H1057" s="27">
        <v>2004</v>
      </c>
      <c r="I1057" s="27" t="s">
        <v>47</v>
      </c>
      <c r="J1057" s="25">
        <v>169</v>
      </c>
      <c r="K1057" s="25">
        <f>Sales!$B1057-Sales!$J1057</f>
        <v>-75.510000000000005</v>
      </c>
      <c r="L1057" s="28">
        <f>(Sales!$J1057-Sales!$B1057)/Sales!$J1057</f>
        <v>0.44680473372781065</v>
      </c>
      <c r="M1057" s="28" t="str">
        <f t="shared" si="16"/>
        <v>+20%</v>
      </c>
      <c r="N1057" s="27" t="s">
        <v>45</v>
      </c>
      <c r="O1057" s="27" t="s">
        <v>46</v>
      </c>
      <c r="P1057" s="27" t="s">
        <v>17</v>
      </c>
      <c r="Q1057" s="27" t="s">
        <v>14</v>
      </c>
    </row>
    <row r="1058" spans="1:17" x14ac:dyDescent="0.3">
      <c r="A1058" s="22">
        <v>34</v>
      </c>
      <c r="B1058" s="19">
        <v>100</v>
      </c>
      <c r="C1058" s="20">
        <f>Sales!$B1058*Sales!$A1058</f>
        <v>3400</v>
      </c>
      <c r="D1058" s="21">
        <v>38362</v>
      </c>
      <c r="E1058" s="22" t="s">
        <v>9</v>
      </c>
      <c r="F1058" s="22">
        <v>1</v>
      </c>
      <c r="G1058" s="22">
        <v>1</v>
      </c>
      <c r="H1058" s="22">
        <v>2005</v>
      </c>
      <c r="I1058" s="22" t="s">
        <v>47</v>
      </c>
      <c r="J1058" s="20">
        <v>169</v>
      </c>
      <c r="K1058" s="20">
        <f>Sales!$B1058-Sales!$J1058</f>
        <v>-69</v>
      </c>
      <c r="L1058" s="23">
        <f>(Sales!$J1058-Sales!$B1058)/Sales!$J1058</f>
        <v>0.40828402366863903</v>
      </c>
      <c r="M1058" s="23" t="str">
        <f t="shared" si="16"/>
        <v>+20%</v>
      </c>
      <c r="N1058" s="22" t="s">
        <v>117</v>
      </c>
      <c r="O1058" s="22" t="s">
        <v>81</v>
      </c>
      <c r="P1058" s="22" t="s">
        <v>17</v>
      </c>
      <c r="Q1058" s="22" t="s">
        <v>19</v>
      </c>
    </row>
    <row r="1059" spans="1:17" x14ac:dyDescent="0.3">
      <c r="A1059" s="27">
        <v>27</v>
      </c>
      <c r="B1059" s="24">
        <v>56.85</v>
      </c>
      <c r="C1059" s="25">
        <f>Sales!$B1059*Sales!$A1059</f>
        <v>1534.95</v>
      </c>
      <c r="D1059" s="26">
        <v>38372</v>
      </c>
      <c r="E1059" s="27" t="s">
        <v>9</v>
      </c>
      <c r="F1059" s="27">
        <v>1</v>
      </c>
      <c r="G1059" s="27">
        <v>1</v>
      </c>
      <c r="H1059" s="27">
        <v>2005</v>
      </c>
      <c r="I1059" s="27" t="s">
        <v>47</v>
      </c>
      <c r="J1059" s="25">
        <v>169</v>
      </c>
      <c r="K1059" s="25">
        <f>Sales!$B1059-Sales!$J1059</f>
        <v>-112.15</v>
      </c>
      <c r="L1059" s="28">
        <f>(Sales!$J1059-Sales!$B1059)/Sales!$J1059</f>
        <v>0.66360946745562133</v>
      </c>
      <c r="M1059" s="28" t="str">
        <f t="shared" si="16"/>
        <v>+20%</v>
      </c>
      <c r="N1059" s="27" t="s">
        <v>67</v>
      </c>
      <c r="O1059" s="27" t="s">
        <v>27</v>
      </c>
      <c r="P1059" s="27" t="s">
        <v>28</v>
      </c>
      <c r="Q1059" s="27" t="s">
        <v>14</v>
      </c>
    </row>
    <row r="1060" spans="1:17" x14ac:dyDescent="0.3">
      <c r="A1060" s="22">
        <v>39</v>
      </c>
      <c r="B1060" s="19">
        <v>100</v>
      </c>
      <c r="C1060" s="20">
        <f>Sales!$B1060*Sales!$A1060</f>
        <v>3900</v>
      </c>
      <c r="D1060" s="21">
        <v>38392</v>
      </c>
      <c r="E1060" s="22" t="s">
        <v>9</v>
      </c>
      <c r="F1060" s="22">
        <v>1</v>
      </c>
      <c r="G1060" s="22">
        <v>2</v>
      </c>
      <c r="H1060" s="22">
        <v>2005</v>
      </c>
      <c r="I1060" s="22" t="s">
        <v>47</v>
      </c>
      <c r="J1060" s="20">
        <v>169</v>
      </c>
      <c r="K1060" s="20">
        <f>Sales!$B1060-Sales!$J1060</f>
        <v>-69</v>
      </c>
      <c r="L1060" s="23">
        <f>(Sales!$J1060-Sales!$B1060)/Sales!$J1060</f>
        <v>0.40828402366863903</v>
      </c>
      <c r="M1060" s="23" t="str">
        <f t="shared" si="16"/>
        <v>+20%</v>
      </c>
      <c r="N1060" s="22" t="s">
        <v>33</v>
      </c>
      <c r="O1060" s="22" t="s">
        <v>34</v>
      </c>
      <c r="P1060" s="22" t="s">
        <v>17</v>
      </c>
      <c r="Q1060" s="22" t="s">
        <v>39</v>
      </c>
    </row>
    <row r="1061" spans="1:17" x14ac:dyDescent="0.3">
      <c r="A1061" s="27">
        <v>47</v>
      </c>
      <c r="B1061" s="24">
        <v>100</v>
      </c>
      <c r="C1061" s="25">
        <f>Sales!$B1061*Sales!$A1061</f>
        <v>4700</v>
      </c>
      <c r="D1061" s="26">
        <v>38405</v>
      </c>
      <c r="E1061" s="27" t="s">
        <v>9</v>
      </c>
      <c r="F1061" s="27">
        <v>1</v>
      </c>
      <c r="G1061" s="27">
        <v>2</v>
      </c>
      <c r="H1061" s="27">
        <v>2005</v>
      </c>
      <c r="I1061" s="27" t="s">
        <v>47</v>
      </c>
      <c r="J1061" s="25">
        <v>169</v>
      </c>
      <c r="K1061" s="25">
        <f>Sales!$B1061-Sales!$J1061</f>
        <v>-69</v>
      </c>
      <c r="L1061" s="28">
        <f>(Sales!$J1061-Sales!$B1061)/Sales!$J1061</f>
        <v>0.40828402366863903</v>
      </c>
      <c r="M1061" s="28" t="str">
        <f t="shared" si="16"/>
        <v>+20%</v>
      </c>
      <c r="N1061" s="27" t="s">
        <v>45</v>
      </c>
      <c r="O1061" s="27" t="s">
        <v>46</v>
      </c>
      <c r="P1061" s="27" t="s">
        <v>17</v>
      </c>
      <c r="Q1061" s="27" t="s">
        <v>19</v>
      </c>
    </row>
    <row r="1062" spans="1:17" x14ac:dyDescent="0.3">
      <c r="A1062" s="22">
        <v>22</v>
      </c>
      <c r="B1062" s="19">
        <v>100</v>
      </c>
      <c r="C1062" s="20">
        <f>Sales!$B1062*Sales!$A1062</f>
        <v>2200</v>
      </c>
      <c r="D1062" s="21">
        <v>38426</v>
      </c>
      <c r="E1062" s="22" t="s">
        <v>9</v>
      </c>
      <c r="F1062" s="22">
        <v>1</v>
      </c>
      <c r="G1062" s="22">
        <v>3</v>
      </c>
      <c r="H1062" s="22">
        <v>2005</v>
      </c>
      <c r="I1062" s="22" t="s">
        <v>47</v>
      </c>
      <c r="J1062" s="20">
        <v>169</v>
      </c>
      <c r="K1062" s="20">
        <f>Sales!$B1062-Sales!$J1062</f>
        <v>-69</v>
      </c>
      <c r="L1062" s="23">
        <f>(Sales!$J1062-Sales!$B1062)/Sales!$J1062</f>
        <v>0.40828402366863903</v>
      </c>
      <c r="M1062" s="23" t="str">
        <f t="shared" si="16"/>
        <v>+20%</v>
      </c>
      <c r="N1062" s="22" t="s">
        <v>45</v>
      </c>
      <c r="O1062" s="22" t="s">
        <v>46</v>
      </c>
      <c r="P1062" s="22" t="s">
        <v>17</v>
      </c>
      <c r="Q1062" s="22" t="s">
        <v>19</v>
      </c>
    </row>
    <row r="1063" spans="1:17" x14ac:dyDescent="0.3">
      <c r="A1063" s="27">
        <v>55</v>
      </c>
      <c r="B1063" s="24">
        <v>100</v>
      </c>
      <c r="C1063" s="25">
        <f>Sales!$B1063*Sales!$A1063</f>
        <v>5500</v>
      </c>
      <c r="D1063" s="26">
        <v>38456</v>
      </c>
      <c r="E1063" s="27" t="s">
        <v>9</v>
      </c>
      <c r="F1063" s="27">
        <v>2</v>
      </c>
      <c r="G1063" s="27">
        <v>4</v>
      </c>
      <c r="H1063" s="27">
        <v>2005</v>
      </c>
      <c r="I1063" s="27" t="s">
        <v>47</v>
      </c>
      <c r="J1063" s="25">
        <v>169</v>
      </c>
      <c r="K1063" s="25">
        <f>Sales!$B1063-Sales!$J1063</f>
        <v>-69</v>
      </c>
      <c r="L1063" s="28">
        <f>(Sales!$J1063-Sales!$B1063)/Sales!$J1063</f>
        <v>0.40828402366863903</v>
      </c>
      <c r="M1063" s="28" t="str">
        <f t="shared" si="16"/>
        <v>+20%</v>
      </c>
      <c r="N1063" s="27" t="s">
        <v>108</v>
      </c>
      <c r="O1063" s="27" t="s">
        <v>16</v>
      </c>
      <c r="P1063" s="27" t="s">
        <v>17</v>
      </c>
      <c r="Q1063" s="27" t="s">
        <v>39</v>
      </c>
    </row>
    <row r="1064" spans="1:17" x14ac:dyDescent="0.3">
      <c r="A1064" s="22">
        <v>60</v>
      </c>
      <c r="B1064" s="19">
        <v>100</v>
      </c>
      <c r="C1064" s="20">
        <f>Sales!$B1064*Sales!$A1064</f>
        <v>6000</v>
      </c>
      <c r="D1064" s="21">
        <v>38475</v>
      </c>
      <c r="E1064" s="22" t="s">
        <v>9</v>
      </c>
      <c r="F1064" s="22">
        <v>2</v>
      </c>
      <c r="G1064" s="22">
        <v>5</v>
      </c>
      <c r="H1064" s="22">
        <v>2005</v>
      </c>
      <c r="I1064" s="22" t="s">
        <v>47</v>
      </c>
      <c r="J1064" s="20">
        <v>169</v>
      </c>
      <c r="K1064" s="20">
        <f>Sales!$B1064-Sales!$J1064</f>
        <v>-69</v>
      </c>
      <c r="L1064" s="23">
        <f>(Sales!$J1064-Sales!$B1064)/Sales!$J1064</f>
        <v>0.40828402366863903</v>
      </c>
      <c r="M1064" s="23" t="str">
        <f t="shared" si="16"/>
        <v>+20%</v>
      </c>
      <c r="N1064" s="22" t="s">
        <v>45</v>
      </c>
      <c r="O1064" s="22" t="s">
        <v>46</v>
      </c>
      <c r="P1064" s="22" t="s">
        <v>17</v>
      </c>
      <c r="Q1064" s="22" t="s">
        <v>39</v>
      </c>
    </row>
    <row r="1065" spans="1:17" x14ac:dyDescent="0.3">
      <c r="A1065" s="27">
        <v>35</v>
      </c>
      <c r="B1065" s="24">
        <v>100</v>
      </c>
      <c r="C1065" s="25">
        <f>Sales!$B1065*Sales!$A1065</f>
        <v>3500</v>
      </c>
      <c r="D1065" s="26">
        <v>38489</v>
      </c>
      <c r="E1065" s="27" t="s">
        <v>9</v>
      </c>
      <c r="F1065" s="27">
        <v>2</v>
      </c>
      <c r="G1065" s="27">
        <v>5</v>
      </c>
      <c r="H1065" s="27">
        <v>2005</v>
      </c>
      <c r="I1065" s="27" t="s">
        <v>47</v>
      </c>
      <c r="J1065" s="25">
        <v>169</v>
      </c>
      <c r="K1065" s="25">
        <f>Sales!$B1065-Sales!$J1065</f>
        <v>-69</v>
      </c>
      <c r="L1065" s="28">
        <f>(Sales!$J1065-Sales!$B1065)/Sales!$J1065</f>
        <v>0.40828402366863903</v>
      </c>
      <c r="M1065" s="28" t="str">
        <f t="shared" si="16"/>
        <v>+20%</v>
      </c>
      <c r="N1065" s="27" t="s">
        <v>37</v>
      </c>
      <c r="O1065" s="27" t="s">
        <v>38</v>
      </c>
      <c r="P1065" s="27" t="s">
        <v>17</v>
      </c>
      <c r="Q1065" s="27" t="s">
        <v>19</v>
      </c>
    </row>
    <row r="1066" spans="1:17" x14ac:dyDescent="0.3">
      <c r="A1066" s="22">
        <v>28</v>
      </c>
      <c r="B1066" s="19">
        <v>100</v>
      </c>
      <c r="C1066" s="20">
        <f>Sales!$B1066*Sales!$A1066</f>
        <v>2800</v>
      </c>
      <c r="D1066" s="21">
        <v>38503</v>
      </c>
      <c r="E1066" s="22" t="s">
        <v>69</v>
      </c>
      <c r="F1066" s="22">
        <v>2</v>
      </c>
      <c r="G1066" s="22">
        <v>5</v>
      </c>
      <c r="H1066" s="22">
        <v>2005</v>
      </c>
      <c r="I1066" s="22" t="s">
        <v>47</v>
      </c>
      <c r="J1066" s="20">
        <v>169</v>
      </c>
      <c r="K1066" s="20">
        <f>Sales!$B1066-Sales!$J1066</f>
        <v>-69</v>
      </c>
      <c r="L1066" s="23">
        <f>(Sales!$J1066-Sales!$B1066)/Sales!$J1066</f>
        <v>0.40828402366863903</v>
      </c>
      <c r="M1066" s="23" t="str">
        <f t="shared" si="16"/>
        <v>+20%</v>
      </c>
      <c r="N1066" s="22" t="s">
        <v>31</v>
      </c>
      <c r="O1066" s="22" t="s">
        <v>16</v>
      </c>
      <c r="P1066" s="22" t="s">
        <v>17</v>
      </c>
      <c r="Q1066" s="22" t="s">
        <v>19</v>
      </c>
    </row>
    <row r="1067" spans="1:17" x14ac:dyDescent="0.3">
      <c r="A1067" s="27">
        <v>38</v>
      </c>
      <c r="B1067" s="24">
        <v>100</v>
      </c>
      <c r="C1067" s="25">
        <f>Sales!$B1067*Sales!$A1067</f>
        <v>3800</v>
      </c>
      <c r="D1067" s="26">
        <v>37663</v>
      </c>
      <c r="E1067" s="27" t="s">
        <v>9</v>
      </c>
      <c r="F1067" s="27">
        <v>1</v>
      </c>
      <c r="G1067" s="27">
        <v>2</v>
      </c>
      <c r="H1067" s="27">
        <v>2003</v>
      </c>
      <c r="I1067" s="27" t="s">
        <v>119</v>
      </c>
      <c r="J1067" s="25">
        <v>100</v>
      </c>
      <c r="K1067" s="25">
        <f>Sales!$B1067-Sales!$J1067</f>
        <v>0</v>
      </c>
      <c r="L1067" s="28">
        <f>(Sales!$J1067-Sales!$B1067)/Sales!$J1067</f>
        <v>0</v>
      </c>
      <c r="M1067" s="28" t="s">
        <v>130</v>
      </c>
      <c r="N1067" s="27" t="s">
        <v>72</v>
      </c>
      <c r="O1067" s="27" t="s">
        <v>73</v>
      </c>
      <c r="P1067" s="27" t="s">
        <v>17</v>
      </c>
      <c r="Q1067" s="27" t="s">
        <v>19</v>
      </c>
    </row>
    <row r="1068" spans="1:17" x14ac:dyDescent="0.3">
      <c r="A1068" s="22">
        <v>21</v>
      </c>
      <c r="B1068" s="19">
        <v>95.8</v>
      </c>
      <c r="C1068" s="20">
        <f>Sales!$B1068*Sales!$A1068</f>
        <v>2011.8</v>
      </c>
      <c r="D1068" s="21">
        <v>37727</v>
      </c>
      <c r="E1068" s="22" t="s">
        <v>9</v>
      </c>
      <c r="F1068" s="22">
        <v>2</v>
      </c>
      <c r="G1068" s="22">
        <v>4</v>
      </c>
      <c r="H1068" s="22">
        <v>2003</v>
      </c>
      <c r="I1068" s="22" t="s">
        <v>119</v>
      </c>
      <c r="J1068" s="20">
        <v>100</v>
      </c>
      <c r="K1068" s="20">
        <f>Sales!$B1068-Sales!$J1068</f>
        <v>-4.2000000000000028</v>
      </c>
      <c r="L1068" s="23">
        <f>(Sales!$J1068-Sales!$B1068)/Sales!$J1068</f>
        <v>4.200000000000003E-2</v>
      </c>
      <c r="M1068" s="23" t="str">
        <f t="shared" si="16"/>
        <v>0%-5%</v>
      </c>
      <c r="N1068" s="22" t="s">
        <v>50</v>
      </c>
      <c r="O1068" s="22" t="s">
        <v>50</v>
      </c>
      <c r="P1068" s="22" t="s">
        <v>28</v>
      </c>
      <c r="Q1068" s="22" t="s">
        <v>14</v>
      </c>
    </row>
    <row r="1069" spans="1:17" x14ac:dyDescent="0.3">
      <c r="A1069" s="27">
        <v>41</v>
      </c>
      <c r="B1069" s="24">
        <v>100</v>
      </c>
      <c r="C1069" s="25">
        <f>Sales!$B1069*Sales!$A1069</f>
        <v>4100</v>
      </c>
      <c r="D1069" s="26">
        <v>37778</v>
      </c>
      <c r="E1069" s="27" t="s">
        <v>9</v>
      </c>
      <c r="F1069" s="27">
        <v>2</v>
      </c>
      <c r="G1069" s="27">
        <v>6</v>
      </c>
      <c r="H1069" s="27">
        <v>2003</v>
      </c>
      <c r="I1069" s="27" t="s">
        <v>119</v>
      </c>
      <c r="J1069" s="25">
        <v>100</v>
      </c>
      <c r="K1069" s="25">
        <f>Sales!$B1069-Sales!$J1069</f>
        <v>0</v>
      </c>
      <c r="L1069" s="28">
        <f>(Sales!$J1069-Sales!$B1069)/Sales!$J1069</f>
        <v>0</v>
      </c>
      <c r="M1069" s="28" t="s">
        <v>130</v>
      </c>
      <c r="N1069" s="27" t="s">
        <v>45</v>
      </c>
      <c r="O1069" s="27" t="s">
        <v>46</v>
      </c>
      <c r="P1069" s="27" t="s">
        <v>17</v>
      </c>
      <c r="Q1069" s="27" t="s">
        <v>19</v>
      </c>
    </row>
    <row r="1070" spans="1:17" x14ac:dyDescent="0.3">
      <c r="A1070" s="22">
        <v>22</v>
      </c>
      <c r="B1070" s="19">
        <v>97.81</v>
      </c>
      <c r="C1070" s="20">
        <f>Sales!$B1070*Sales!$A1070</f>
        <v>2151.8200000000002</v>
      </c>
      <c r="D1070" s="21">
        <v>37841</v>
      </c>
      <c r="E1070" s="22" t="s">
        <v>9</v>
      </c>
      <c r="F1070" s="22">
        <v>3</v>
      </c>
      <c r="G1070" s="22">
        <v>8</v>
      </c>
      <c r="H1070" s="22">
        <v>2003</v>
      </c>
      <c r="I1070" s="22" t="s">
        <v>119</v>
      </c>
      <c r="J1070" s="20">
        <v>100</v>
      </c>
      <c r="K1070" s="20">
        <f>Sales!$B1070-Sales!$J1070</f>
        <v>-2.1899999999999977</v>
      </c>
      <c r="L1070" s="23">
        <f>(Sales!$J1070-Sales!$B1070)/Sales!$J1070</f>
        <v>2.1899999999999979E-2</v>
      </c>
      <c r="M1070" s="23" t="str">
        <f t="shared" si="16"/>
        <v>0%-5%</v>
      </c>
      <c r="N1070" s="22" t="s">
        <v>64</v>
      </c>
      <c r="O1070" s="22" t="s">
        <v>12</v>
      </c>
      <c r="P1070" s="22" t="s">
        <v>13</v>
      </c>
      <c r="Q1070" s="22" t="s">
        <v>14</v>
      </c>
    </row>
    <row r="1071" spans="1:17" x14ac:dyDescent="0.3">
      <c r="A1071" s="27">
        <v>29</v>
      </c>
      <c r="B1071" s="24">
        <v>88.74</v>
      </c>
      <c r="C1071" s="25">
        <f>Sales!$B1071*Sales!$A1071</f>
        <v>2573.46</v>
      </c>
      <c r="D1071" s="26">
        <v>37892</v>
      </c>
      <c r="E1071" s="27" t="s">
        <v>9</v>
      </c>
      <c r="F1071" s="27">
        <v>3</v>
      </c>
      <c r="G1071" s="27">
        <v>9</v>
      </c>
      <c r="H1071" s="27">
        <v>2003</v>
      </c>
      <c r="I1071" s="27" t="s">
        <v>119</v>
      </c>
      <c r="J1071" s="25">
        <v>100</v>
      </c>
      <c r="K1071" s="25">
        <f>Sales!$B1071-Sales!$J1071</f>
        <v>-11.260000000000005</v>
      </c>
      <c r="L1071" s="28">
        <f>(Sales!$J1071-Sales!$B1071)/Sales!$J1071</f>
        <v>0.11260000000000005</v>
      </c>
      <c r="M1071" s="28" t="str">
        <f t="shared" si="16"/>
        <v>10%-15%</v>
      </c>
      <c r="N1071" s="27" t="s">
        <v>45</v>
      </c>
      <c r="O1071" s="27" t="s">
        <v>46</v>
      </c>
      <c r="P1071" s="27" t="s">
        <v>17</v>
      </c>
      <c r="Q1071" s="27" t="s">
        <v>14</v>
      </c>
    </row>
    <row r="1072" spans="1:17" x14ac:dyDescent="0.3">
      <c r="A1072" s="22">
        <v>50</v>
      </c>
      <c r="B1072" s="19">
        <v>100</v>
      </c>
      <c r="C1072" s="20">
        <f>Sales!$B1072*Sales!$A1072</f>
        <v>5000</v>
      </c>
      <c r="D1072" s="21">
        <v>37916</v>
      </c>
      <c r="E1072" s="22" t="s">
        <v>9</v>
      </c>
      <c r="F1072" s="22">
        <v>4</v>
      </c>
      <c r="G1072" s="22">
        <v>10</v>
      </c>
      <c r="H1072" s="22">
        <v>2003</v>
      </c>
      <c r="I1072" s="22" t="s">
        <v>119</v>
      </c>
      <c r="J1072" s="20">
        <v>100</v>
      </c>
      <c r="K1072" s="20">
        <f>Sales!$B1072-Sales!$J1072</f>
        <v>0</v>
      </c>
      <c r="L1072" s="23">
        <f>(Sales!$J1072-Sales!$B1072)/Sales!$J1072</f>
        <v>0</v>
      </c>
      <c r="M1072" s="23" t="s">
        <v>130</v>
      </c>
      <c r="N1072" s="22" t="s">
        <v>50</v>
      </c>
      <c r="O1072" s="22" t="s">
        <v>50</v>
      </c>
      <c r="P1072" s="22" t="s">
        <v>28</v>
      </c>
      <c r="Q1072" s="22" t="s">
        <v>19</v>
      </c>
    </row>
    <row r="1073" spans="1:17" x14ac:dyDescent="0.3">
      <c r="A1073" s="27">
        <v>29</v>
      </c>
      <c r="B1073" s="24">
        <v>100</v>
      </c>
      <c r="C1073" s="25">
        <f>Sales!$B1073*Sales!$A1073</f>
        <v>2900</v>
      </c>
      <c r="D1073" s="26">
        <v>37932</v>
      </c>
      <c r="E1073" s="27" t="s">
        <v>9</v>
      </c>
      <c r="F1073" s="27">
        <v>4</v>
      </c>
      <c r="G1073" s="27">
        <v>11</v>
      </c>
      <c r="H1073" s="27">
        <v>2003</v>
      </c>
      <c r="I1073" s="27" t="s">
        <v>119</v>
      </c>
      <c r="J1073" s="25">
        <v>100</v>
      </c>
      <c r="K1073" s="25">
        <f>Sales!$B1073-Sales!$J1073</f>
        <v>0</v>
      </c>
      <c r="L1073" s="28">
        <f>(Sales!$J1073-Sales!$B1073)/Sales!$J1073</f>
        <v>0</v>
      </c>
      <c r="M1073" s="28" t="s">
        <v>130</v>
      </c>
      <c r="N1073" s="27" t="s">
        <v>45</v>
      </c>
      <c r="O1073" s="27" t="s">
        <v>46</v>
      </c>
      <c r="P1073" s="27" t="s">
        <v>17</v>
      </c>
      <c r="Q1073" s="27" t="s">
        <v>19</v>
      </c>
    </row>
    <row r="1074" spans="1:17" x14ac:dyDescent="0.3">
      <c r="A1074" s="22">
        <v>49</v>
      </c>
      <c r="B1074" s="19">
        <v>80.67</v>
      </c>
      <c r="C1074" s="20">
        <f>Sales!$B1074*Sales!$A1074</f>
        <v>3952.83</v>
      </c>
      <c r="D1074" s="21">
        <v>37939</v>
      </c>
      <c r="E1074" s="22" t="s">
        <v>9</v>
      </c>
      <c r="F1074" s="22">
        <v>4</v>
      </c>
      <c r="G1074" s="22">
        <v>11</v>
      </c>
      <c r="H1074" s="22">
        <v>2003</v>
      </c>
      <c r="I1074" s="22" t="s">
        <v>119</v>
      </c>
      <c r="J1074" s="20">
        <v>100</v>
      </c>
      <c r="K1074" s="20">
        <f>Sales!$B1074-Sales!$J1074</f>
        <v>-19.329999999999998</v>
      </c>
      <c r="L1074" s="23">
        <f>(Sales!$J1074-Sales!$B1074)/Sales!$J1074</f>
        <v>0.19329999999999997</v>
      </c>
      <c r="M1074" s="23" t="str">
        <f t="shared" si="16"/>
        <v>15%-20%</v>
      </c>
      <c r="N1074" s="22" t="s">
        <v>41</v>
      </c>
      <c r="O1074" s="22" t="s">
        <v>12</v>
      </c>
      <c r="P1074" s="22" t="s">
        <v>13</v>
      </c>
      <c r="Q1074" s="22" t="s">
        <v>19</v>
      </c>
    </row>
    <row r="1075" spans="1:17" x14ac:dyDescent="0.3">
      <c r="A1075" s="27">
        <v>35</v>
      </c>
      <c r="B1075" s="24">
        <v>100</v>
      </c>
      <c r="C1075" s="25">
        <f>Sales!$B1075*Sales!$A1075</f>
        <v>3500</v>
      </c>
      <c r="D1075" s="26">
        <v>37951</v>
      </c>
      <c r="E1075" s="27" t="s">
        <v>9</v>
      </c>
      <c r="F1075" s="27">
        <v>4</v>
      </c>
      <c r="G1075" s="27">
        <v>11</v>
      </c>
      <c r="H1075" s="27">
        <v>2003</v>
      </c>
      <c r="I1075" s="27" t="s">
        <v>119</v>
      </c>
      <c r="J1075" s="25">
        <v>100</v>
      </c>
      <c r="K1075" s="25">
        <f>Sales!$B1075-Sales!$J1075</f>
        <v>0</v>
      </c>
      <c r="L1075" s="28">
        <f>(Sales!$J1075-Sales!$B1075)/Sales!$J1075</f>
        <v>0</v>
      </c>
      <c r="M1075" s="28" t="s">
        <v>130</v>
      </c>
      <c r="N1075" s="27" t="s">
        <v>58</v>
      </c>
      <c r="O1075" s="27" t="s">
        <v>12</v>
      </c>
      <c r="P1075" s="27" t="s">
        <v>13</v>
      </c>
      <c r="Q1075" s="27" t="s">
        <v>19</v>
      </c>
    </row>
    <row r="1076" spans="1:17" x14ac:dyDescent="0.3">
      <c r="A1076" s="22">
        <v>48</v>
      </c>
      <c r="B1076" s="19">
        <v>100</v>
      </c>
      <c r="C1076" s="20">
        <f>Sales!$B1076*Sales!$A1076</f>
        <v>4800</v>
      </c>
      <c r="D1076" s="21">
        <v>37988</v>
      </c>
      <c r="E1076" s="22" t="s">
        <v>9</v>
      </c>
      <c r="F1076" s="22">
        <v>1</v>
      </c>
      <c r="G1076" s="22">
        <v>1</v>
      </c>
      <c r="H1076" s="22">
        <v>2004</v>
      </c>
      <c r="I1076" s="22" t="s">
        <v>119</v>
      </c>
      <c r="J1076" s="20">
        <v>100</v>
      </c>
      <c r="K1076" s="20">
        <f>Sales!$B1076-Sales!$J1076</f>
        <v>0</v>
      </c>
      <c r="L1076" s="23">
        <f>(Sales!$J1076-Sales!$B1076)/Sales!$J1076</f>
        <v>0</v>
      </c>
      <c r="M1076" s="23" t="s">
        <v>130</v>
      </c>
      <c r="N1076" s="22" t="s">
        <v>54</v>
      </c>
      <c r="O1076" s="22" t="s">
        <v>16</v>
      </c>
      <c r="P1076" s="22" t="s">
        <v>17</v>
      </c>
      <c r="Q1076" s="22" t="s">
        <v>19</v>
      </c>
    </row>
    <row r="1077" spans="1:17" x14ac:dyDescent="0.3">
      <c r="A1077" s="27">
        <v>23</v>
      </c>
      <c r="B1077" s="24">
        <v>80.67</v>
      </c>
      <c r="C1077" s="25">
        <f>Sales!$B1077*Sales!$A1077</f>
        <v>1855.41</v>
      </c>
      <c r="D1077" s="26">
        <v>38035</v>
      </c>
      <c r="E1077" s="27" t="s">
        <v>9</v>
      </c>
      <c r="F1077" s="27">
        <v>1</v>
      </c>
      <c r="G1077" s="27">
        <v>2</v>
      </c>
      <c r="H1077" s="27">
        <v>2004</v>
      </c>
      <c r="I1077" s="27" t="s">
        <v>119</v>
      </c>
      <c r="J1077" s="25">
        <v>100</v>
      </c>
      <c r="K1077" s="25">
        <f>Sales!$B1077-Sales!$J1077</f>
        <v>-19.329999999999998</v>
      </c>
      <c r="L1077" s="28">
        <f>(Sales!$J1077-Sales!$B1077)/Sales!$J1077</f>
        <v>0.19329999999999997</v>
      </c>
      <c r="M1077" s="28" t="str">
        <f t="shared" si="16"/>
        <v>15%-20%</v>
      </c>
      <c r="N1077" s="27" t="s">
        <v>80</v>
      </c>
      <c r="O1077" s="27" t="s">
        <v>81</v>
      </c>
      <c r="P1077" s="27" t="s">
        <v>17</v>
      </c>
      <c r="Q1077" s="27" t="s">
        <v>14</v>
      </c>
    </row>
    <row r="1078" spans="1:17" x14ac:dyDescent="0.3">
      <c r="A1078" s="22">
        <v>48</v>
      </c>
      <c r="B1078" s="19">
        <v>95.8</v>
      </c>
      <c r="C1078" s="20">
        <f>Sales!$B1078*Sales!$A1078</f>
        <v>4598.3999999999996</v>
      </c>
      <c r="D1078" s="21">
        <v>38066</v>
      </c>
      <c r="E1078" s="22" t="s">
        <v>9</v>
      </c>
      <c r="F1078" s="22">
        <v>1</v>
      </c>
      <c r="G1078" s="22">
        <v>3</v>
      </c>
      <c r="H1078" s="22">
        <v>2004</v>
      </c>
      <c r="I1078" s="22" t="s">
        <v>119</v>
      </c>
      <c r="J1078" s="20">
        <v>100</v>
      </c>
      <c r="K1078" s="20">
        <f>Sales!$B1078-Sales!$J1078</f>
        <v>-4.2000000000000028</v>
      </c>
      <c r="L1078" s="23">
        <f>(Sales!$J1078-Sales!$B1078)/Sales!$J1078</f>
        <v>4.200000000000003E-2</v>
      </c>
      <c r="M1078" s="23" t="str">
        <f t="shared" si="16"/>
        <v>0%-5%</v>
      </c>
      <c r="N1078" s="22" t="s">
        <v>84</v>
      </c>
      <c r="O1078" s="22" t="s">
        <v>43</v>
      </c>
      <c r="P1078" s="22" t="s">
        <v>17</v>
      </c>
      <c r="Q1078" s="22" t="s">
        <v>19</v>
      </c>
    </row>
    <row r="1079" spans="1:17" x14ac:dyDescent="0.3">
      <c r="A1079" s="27">
        <v>42</v>
      </c>
      <c r="B1079" s="24">
        <v>100</v>
      </c>
      <c r="C1079" s="25">
        <f>Sales!$B1079*Sales!$A1079</f>
        <v>4200</v>
      </c>
      <c r="D1079" s="26">
        <v>38114</v>
      </c>
      <c r="E1079" s="27" t="s">
        <v>75</v>
      </c>
      <c r="F1079" s="27">
        <v>2</v>
      </c>
      <c r="G1079" s="27">
        <v>5</v>
      </c>
      <c r="H1079" s="27">
        <v>2004</v>
      </c>
      <c r="I1079" s="27" t="s">
        <v>119</v>
      </c>
      <c r="J1079" s="25">
        <v>100</v>
      </c>
      <c r="K1079" s="25">
        <f>Sales!$B1079-Sales!$J1079</f>
        <v>0</v>
      </c>
      <c r="L1079" s="28">
        <f>(Sales!$J1079-Sales!$B1079)/Sales!$J1079</f>
        <v>0</v>
      </c>
      <c r="M1079" s="28" t="s">
        <v>130</v>
      </c>
      <c r="N1079" s="27" t="s">
        <v>11</v>
      </c>
      <c r="O1079" s="27" t="s">
        <v>12</v>
      </c>
      <c r="P1079" s="27" t="s">
        <v>13</v>
      </c>
      <c r="Q1079" s="27" t="s">
        <v>19</v>
      </c>
    </row>
    <row r="1080" spans="1:17" x14ac:dyDescent="0.3">
      <c r="A1080" s="22">
        <v>47</v>
      </c>
      <c r="B1080" s="19">
        <v>100</v>
      </c>
      <c r="C1080" s="20">
        <f>Sales!$B1080*Sales!$A1080</f>
        <v>4700</v>
      </c>
      <c r="D1080" s="21">
        <v>38189</v>
      </c>
      <c r="E1080" s="22" t="s">
        <v>9</v>
      </c>
      <c r="F1080" s="22">
        <v>3</v>
      </c>
      <c r="G1080" s="22">
        <v>7</v>
      </c>
      <c r="H1080" s="22">
        <v>2004</v>
      </c>
      <c r="I1080" s="22" t="s">
        <v>119</v>
      </c>
      <c r="J1080" s="20">
        <v>100</v>
      </c>
      <c r="K1080" s="20">
        <f>Sales!$B1080-Sales!$J1080</f>
        <v>0</v>
      </c>
      <c r="L1080" s="23">
        <f>(Sales!$J1080-Sales!$B1080)/Sales!$J1080</f>
        <v>0</v>
      </c>
      <c r="M1080" s="23" t="s">
        <v>130</v>
      </c>
      <c r="N1080" s="22" t="s">
        <v>80</v>
      </c>
      <c r="O1080" s="22" t="s">
        <v>81</v>
      </c>
      <c r="P1080" s="22" t="s">
        <v>17</v>
      </c>
      <c r="Q1080" s="22" t="s">
        <v>19</v>
      </c>
    </row>
    <row r="1081" spans="1:17" x14ac:dyDescent="0.3">
      <c r="A1081" s="27">
        <v>36</v>
      </c>
      <c r="B1081" s="24">
        <v>100</v>
      </c>
      <c r="C1081" s="25">
        <f>Sales!$B1081*Sales!$A1081</f>
        <v>3600</v>
      </c>
      <c r="D1081" s="26">
        <v>38219</v>
      </c>
      <c r="E1081" s="27" t="s">
        <v>9</v>
      </c>
      <c r="F1081" s="27">
        <v>3</v>
      </c>
      <c r="G1081" s="27">
        <v>8</v>
      </c>
      <c r="H1081" s="27">
        <v>2004</v>
      </c>
      <c r="I1081" s="27" t="s">
        <v>119</v>
      </c>
      <c r="J1081" s="25">
        <v>100</v>
      </c>
      <c r="K1081" s="25">
        <f>Sales!$B1081-Sales!$J1081</f>
        <v>0</v>
      </c>
      <c r="L1081" s="28">
        <f>(Sales!$J1081-Sales!$B1081)/Sales!$J1081</f>
        <v>0</v>
      </c>
      <c r="M1081" s="28" t="s">
        <v>130</v>
      </c>
      <c r="N1081" s="27" t="s">
        <v>64</v>
      </c>
      <c r="O1081" s="27" t="s">
        <v>12</v>
      </c>
      <c r="P1081" s="27" t="s">
        <v>13</v>
      </c>
      <c r="Q1081" s="27" t="s">
        <v>19</v>
      </c>
    </row>
    <row r="1082" spans="1:17" x14ac:dyDescent="0.3">
      <c r="A1082" s="22">
        <v>22</v>
      </c>
      <c r="B1082" s="19">
        <v>100</v>
      </c>
      <c r="C1082" s="20">
        <f>Sales!$B1082*Sales!$A1082</f>
        <v>2200</v>
      </c>
      <c r="D1082" s="21">
        <v>38239</v>
      </c>
      <c r="E1082" s="22" t="s">
        <v>9</v>
      </c>
      <c r="F1082" s="22">
        <v>3</v>
      </c>
      <c r="G1082" s="22">
        <v>9</v>
      </c>
      <c r="H1082" s="22">
        <v>2004</v>
      </c>
      <c r="I1082" s="22" t="s">
        <v>119</v>
      </c>
      <c r="J1082" s="20">
        <v>100</v>
      </c>
      <c r="K1082" s="20">
        <f>Sales!$B1082-Sales!$J1082</f>
        <v>0</v>
      </c>
      <c r="L1082" s="23">
        <f>(Sales!$J1082-Sales!$B1082)/Sales!$J1082</f>
        <v>0</v>
      </c>
      <c r="M1082" s="23" t="s">
        <v>130</v>
      </c>
      <c r="N1082" s="22" t="s">
        <v>60</v>
      </c>
      <c r="O1082" s="22" t="s">
        <v>61</v>
      </c>
      <c r="P1082" s="22" t="s">
        <v>17</v>
      </c>
      <c r="Q1082" s="22" t="s">
        <v>14</v>
      </c>
    </row>
    <row r="1083" spans="1:17" x14ac:dyDescent="0.3">
      <c r="A1083" s="27">
        <v>40</v>
      </c>
      <c r="B1083" s="24">
        <v>91.76</v>
      </c>
      <c r="C1083" s="25">
        <f>Sales!$B1083*Sales!$A1083</f>
        <v>3670.4</v>
      </c>
      <c r="D1083" s="26">
        <v>38274</v>
      </c>
      <c r="E1083" s="27" t="s">
        <v>9</v>
      </c>
      <c r="F1083" s="27">
        <v>4</v>
      </c>
      <c r="G1083" s="27">
        <v>10</v>
      </c>
      <c r="H1083" s="27">
        <v>2004</v>
      </c>
      <c r="I1083" s="27" t="s">
        <v>119</v>
      </c>
      <c r="J1083" s="25">
        <v>100</v>
      </c>
      <c r="K1083" s="25">
        <f>Sales!$B1083-Sales!$J1083</f>
        <v>-8.2399999999999949</v>
      </c>
      <c r="L1083" s="28">
        <f>(Sales!$J1083-Sales!$B1083)/Sales!$J1083</f>
        <v>8.2399999999999946E-2</v>
      </c>
      <c r="M1083" s="28" t="str">
        <f t="shared" si="16"/>
        <v>5%-10%</v>
      </c>
      <c r="N1083" s="27" t="s">
        <v>102</v>
      </c>
      <c r="O1083" s="27" t="s">
        <v>43</v>
      </c>
      <c r="P1083" s="27" t="s">
        <v>17</v>
      </c>
      <c r="Q1083" s="27" t="s">
        <v>19</v>
      </c>
    </row>
    <row r="1084" spans="1:17" x14ac:dyDescent="0.3">
      <c r="A1084" s="22">
        <v>23</v>
      </c>
      <c r="B1084" s="19">
        <v>100</v>
      </c>
      <c r="C1084" s="20">
        <f>Sales!$B1084*Sales!$A1084</f>
        <v>2300</v>
      </c>
      <c r="D1084" s="21">
        <v>38282</v>
      </c>
      <c r="E1084" s="22" t="s">
        <v>9</v>
      </c>
      <c r="F1084" s="22">
        <v>4</v>
      </c>
      <c r="G1084" s="22">
        <v>10</v>
      </c>
      <c r="H1084" s="22">
        <v>2004</v>
      </c>
      <c r="I1084" s="22" t="s">
        <v>119</v>
      </c>
      <c r="J1084" s="20">
        <v>100</v>
      </c>
      <c r="K1084" s="20">
        <f>Sales!$B1084-Sales!$J1084</f>
        <v>0</v>
      </c>
      <c r="L1084" s="23">
        <f>(Sales!$J1084-Sales!$B1084)/Sales!$J1084</f>
        <v>0</v>
      </c>
      <c r="M1084" s="23" t="s">
        <v>130</v>
      </c>
      <c r="N1084" s="22" t="s">
        <v>103</v>
      </c>
      <c r="O1084" s="22" t="s">
        <v>73</v>
      </c>
      <c r="P1084" s="22" t="s">
        <v>17</v>
      </c>
      <c r="Q1084" s="22" t="s">
        <v>14</v>
      </c>
    </row>
    <row r="1085" spans="1:17" x14ac:dyDescent="0.3">
      <c r="A1085" s="27">
        <v>32</v>
      </c>
      <c r="B1085" s="24">
        <v>100</v>
      </c>
      <c r="C1085" s="25">
        <f>Sales!$B1085*Sales!$A1085</f>
        <v>3200</v>
      </c>
      <c r="D1085" s="26">
        <v>38300</v>
      </c>
      <c r="E1085" s="27" t="s">
        <v>9</v>
      </c>
      <c r="F1085" s="27">
        <v>4</v>
      </c>
      <c r="G1085" s="27">
        <v>11</v>
      </c>
      <c r="H1085" s="27">
        <v>2004</v>
      </c>
      <c r="I1085" s="27" t="s">
        <v>119</v>
      </c>
      <c r="J1085" s="25">
        <v>100</v>
      </c>
      <c r="K1085" s="25">
        <f>Sales!$B1085-Sales!$J1085</f>
        <v>0</v>
      </c>
      <c r="L1085" s="28">
        <f>(Sales!$J1085-Sales!$B1085)/Sales!$J1085</f>
        <v>0</v>
      </c>
      <c r="M1085" s="28" t="s">
        <v>130</v>
      </c>
      <c r="N1085" s="27" t="s">
        <v>48</v>
      </c>
      <c r="O1085" s="27" t="s">
        <v>49</v>
      </c>
      <c r="P1085" s="27" t="s">
        <v>17</v>
      </c>
      <c r="Q1085" s="27" t="s">
        <v>19</v>
      </c>
    </row>
    <row r="1086" spans="1:17" x14ac:dyDescent="0.3">
      <c r="A1086" s="22">
        <v>21</v>
      </c>
      <c r="B1086" s="19">
        <v>100</v>
      </c>
      <c r="C1086" s="20">
        <f>Sales!$B1086*Sales!$A1086</f>
        <v>2100</v>
      </c>
      <c r="D1086" s="21">
        <v>38311</v>
      </c>
      <c r="E1086" s="22" t="s">
        <v>9</v>
      </c>
      <c r="F1086" s="22">
        <v>4</v>
      </c>
      <c r="G1086" s="22">
        <v>11</v>
      </c>
      <c r="H1086" s="22">
        <v>2004</v>
      </c>
      <c r="I1086" s="22" t="s">
        <v>119</v>
      </c>
      <c r="J1086" s="20">
        <v>100</v>
      </c>
      <c r="K1086" s="20">
        <f>Sales!$B1086-Sales!$J1086</f>
        <v>0</v>
      </c>
      <c r="L1086" s="23">
        <f>(Sales!$J1086-Sales!$B1086)/Sales!$J1086</f>
        <v>0</v>
      </c>
      <c r="M1086" s="23" t="s">
        <v>130</v>
      </c>
      <c r="N1086" s="22" t="s">
        <v>18</v>
      </c>
      <c r="O1086" s="22" t="s">
        <v>16</v>
      </c>
      <c r="P1086" s="22" t="s">
        <v>17</v>
      </c>
      <c r="Q1086" s="22" t="s">
        <v>14</v>
      </c>
    </row>
    <row r="1087" spans="1:17" x14ac:dyDescent="0.3">
      <c r="A1087" s="27">
        <v>41</v>
      </c>
      <c r="B1087" s="24">
        <v>93.04</v>
      </c>
      <c r="C1087" s="25">
        <f>Sales!$B1087*Sales!$A1087</f>
        <v>3814.6400000000003</v>
      </c>
      <c r="D1087" s="26">
        <v>38323</v>
      </c>
      <c r="E1087" s="27" t="s">
        <v>9</v>
      </c>
      <c r="F1087" s="27">
        <v>4</v>
      </c>
      <c r="G1087" s="27">
        <v>12</v>
      </c>
      <c r="H1087" s="27">
        <v>2004</v>
      </c>
      <c r="I1087" s="27" t="s">
        <v>119</v>
      </c>
      <c r="J1087" s="25">
        <v>100</v>
      </c>
      <c r="K1087" s="25">
        <f>Sales!$B1087-Sales!$J1087</f>
        <v>-6.9599999999999937</v>
      </c>
      <c r="L1087" s="28">
        <f>(Sales!$J1087-Sales!$B1087)/Sales!$J1087</f>
        <v>6.959999999999994E-2</v>
      </c>
      <c r="M1087" s="28" t="str">
        <f t="shared" si="16"/>
        <v>5%-10%</v>
      </c>
      <c r="N1087" s="27" t="s">
        <v>45</v>
      </c>
      <c r="O1087" s="27" t="s">
        <v>46</v>
      </c>
      <c r="P1087" s="27" t="s">
        <v>17</v>
      </c>
      <c r="Q1087" s="27" t="s">
        <v>19</v>
      </c>
    </row>
    <row r="1088" spans="1:17" x14ac:dyDescent="0.3">
      <c r="A1088" s="22">
        <v>25</v>
      </c>
      <c r="B1088" s="19">
        <v>84.71</v>
      </c>
      <c r="C1088" s="20">
        <f>Sales!$B1088*Sales!$A1088</f>
        <v>2117.75</v>
      </c>
      <c r="D1088" s="21">
        <v>38378</v>
      </c>
      <c r="E1088" s="22" t="s">
        <v>9</v>
      </c>
      <c r="F1088" s="22">
        <v>1</v>
      </c>
      <c r="G1088" s="22">
        <v>1</v>
      </c>
      <c r="H1088" s="22">
        <v>2005</v>
      </c>
      <c r="I1088" s="22" t="s">
        <v>119</v>
      </c>
      <c r="J1088" s="20">
        <v>100</v>
      </c>
      <c r="K1088" s="20">
        <f>Sales!$B1088-Sales!$J1088</f>
        <v>-15.290000000000006</v>
      </c>
      <c r="L1088" s="23">
        <f>(Sales!$J1088-Sales!$B1088)/Sales!$J1088</f>
        <v>0.15290000000000006</v>
      </c>
      <c r="M1088" s="23" t="s">
        <v>132</v>
      </c>
      <c r="N1088" s="22" t="s">
        <v>59</v>
      </c>
      <c r="O1088" s="22" t="s">
        <v>51</v>
      </c>
      <c r="P1088" s="22" t="s">
        <v>51</v>
      </c>
      <c r="Q1088" s="22" t="s">
        <v>14</v>
      </c>
    </row>
    <row r="1089" spans="1:17" x14ac:dyDescent="0.3">
      <c r="A1089" s="27">
        <v>26</v>
      </c>
      <c r="B1089" s="24">
        <v>100</v>
      </c>
      <c r="C1089" s="25">
        <f>Sales!$B1089*Sales!$A1089</f>
        <v>2600</v>
      </c>
      <c r="D1089" s="26">
        <v>38405</v>
      </c>
      <c r="E1089" s="27" t="s">
        <v>9</v>
      </c>
      <c r="F1089" s="27">
        <v>1</v>
      </c>
      <c r="G1089" s="27">
        <v>2</v>
      </c>
      <c r="H1089" s="27">
        <v>2005</v>
      </c>
      <c r="I1089" s="27" t="s">
        <v>119</v>
      </c>
      <c r="J1089" s="25">
        <v>100</v>
      </c>
      <c r="K1089" s="25">
        <f>Sales!$B1089-Sales!$J1089</f>
        <v>0</v>
      </c>
      <c r="L1089" s="28">
        <f>(Sales!$J1089-Sales!$B1089)/Sales!$J1089</f>
        <v>0</v>
      </c>
      <c r="M1089" s="28" t="s">
        <v>130</v>
      </c>
      <c r="N1089" s="27" t="s">
        <v>45</v>
      </c>
      <c r="O1089" s="27" t="s">
        <v>46</v>
      </c>
      <c r="P1089" s="27" t="s">
        <v>17</v>
      </c>
      <c r="Q1089" s="27" t="s">
        <v>19</v>
      </c>
    </row>
    <row r="1090" spans="1:17" x14ac:dyDescent="0.3">
      <c r="A1090" s="22">
        <v>24</v>
      </c>
      <c r="B1090" s="19">
        <v>89.75</v>
      </c>
      <c r="C1090" s="20">
        <f>Sales!$B1090*Sales!$A1090</f>
        <v>2154</v>
      </c>
      <c r="D1090" s="21">
        <v>38434</v>
      </c>
      <c r="E1090" s="22" t="s">
        <v>9</v>
      </c>
      <c r="F1090" s="22">
        <v>1</v>
      </c>
      <c r="G1090" s="22">
        <v>3</v>
      </c>
      <c r="H1090" s="22">
        <v>2005</v>
      </c>
      <c r="I1090" s="22" t="s">
        <v>119</v>
      </c>
      <c r="J1090" s="20">
        <v>100</v>
      </c>
      <c r="K1090" s="20">
        <f>Sales!$B1090-Sales!$J1090</f>
        <v>-10.25</v>
      </c>
      <c r="L1090" s="23">
        <f>(Sales!$J1090-Sales!$B1090)/Sales!$J1090</f>
        <v>0.10249999999999999</v>
      </c>
      <c r="M1090" s="23" t="s">
        <v>134</v>
      </c>
      <c r="N1090" s="22" t="s">
        <v>64</v>
      </c>
      <c r="O1090" s="22" t="s">
        <v>12</v>
      </c>
      <c r="P1090" s="22" t="s">
        <v>13</v>
      </c>
      <c r="Q1090" s="22" t="s">
        <v>14</v>
      </c>
    </row>
    <row r="1091" spans="1:17" x14ac:dyDescent="0.3">
      <c r="A1091" s="27">
        <v>48</v>
      </c>
      <c r="B1091" s="24">
        <v>100</v>
      </c>
      <c r="C1091" s="25">
        <f>Sales!$B1091*Sales!$A1091</f>
        <v>4800</v>
      </c>
      <c r="D1091" s="26">
        <v>38478</v>
      </c>
      <c r="E1091" s="27" t="s">
        <v>87</v>
      </c>
      <c r="F1091" s="27">
        <v>2</v>
      </c>
      <c r="G1091" s="27">
        <v>5</v>
      </c>
      <c r="H1091" s="27">
        <v>2005</v>
      </c>
      <c r="I1091" s="27" t="s">
        <v>119</v>
      </c>
      <c r="J1091" s="25">
        <v>100</v>
      </c>
      <c r="K1091" s="25">
        <f>Sales!$B1091-Sales!$J1091</f>
        <v>0</v>
      </c>
      <c r="L1091" s="28">
        <f>(Sales!$J1091-Sales!$B1091)/Sales!$J1091</f>
        <v>0</v>
      </c>
      <c r="M1091" s="28" t="s">
        <v>130</v>
      </c>
      <c r="N1091" s="27" t="s">
        <v>83</v>
      </c>
      <c r="O1091" s="27" t="s">
        <v>12</v>
      </c>
      <c r="P1091" s="27" t="s">
        <v>13</v>
      </c>
      <c r="Q1091" s="27" t="s">
        <v>19</v>
      </c>
    </row>
    <row r="1092" spans="1:17" x14ac:dyDescent="0.3">
      <c r="A1092" s="22">
        <v>26</v>
      </c>
      <c r="B1092" s="19">
        <v>68.349999999999994</v>
      </c>
      <c r="C1092" s="20">
        <f>Sales!$B1092*Sales!$A1092</f>
        <v>1777.1</v>
      </c>
      <c r="D1092" s="21">
        <v>37683</v>
      </c>
      <c r="E1092" s="22" t="s">
        <v>9</v>
      </c>
      <c r="F1092" s="22">
        <v>1</v>
      </c>
      <c r="G1092" s="22">
        <v>3</v>
      </c>
      <c r="H1092" s="22">
        <v>2003</v>
      </c>
      <c r="I1092" s="22" t="s">
        <v>47</v>
      </c>
      <c r="J1092" s="20">
        <v>80</v>
      </c>
      <c r="K1092" s="20">
        <f>Sales!$B1092-Sales!$J1092</f>
        <v>-11.650000000000006</v>
      </c>
      <c r="L1092" s="23">
        <f>(Sales!$J1092-Sales!$B1092)/Sales!$J1092</f>
        <v>0.14562500000000006</v>
      </c>
      <c r="M1092" s="23" t="str">
        <f t="shared" ref="M1092:M1154" si="17">IF(L1092&lt;0%,"Below 0%",IF(L1092=0%,"0%",IF(AND(L1092&lt;=5%,L1092&gt;0%),"0%-5%",IF(AND(L1092&lt;=10%,L1092&gt;5%),"5%-10%",IF(AND(L1092&lt;=15%,L1092&gt;10%),"10%-15%",IF(AND(L1092&lt;=20%,L1092&gt;15%),"15%-20%","+20%"))))))</f>
        <v>10%-15%</v>
      </c>
      <c r="N1092" s="22" t="s">
        <v>90</v>
      </c>
      <c r="O1092" s="22" t="s">
        <v>91</v>
      </c>
      <c r="P1092" s="22" t="s">
        <v>28</v>
      </c>
      <c r="Q1092" s="22" t="s">
        <v>14</v>
      </c>
    </row>
    <row r="1093" spans="1:17" x14ac:dyDescent="0.3">
      <c r="A1093" s="27">
        <v>21</v>
      </c>
      <c r="B1093" s="24">
        <v>73.17</v>
      </c>
      <c r="C1093" s="25">
        <f>Sales!$B1093*Sales!$A1093</f>
        <v>1536.57</v>
      </c>
      <c r="D1093" s="26">
        <v>37749</v>
      </c>
      <c r="E1093" s="27" t="s">
        <v>9</v>
      </c>
      <c r="F1093" s="27">
        <v>2</v>
      </c>
      <c r="G1093" s="27">
        <v>5</v>
      </c>
      <c r="H1093" s="27">
        <v>2003</v>
      </c>
      <c r="I1093" s="27" t="s">
        <v>47</v>
      </c>
      <c r="J1093" s="25">
        <v>80</v>
      </c>
      <c r="K1093" s="25">
        <f>Sales!$B1093-Sales!$J1093</f>
        <v>-6.8299999999999983</v>
      </c>
      <c r="L1093" s="28">
        <f>(Sales!$J1093-Sales!$B1093)/Sales!$J1093</f>
        <v>8.5374999999999979E-2</v>
      </c>
      <c r="M1093" s="28" t="str">
        <f t="shared" si="17"/>
        <v>5%-10%</v>
      </c>
      <c r="N1093" s="27" t="s">
        <v>92</v>
      </c>
      <c r="O1093" s="27" t="s">
        <v>16</v>
      </c>
      <c r="P1093" s="27" t="s">
        <v>17</v>
      </c>
      <c r="Q1093" s="27" t="s">
        <v>14</v>
      </c>
    </row>
    <row r="1094" spans="1:17" x14ac:dyDescent="0.3">
      <c r="A1094" s="22">
        <v>45</v>
      </c>
      <c r="B1094" s="19">
        <v>78</v>
      </c>
      <c r="C1094" s="20">
        <f>Sales!$B1094*Sales!$A1094</f>
        <v>3510</v>
      </c>
      <c r="D1094" s="21">
        <v>37804</v>
      </c>
      <c r="E1094" s="22" t="s">
        <v>9</v>
      </c>
      <c r="F1094" s="22">
        <v>3</v>
      </c>
      <c r="G1094" s="22">
        <v>7</v>
      </c>
      <c r="H1094" s="22">
        <v>2003</v>
      </c>
      <c r="I1094" s="22" t="s">
        <v>47</v>
      </c>
      <c r="J1094" s="20">
        <v>80</v>
      </c>
      <c r="K1094" s="20">
        <f>Sales!$B1094-Sales!$J1094</f>
        <v>-2</v>
      </c>
      <c r="L1094" s="23">
        <f>(Sales!$J1094-Sales!$B1094)/Sales!$J1094</f>
        <v>2.5000000000000001E-2</v>
      </c>
      <c r="M1094" s="23" t="str">
        <f t="shared" si="17"/>
        <v>0%-5%</v>
      </c>
      <c r="N1094" s="22" t="s">
        <v>64</v>
      </c>
      <c r="O1094" s="22" t="s">
        <v>12</v>
      </c>
      <c r="P1094" s="22" t="s">
        <v>13</v>
      </c>
      <c r="Q1094" s="22" t="s">
        <v>19</v>
      </c>
    </row>
    <row r="1095" spans="1:17" x14ac:dyDescent="0.3">
      <c r="A1095" s="27">
        <v>36</v>
      </c>
      <c r="B1095" s="24">
        <v>86.04</v>
      </c>
      <c r="C1095" s="25">
        <f>Sales!$B1095*Sales!$A1095</f>
        <v>3097.44</v>
      </c>
      <c r="D1095" s="26">
        <v>37869</v>
      </c>
      <c r="E1095" s="27" t="s">
        <v>9</v>
      </c>
      <c r="F1095" s="27">
        <v>3</v>
      </c>
      <c r="G1095" s="27">
        <v>9</v>
      </c>
      <c r="H1095" s="27">
        <v>2003</v>
      </c>
      <c r="I1095" s="27" t="s">
        <v>47</v>
      </c>
      <c r="J1095" s="25">
        <v>80</v>
      </c>
      <c r="K1095" s="25">
        <f>Sales!$B1095-Sales!$J1095</f>
        <v>6.0400000000000063</v>
      </c>
      <c r="L1095" s="28">
        <f>(Sales!$J1095-Sales!$B1095)/Sales!$J1095</f>
        <v>-7.5500000000000081E-2</v>
      </c>
      <c r="M1095" s="28" t="str">
        <f t="shared" si="17"/>
        <v>Below 0%</v>
      </c>
      <c r="N1095" s="27" t="s">
        <v>66</v>
      </c>
      <c r="O1095" s="27" t="s">
        <v>12</v>
      </c>
      <c r="P1095" s="27" t="s">
        <v>13</v>
      </c>
      <c r="Q1095" s="27" t="s">
        <v>19</v>
      </c>
    </row>
    <row r="1096" spans="1:17" x14ac:dyDescent="0.3">
      <c r="A1096" s="22">
        <v>21</v>
      </c>
      <c r="B1096" s="19">
        <v>81.209999999999994</v>
      </c>
      <c r="C1096" s="20">
        <f>Sales!$B1096*Sales!$A1096</f>
        <v>1705.4099999999999</v>
      </c>
      <c r="D1096" s="21">
        <v>37904</v>
      </c>
      <c r="E1096" s="22" t="s">
        <v>9</v>
      </c>
      <c r="F1096" s="22">
        <v>4</v>
      </c>
      <c r="G1096" s="22">
        <v>10</v>
      </c>
      <c r="H1096" s="22">
        <v>2003</v>
      </c>
      <c r="I1096" s="22" t="s">
        <v>47</v>
      </c>
      <c r="J1096" s="20">
        <v>80</v>
      </c>
      <c r="K1096" s="20">
        <f>Sales!$B1096-Sales!$J1096</f>
        <v>1.2099999999999937</v>
      </c>
      <c r="L1096" s="23">
        <f>(Sales!$J1096-Sales!$B1096)/Sales!$J1096</f>
        <v>-1.5124999999999921E-2</v>
      </c>
      <c r="M1096" s="23" t="str">
        <f t="shared" si="17"/>
        <v>Below 0%</v>
      </c>
      <c r="N1096" s="22" t="s">
        <v>21</v>
      </c>
      <c r="O1096" s="22" t="s">
        <v>12</v>
      </c>
      <c r="P1096" s="22" t="s">
        <v>13</v>
      </c>
      <c r="Q1096" s="22" t="s">
        <v>14</v>
      </c>
    </row>
    <row r="1097" spans="1:17" x14ac:dyDescent="0.3">
      <c r="A1097" s="27">
        <v>32</v>
      </c>
      <c r="B1097" s="24">
        <v>70.760000000000005</v>
      </c>
      <c r="C1097" s="25">
        <f>Sales!$B1097*Sales!$A1097</f>
        <v>2264.3200000000002</v>
      </c>
      <c r="D1097" s="26">
        <v>37929</v>
      </c>
      <c r="E1097" s="27" t="s">
        <v>9</v>
      </c>
      <c r="F1097" s="27">
        <v>4</v>
      </c>
      <c r="G1097" s="27">
        <v>11</v>
      </c>
      <c r="H1097" s="27">
        <v>2003</v>
      </c>
      <c r="I1097" s="27" t="s">
        <v>47</v>
      </c>
      <c r="J1097" s="25">
        <v>80</v>
      </c>
      <c r="K1097" s="25">
        <f>Sales!$B1097-Sales!$J1097</f>
        <v>-9.2399999999999949</v>
      </c>
      <c r="L1097" s="28">
        <f>(Sales!$J1097-Sales!$B1097)/Sales!$J1097</f>
        <v>0.11549999999999994</v>
      </c>
      <c r="M1097" s="28" t="str">
        <f t="shared" si="17"/>
        <v>10%-15%</v>
      </c>
      <c r="N1097" s="27" t="s">
        <v>67</v>
      </c>
      <c r="O1097" s="27" t="s">
        <v>27</v>
      </c>
      <c r="P1097" s="27" t="s">
        <v>28</v>
      </c>
      <c r="Q1097" s="27" t="s">
        <v>14</v>
      </c>
    </row>
    <row r="1098" spans="1:17" x14ac:dyDescent="0.3">
      <c r="A1098" s="22">
        <v>30</v>
      </c>
      <c r="B1098" s="19">
        <v>82.82</v>
      </c>
      <c r="C1098" s="20">
        <f>Sales!$B1098*Sales!$A1098</f>
        <v>2484.6</v>
      </c>
      <c r="D1098" s="21">
        <v>37937</v>
      </c>
      <c r="E1098" s="22" t="s">
        <v>9</v>
      </c>
      <c r="F1098" s="22">
        <v>4</v>
      </c>
      <c r="G1098" s="22">
        <v>11</v>
      </c>
      <c r="H1098" s="22">
        <v>2003</v>
      </c>
      <c r="I1098" s="22" t="s">
        <v>47</v>
      </c>
      <c r="J1098" s="20">
        <v>80</v>
      </c>
      <c r="K1098" s="20">
        <f>Sales!$B1098-Sales!$J1098</f>
        <v>2.8199999999999932</v>
      </c>
      <c r="L1098" s="23">
        <f>(Sales!$J1098-Sales!$B1098)/Sales!$J1098</f>
        <v>-3.5249999999999913E-2</v>
      </c>
      <c r="M1098" s="23" t="str">
        <f t="shared" si="17"/>
        <v>Below 0%</v>
      </c>
      <c r="N1098" s="22" t="s">
        <v>24</v>
      </c>
      <c r="O1098" s="22" t="s">
        <v>25</v>
      </c>
      <c r="P1098" s="22" t="s">
        <v>17</v>
      </c>
      <c r="Q1098" s="22" t="s">
        <v>14</v>
      </c>
    </row>
    <row r="1099" spans="1:17" x14ac:dyDescent="0.3">
      <c r="A1099" s="27">
        <v>36</v>
      </c>
      <c r="B1099" s="24">
        <v>94.88</v>
      </c>
      <c r="C1099" s="25">
        <f>Sales!$B1099*Sales!$A1099</f>
        <v>3415.68</v>
      </c>
      <c r="D1099" s="26">
        <v>37945</v>
      </c>
      <c r="E1099" s="27" t="s">
        <v>9</v>
      </c>
      <c r="F1099" s="27">
        <v>4</v>
      </c>
      <c r="G1099" s="27">
        <v>11</v>
      </c>
      <c r="H1099" s="27">
        <v>2003</v>
      </c>
      <c r="I1099" s="27" t="s">
        <v>47</v>
      </c>
      <c r="J1099" s="25">
        <v>80</v>
      </c>
      <c r="K1099" s="25">
        <f>Sales!$B1099-Sales!$J1099</f>
        <v>14.879999999999995</v>
      </c>
      <c r="L1099" s="28">
        <f>(Sales!$J1099-Sales!$B1099)/Sales!$J1099</f>
        <v>-0.18599999999999994</v>
      </c>
      <c r="M1099" s="28" t="str">
        <f t="shared" si="17"/>
        <v>Below 0%</v>
      </c>
      <c r="N1099" s="27" t="s">
        <v>93</v>
      </c>
      <c r="O1099" s="27" t="s">
        <v>94</v>
      </c>
      <c r="P1099" s="27" t="s">
        <v>17</v>
      </c>
      <c r="Q1099" s="27" t="s">
        <v>19</v>
      </c>
    </row>
    <row r="1100" spans="1:17" x14ac:dyDescent="0.3">
      <c r="A1100" s="22">
        <v>33</v>
      </c>
      <c r="B1100" s="19">
        <v>86.04</v>
      </c>
      <c r="C1100" s="20">
        <f>Sales!$B1100*Sales!$A1100</f>
        <v>2839.32</v>
      </c>
      <c r="D1100" s="21">
        <v>37957</v>
      </c>
      <c r="E1100" s="22" t="s">
        <v>9</v>
      </c>
      <c r="F1100" s="22">
        <v>4</v>
      </c>
      <c r="G1100" s="22">
        <v>12</v>
      </c>
      <c r="H1100" s="22">
        <v>2003</v>
      </c>
      <c r="I1100" s="22" t="s">
        <v>47</v>
      </c>
      <c r="J1100" s="20">
        <v>80</v>
      </c>
      <c r="K1100" s="20">
        <f>Sales!$B1100-Sales!$J1100</f>
        <v>6.0400000000000063</v>
      </c>
      <c r="L1100" s="23">
        <f>(Sales!$J1100-Sales!$B1100)/Sales!$J1100</f>
        <v>-7.5500000000000081E-2</v>
      </c>
      <c r="M1100" s="23" t="str">
        <f t="shared" si="17"/>
        <v>Below 0%</v>
      </c>
      <c r="N1100" s="22" t="s">
        <v>45</v>
      </c>
      <c r="O1100" s="22" t="s">
        <v>46</v>
      </c>
      <c r="P1100" s="22" t="s">
        <v>17</v>
      </c>
      <c r="Q1100" s="22" t="s">
        <v>14</v>
      </c>
    </row>
    <row r="1101" spans="1:17" x14ac:dyDescent="0.3">
      <c r="A1101" s="27">
        <v>35</v>
      </c>
      <c r="B1101" s="24">
        <v>78</v>
      </c>
      <c r="C1101" s="25">
        <f>Sales!$B1101*Sales!$A1101</f>
        <v>2730</v>
      </c>
      <c r="D1101" s="26">
        <v>38001</v>
      </c>
      <c r="E1101" s="27" t="s">
        <v>9</v>
      </c>
      <c r="F1101" s="27">
        <v>1</v>
      </c>
      <c r="G1101" s="27">
        <v>1</v>
      </c>
      <c r="H1101" s="27">
        <v>2004</v>
      </c>
      <c r="I1101" s="27" t="s">
        <v>47</v>
      </c>
      <c r="J1101" s="25">
        <v>80</v>
      </c>
      <c r="K1101" s="25">
        <f>Sales!$B1101-Sales!$J1101</f>
        <v>-2</v>
      </c>
      <c r="L1101" s="28">
        <f>(Sales!$J1101-Sales!$B1101)/Sales!$J1101</f>
        <v>2.5000000000000001E-2</v>
      </c>
      <c r="M1101" s="28" t="str">
        <f t="shared" si="17"/>
        <v>0%-5%</v>
      </c>
      <c r="N1101" s="27" t="s">
        <v>18</v>
      </c>
      <c r="O1101" s="27" t="s">
        <v>16</v>
      </c>
      <c r="P1101" s="27" t="s">
        <v>17</v>
      </c>
      <c r="Q1101" s="27" t="s">
        <v>14</v>
      </c>
    </row>
    <row r="1102" spans="1:17" x14ac:dyDescent="0.3">
      <c r="A1102" s="22">
        <v>37</v>
      </c>
      <c r="B1102" s="19">
        <v>95.69</v>
      </c>
      <c r="C1102" s="20">
        <f>Sales!$B1102*Sales!$A1102</f>
        <v>3540.5299999999997</v>
      </c>
      <c r="D1102" s="21">
        <v>38039</v>
      </c>
      <c r="E1102" s="22" t="s">
        <v>9</v>
      </c>
      <c r="F1102" s="22">
        <v>1</v>
      </c>
      <c r="G1102" s="22">
        <v>2</v>
      </c>
      <c r="H1102" s="22">
        <v>2004</v>
      </c>
      <c r="I1102" s="22" t="s">
        <v>47</v>
      </c>
      <c r="J1102" s="20">
        <v>80</v>
      </c>
      <c r="K1102" s="20">
        <f>Sales!$B1102-Sales!$J1102</f>
        <v>15.689999999999998</v>
      </c>
      <c r="L1102" s="23">
        <f>(Sales!$J1102-Sales!$B1102)/Sales!$J1102</f>
        <v>-0.19612499999999997</v>
      </c>
      <c r="M1102" s="23" t="str">
        <f t="shared" si="17"/>
        <v>Below 0%</v>
      </c>
      <c r="N1102" s="22" t="s">
        <v>95</v>
      </c>
      <c r="O1102" s="22" t="s">
        <v>96</v>
      </c>
      <c r="P1102" s="22" t="s">
        <v>17</v>
      </c>
      <c r="Q1102" s="22" t="s">
        <v>19</v>
      </c>
    </row>
    <row r="1103" spans="1:17" x14ac:dyDescent="0.3">
      <c r="A1103" s="27">
        <v>41</v>
      </c>
      <c r="B1103" s="24">
        <v>73.17</v>
      </c>
      <c r="C1103" s="25">
        <f>Sales!$B1103*Sales!$A1103</f>
        <v>2999.9700000000003</v>
      </c>
      <c r="D1103" s="26">
        <v>38086</v>
      </c>
      <c r="E1103" s="27" t="s">
        <v>9</v>
      </c>
      <c r="F1103" s="27">
        <v>2</v>
      </c>
      <c r="G1103" s="27">
        <v>4</v>
      </c>
      <c r="H1103" s="27">
        <v>2004</v>
      </c>
      <c r="I1103" s="27" t="s">
        <v>47</v>
      </c>
      <c r="J1103" s="25">
        <v>80</v>
      </c>
      <c r="K1103" s="25">
        <f>Sales!$B1103-Sales!$J1103</f>
        <v>-6.8299999999999983</v>
      </c>
      <c r="L1103" s="28">
        <f>(Sales!$J1103-Sales!$B1103)/Sales!$J1103</f>
        <v>8.5374999999999979E-2</v>
      </c>
      <c r="M1103" s="28" t="str">
        <f t="shared" si="17"/>
        <v>5%-10%</v>
      </c>
      <c r="N1103" s="27" t="s">
        <v>72</v>
      </c>
      <c r="O1103" s="27" t="s">
        <v>73</v>
      </c>
      <c r="P1103" s="27" t="s">
        <v>17</v>
      </c>
      <c r="Q1103" s="27" t="s">
        <v>14</v>
      </c>
    </row>
    <row r="1104" spans="1:17" x14ac:dyDescent="0.3">
      <c r="A1104" s="22">
        <v>20</v>
      </c>
      <c r="B1104" s="19">
        <v>76.39</v>
      </c>
      <c r="C1104" s="20">
        <f>Sales!$B1104*Sales!$A1104</f>
        <v>1527.8</v>
      </c>
      <c r="D1104" s="21">
        <v>38133</v>
      </c>
      <c r="E1104" s="22" t="s">
        <v>9</v>
      </c>
      <c r="F1104" s="22">
        <v>2</v>
      </c>
      <c r="G1104" s="22">
        <v>5</v>
      </c>
      <c r="H1104" s="22">
        <v>2004</v>
      </c>
      <c r="I1104" s="22" t="s">
        <v>47</v>
      </c>
      <c r="J1104" s="20">
        <v>80</v>
      </c>
      <c r="K1104" s="20">
        <f>Sales!$B1104-Sales!$J1104</f>
        <v>-3.6099999999999994</v>
      </c>
      <c r="L1104" s="23">
        <f>(Sales!$J1104-Sales!$B1104)/Sales!$J1104</f>
        <v>4.5124999999999992E-2</v>
      </c>
      <c r="M1104" s="23" t="str">
        <f t="shared" si="17"/>
        <v>0%-5%</v>
      </c>
      <c r="N1104" s="22" t="s">
        <v>18</v>
      </c>
      <c r="O1104" s="22" t="s">
        <v>16</v>
      </c>
      <c r="P1104" s="22" t="s">
        <v>17</v>
      </c>
      <c r="Q1104" s="22" t="s">
        <v>14</v>
      </c>
    </row>
    <row r="1105" spans="1:17" x14ac:dyDescent="0.3">
      <c r="A1105" s="27">
        <v>45</v>
      </c>
      <c r="B1105" s="24">
        <v>86.84</v>
      </c>
      <c r="C1105" s="25">
        <f>Sales!$B1105*Sales!$A1105</f>
        <v>3907.8</v>
      </c>
      <c r="D1105" s="26">
        <v>38170</v>
      </c>
      <c r="E1105" s="27" t="s">
        <v>9</v>
      </c>
      <c r="F1105" s="27">
        <v>3</v>
      </c>
      <c r="G1105" s="27">
        <v>7</v>
      </c>
      <c r="H1105" s="27">
        <v>2004</v>
      </c>
      <c r="I1105" s="27" t="s">
        <v>47</v>
      </c>
      <c r="J1105" s="25">
        <v>80</v>
      </c>
      <c r="K1105" s="25">
        <f>Sales!$B1105-Sales!$J1105</f>
        <v>6.8400000000000034</v>
      </c>
      <c r="L1105" s="28">
        <f>(Sales!$J1105-Sales!$B1105)/Sales!$J1105</f>
        <v>-8.5500000000000048E-2</v>
      </c>
      <c r="M1105" s="28" t="str">
        <f t="shared" si="17"/>
        <v>Below 0%</v>
      </c>
      <c r="N1105" s="27" t="s">
        <v>114</v>
      </c>
      <c r="O1105" s="27" t="s">
        <v>27</v>
      </c>
      <c r="P1105" s="27" t="s">
        <v>28</v>
      </c>
      <c r="Q1105" s="27" t="s">
        <v>19</v>
      </c>
    </row>
    <row r="1106" spans="1:17" x14ac:dyDescent="0.3">
      <c r="A1106" s="22">
        <v>38</v>
      </c>
      <c r="B1106" s="19">
        <v>69.959999999999994</v>
      </c>
      <c r="C1106" s="20">
        <f>Sales!$B1106*Sales!$A1106</f>
        <v>2658.4799999999996</v>
      </c>
      <c r="D1106" s="21">
        <v>38201</v>
      </c>
      <c r="E1106" s="22" t="s">
        <v>9</v>
      </c>
      <c r="F1106" s="22">
        <v>3</v>
      </c>
      <c r="G1106" s="22">
        <v>8</v>
      </c>
      <c r="H1106" s="22">
        <v>2004</v>
      </c>
      <c r="I1106" s="22" t="s">
        <v>47</v>
      </c>
      <c r="J1106" s="20">
        <v>80</v>
      </c>
      <c r="K1106" s="20">
        <f>Sales!$B1106-Sales!$J1106</f>
        <v>-10.040000000000006</v>
      </c>
      <c r="L1106" s="23">
        <f>(Sales!$J1106-Sales!$B1106)/Sales!$J1106</f>
        <v>0.12550000000000008</v>
      </c>
      <c r="M1106" s="23" t="str">
        <f t="shared" si="17"/>
        <v>10%-15%</v>
      </c>
      <c r="N1106" s="22" t="s">
        <v>66</v>
      </c>
      <c r="O1106" s="22" t="s">
        <v>12</v>
      </c>
      <c r="P1106" s="22" t="s">
        <v>13</v>
      </c>
      <c r="Q1106" s="22" t="s">
        <v>14</v>
      </c>
    </row>
    <row r="1107" spans="1:17" x14ac:dyDescent="0.3">
      <c r="A1107" s="27">
        <v>43</v>
      </c>
      <c r="B1107" s="24">
        <v>70.760000000000005</v>
      </c>
      <c r="C1107" s="25">
        <f>Sales!$B1107*Sales!$A1107</f>
        <v>3042.6800000000003</v>
      </c>
      <c r="D1107" s="26">
        <v>38229</v>
      </c>
      <c r="E1107" s="27" t="s">
        <v>9</v>
      </c>
      <c r="F1107" s="27">
        <v>3</v>
      </c>
      <c r="G1107" s="27">
        <v>8</v>
      </c>
      <c r="H1107" s="27">
        <v>2004</v>
      </c>
      <c r="I1107" s="27" t="s">
        <v>47</v>
      </c>
      <c r="J1107" s="25">
        <v>80</v>
      </c>
      <c r="K1107" s="25">
        <f>Sales!$B1107-Sales!$J1107</f>
        <v>-9.2399999999999949</v>
      </c>
      <c r="L1107" s="28">
        <f>(Sales!$J1107-Sales!$B1107)/Sales!$J1107</f>
        <v>0.11549999999999994</v>
      </c>
      <c r="M1107" s="28" t="str">
        <f t="shared" si="17"/>
        <v>10%-15%</v>
      </c>
      <c r="N1107" s="27" t="s">
        <v>95</v>
      </c>
      <c r="O1107" s="27" t="s">
        <v>96</v>
      </c>
      <c r="P1107" s="27" t="s">
        <v>17</v>
      </c>
      <c r="Q1107" s="27" t="s">
        <v>19</v>
      </c>
    </row>
    <row r="1108" spans="1:17" x14ac:dyDescent="0.3">
      <c r="A1108" s="22">
        <v>49</v>
      </c>
      <c r="B1108" s="19">
        <v>78.8</v>
      </c>
      <c r="C1108" s="20">
        <f>Sales!$B1108*Sales!$A1108</f>
        <v>3861.2</v>
      </c>
      <c r="D1108" s="21">
        <v>37898</v>
      </c>
      <c r="E1108" s="22" t="s">
        <v>9</v>
      </c>
      <c r="F1108" s="22">
        <v>4</v>
      </c>
      <c r="G1108" s="22">
        <v>10</v>
      </c>
      <c r="H1108" s="22">
        <v>2003</v>
      </c>
      <c r="I1108" s="22" t="s">
        <v>47</v>
      </c>
      <c r="J1108" s="20">
        <v>80</v>
      </c>
      <c r="K1108" s="20">
        <f>Sales!$B1108-Sales!$J1108</f>
        <v>-1.2000000000000028</v>
      </c>
      <c r="L1108" s="23">
        <f>(Sales!$J1108-Sales!$B1108)/Sales!$J1108</f>
        <v>1.5000000000000036E-2</v>
      </c>
      <c r="M1108" s="23" t="str">
        <f t="shared" si="17"/>
        <v>0%-5%</v>
      </c>
      <c r="N1108" s="22" t="s">
        <v>98</v>
      </c>
      <c r="O1108" s="22" t="s">
        <v>94</v>
      </c>
      <c r="P1108" s="22" t="s">
        <v>17</v>
      </c>
      <c r="Q1108" s="22" t="s">
        <v>19</v>
      </c>
    </row>
    <row r="1109" spans="1:17" x14ac:dyDescent="0.3">
      <c r="A1109" s="27">
        <v>27</v>
      </c>
      <c r="B1109" s="24">
        <v>80.41</v>
      </c>
      <c r="C1109" s="25">
        <f>Sales!$B1109*Sales!$A1109</f>
        <v>2171.0699999999997</v>
      </c>
      <c r="D1109" s="26">
        <v>38276</v>
      </c>
      <c r="E1109" s="27" t="s">
        <v>9</v>
      </c>
      <c r="F1109" s="27">
        <v>4</v>
      </c>
      <c r="G1109" s="27">
        <v>10</v>
      </c>
      <c r="H1109" s="27">
        <v>2004</v>
      </c>
      <c r="I1109" s="27" t="s">
        <v>47</v>
      </c>
      <c r="J1109" s="25">
        <v>80</v>
      </c>
      <c r="K1109" s="25">
        <f>Sales!$B1109-Sales!$J1109</f>
        <v>0.40999999999999659</v>
      </c>
      <c r="L1109" s="28">
        <f>(Sales!$J1109-Sales!$B1109)/Sales!$J1109</f>
        <v>-5.1249999999999577E-3</v>
      </c>
      <c r="M1109" s="28" t="str">
        <f t="shared" si="17"/>
        <v>Below 0%</v>
      </c>
      <c r="N1109" s="27" t="s">
        <v>93</v>
      </c>
      <c r="O1109" s="27" t="s">
        <v>94</v>
      </c>
      <c r="P1109" s="27" t="s">
        <v>17</v>
      </c>
      <c r="Q1109" s="27" t="s">
        <v>14</v>
      </c>
    </row>
    <row r="1110" spans="1:17" x14ac:dyDescent="0.3">
      <c r="A1110" s="22">
        <v>46</v>
      </c>
      <c r="B1110" s="19">
        <v>73.98</v>
      </c>
      <c r="C1110" s="20">
        <f>Sales!$B1110*Sales!$A1110</f>
        <v>3403.0800000000004</v>
      </c>
      <c r="D1110" s="21">
        <v>38294</v>
      </c>
      <c r="E1110" s="22" t="s">
        <v>9</v>
      </c>
      <c r="F1110" s="22">
        <v>4</v>
      </c>
      <c r="G1110" s="22">
        <v>11</v>
      </c>
      <c r="H1110" s="22">
        <v>2004</v>
      </c>
      <c r="I1110" s="22" t="s">
        <v>47</v>
      </c>
      <c r="J1110" s="20">
        <v>80</v>
      </c>
      <c r="K1110" s="20">
        <f>Sales!$B1110-Sales!$J1110</f>
        <v>-6.019999999999996</v>
      </c>
      <c r="L1110" s="23">
        <f>(Sales!$J1110-Sales!$B1110)/Sales!$J1110</f>
        <v>7.5249999999999956E-2</v>
      </c>
      <c r="M1110" s="23" t="str">
        <f t="shared" si="17"/>
        <v>5%-10%</v>
      </c>
      <c r="N1110" s="22" t="s">
        <v>11</v>
      </c>
      <c r="O1110" s="22" t="s">
        <v>12</v>
      </c>
      <c r="P1110" s="22" t="s">
        <v>13</v>
      </c>
      <c r="Q1110" s="22" t="s">
        <v>19</v>
      </c>
    </row>
    <row r="1111" spans="1:17" x14ac:dyDescent="0.3">
      <c r="A1111" s="27">
        <v>38</v>
      </c>
      <c r="B1111" s="24">
        <v>59.1</v>
      </c>
      <c r="C1111" s="25">
        <f>Sales!$B1111*Sales!$A1111</f>
        <v>2245.8000000000002</v>
      </c>
      <c r="D1111" s="26">
        <v>38306</v>
      </c>
      <c r="E1111" s="27" t="s">
        <v>9</v>
      </c>
      <c r="F1111" s="27">
        <v>4</v>
      </c>
      <c r="G1111" s="27">
        <v>11</v>
      </c>
      <c r="H1111" s="27">
        <v>2004</v>
      </c>
      <c r="I1111" s="27" t="s">
        <v>47</v>
      </c>
      <c r="J1111" s="25">
        <v>80</v>
      </c>
      <c r="K1111" s="25">
        <f>Sales!$B1111-Sales!$J1111</f>
        <v>-20.9</v>
      </c>
      <c r="L1111" s="28">
        <f>(Sales!$J1111-Sales!$B1111)/Sales!$J1111</f>
        <v>0.26124999999999998</v>
      </c>
      <c r="M1111" s="28" t="str">
        <f t="shared" si="17"/>
        <v>+20%</v>
      </c>
      <c r="N1111" s="27" t="s">
        <v>11</v>
      </c>
      <c r="O1111" s="27" t="s">
        <v>12</v>
      </c>
      <c r="P1111" s="27" t="s">
        <v>13</v>
      </c>
      <c r="Q1111" s="27" t="s">
        <v>14</v>
      </c>
    </row>
    <row r="1112" spans="1:17" x14ac:dyDescent="0.3">
      <c r="A1112" s="22">
        <v>25</v>
      </c>
      <c r="B1112" s="19">
        <v>66.739999999999995</v>
      </c>
      <c r="C1112" s="20">
        <f>Sales!$B1112*Sales!$A1112</f>
        <v>1668.4999999999998</v>
      </c>
      <c r="D1112" s="21">
        <v>38315</v>
      </c>
      <c r="E1112" s="22" t="s">
        <v>9</v>
      </c>
      <c r="F1112" s="22">
        <v>4</v>
      </c>
      <c r="G1112" s="22">
        <v>11</v>
      </c>
      <c r="H1112" s="22">
        <v>2004</v>
      </c>
      <c r="I1112" s="22" t="s">
        <v>47</v>
      </c>
      <c r="J1112" s="20">
        <v>80</v>
      </c>
      <c r="K1112" s="20">
        <f>Sales!$B1112-Sales!$J1112</f>
        <v>-13.260000000000005</v>
      </c>
      <c r="L1112" s="23">
        <f>(Sales!$J1112-Sales!$B1112)/Sales!$J1112</f>
        <v>0.16575000000000006</v>
      </c>
      <c r="M1112" s="23" t="str">
        <f t="shared" si="17"/>
        <v>15%-20%</v>
      </c>
      <c r="N1112" s="22" t="s">
        <v>26</v>
      </c>
      <c r="O1112" s="22" t="s">
        <v>27</v>
      </c>
      <c r="P1112" s="22" t="s">
        <v>28</v>
      </c>
      <c r="Q1112" s="22" t="s">
        <v>14</v>
      </c>
    </row>
    <row r="1113" spans="1:17" x14ac:dyDescent="0.3">
      <c r="A1113" s="27">
        <v>46</v>
      </c>
      <c r="B1113" s="24">
        <v>60.3</v>
      </c>
      <c r="C1113" s="25">
        <f>Sales!$B1113*Sales!$A1113</f>
        <v>2773.7999999999997</v>
      </c>
      <c r="D1113" s="26">
        <v>38358</v>
      </c>
      <c r="E1113" s="27" t="s">
        <v>9</v>
      </c>
      <c r="F1113" s="27">
        <v>1</v>
      </c>
      <c r="G1113" s="27">
        <v>1</v>
      </c>
      <c r="H1113" s="27">
        <v>2005</v>
      </c>
      <c r="I1113" s="27" t="s">
        <v>47</v>
      </c>
      <c r="J1113" s="25">
        <v>80</v>
      </c>
      <c r="K1113" s="25">
        <f>Sales!$B1113-Sales!$J1113</f>
        <v>-19.700000000000003</v>
      </c>
      <c r="L1113" s="28">
        <f>(Sales!$J1113-Sales!$B1113)/Sales!$J1113</f>
        <v>0.24625000000000002</v>
      </c>
      <c r="M1113" s="28" t="str">
        <f t="shared" si="17"/>
        <v>+20%</v>
      </c>
      <c r="N1113" s="27" t="s">
        <v>99</v>
      </c>
      <c r="O1113" s="27" t="s">
        <v>34</v>
      </c>
      <c r="P1113" s="27" t="s">
        <v>17</v>
      </c>
      <c r="Q1113" s="27" t="s">
        <v>14</v>
      </c>
    </row>
    <row r="1114" spans="1:17" x14ac:dyDescent="0.3">
      <c r="A1114" s="22">
        <v>22</v>
      </c>
      <c r="B1114" s="19">
        <v>100</v>
      </c>
      <c r="C1114" s="20">
        <f>Sales!$B1114*Sales!$A1114</f>
        <v>2200</v>
      </c>
      <c r="D1114" s="21">
        <v>38393</v>
      </c>
      <c r="E1114" s="22" t="s">
        <v>9</v>
      </c>
      <c r="F1114" s="22">
        <v>1</v>
      </c>
      <c r="G1114" s="22">
        <v>2</v>
      </c>
      <c r="H1114" s="22">
        <v>2005</v>
      </c>
      <c r="I1114" s="22" t="s">
        <v>47</v>
      </c>
      <c r="J1114" s="20">
        <v>80</v>
      </c>
      <c r="K1114" s="20">
        <f>Sales!$B1114-Sales!$J1114</f>
        <v>20</v>
      </c>
      <c r="L1114" s="23">
        <f>(Sales!$J1114-Sales!$B1114)/Sales!$J1114</f>
        <v>-0.25</v>
      </c>
      <c r="M1114" s="23" t="str">
        <f t="shared" si="17"/>
        <v>Below 0%</v>
      </c>
      <c r="N1114" s="22" t="s">
        <v>45</v>
      </c>
      <c r="O1114" s="22" t="s">
        <v>46</v>
      </c>
      <c r="P1114" s="22" t="s">
        <v>17</v>
      </c>
      <c r="Q1114" s="22" t="s">
        <v>14</v>
      </c>
    </row>
    <row r="1115" spans="1:17" x14ac:dyDescent="0.3">
      <c r="A1115" s="27">
        <v>40</v>
      </c>
      <c r="B1115" s="24">
        <v>100</v>
      </c>
      <c r="C1115" s="25">
        <f>Sales!$B1115*Sales!$A1115</f>
        <v>4000</v>
      </c>
      <c r="D1115" s="26">
        <v>38415</v>
      </c>
      <c r="E1115" s="27" t="s">
        <v>9</v>
      </c>
      <c r="F1115" s="27">
        <v>1</v>
      </c>
      <c r="G1115" s="27">
        <v>3</v>
      </c>
      <c r="H1115" s="27">
        <v>2005</v>
      </c>
      <c r="I1115" s="27" t="s">
        <v>47</v>
      </c>
      <c r="J1115" s="25">
        <v>80</v>
      </c>
      <c r="K1115" s="25">
        <f>Sales!$B1115-Sales!$J1115</f>
        <v>20</v>
      </c>
      <c r="L1115" s="28">
        <f>(Sales!$J1115-Sales!$B1115)/Sales!$J1115</f>
        <v>-0.25</v>
      </c>
      <c r="M1115" s="28" t="str">
        <f t="shared" si="17"/>
        <v>Below 0%</v>
      </c>
      <c r="N1115" s="27" t="s">
        <v>64</v>
      </c>
      <c r="O1115" s="27" t="s">
        <v>12</v>
      </c>
      <c r="P1115" s="27" t="s">
        <v>13</v>
      </c>
      <c r="Q1115" s="27" t="s">
        <v>19</v>
      </c>
    </row>
    <row r="1116" spans="1:17" x14ac:dyDescent="0.3">
      <c r="A1116" s="22">
        <v>46</v>
      </c>
      <c r="B1116" s="19">
        <v>100</v>
      </c>
      <c r="C1116" s="20">
        <f>Sales!$B1116*Sales!$A1116</f>
        <v>4600</v>
      </c>
      <c r="D1116" s="21">
        <v>37650</v>
      </c>
      <c r="E1116" s="22" t="s">
        <v>9</v>
      </c>
      <c r="F1116" s="22">
        <v>1</v>
      </c>
      <c r="G1116" s="22">
        <v>1</v>
      </c>
      <c r="H1116" s="22">
        <v>2003</v>
      </c>
      <c r="I1116" s="22" t="s">
        <v>112</v>
      </c>
      <c r="J1116" s="20">
        <v>99</v>
      </c>
      <c r="K1116" s="20">
        <f>Sales!$B1116-Sales!$J1116</f>
        <v>1</v>
      </c>
      <c r="L1116" s="23">
        <f>(Sales!$J1116-Sales!$B1116)/Sales!$J1116</f>
        <v>-1.0101010101010102E-2</v>
      </c>
      <c r="M1116" s="23" t="str">
        <f t="shared" si="17"/>
        <v>Below 0%</v>
      </c>
      <c r="N1116" s="22" t="s">
        <v>35</v>
      </c>
      <c r="O1116" s="22" t="s">
        <v>25</v>
      </c>
      <c r="P1116" s="22" t="s">
        <v>17</v>
      </c>
      <c r="Q1116" s="22" t="s">
        <v>19</v>
      </c>
    </row>
    <row r="1117" spans="1:17" x14ac:dyDescent="0.3">
      <c r="A1117" s="27">
        <v>39</v>
      </c>
      <c r="B1117" s="24">
        <v>100</v>
      </c>
      <c r="C1117" s="25">
        <f>Sales!$B1117*Sales!$A1117</f>
        <v>3900</v>
      </c>
      <c r="D1117" s="26">
        <v>37705</v>
      </c>
      <c r="E1117" s="27" t="s">
        <v>9</v>
      </c>
      <c r="F1117" s="27">
        <v>1</v>
      </c>
      <c r="G1117" s="27">
        <v>3</v>
      </c>
      <c r="H1117" s="27">
        <v>2003</v>
      </c>
      <c r="I1117" s="27" t="s">
        <v>112</v>
      </c>
      <c r="J1117" s="25">
        <v>99</v>
      </c>
      <c r="K1117" s="25">
        <f>Sales!$B1117-Sales!$J1117</f>
        <v>1</v>
      </c>
      <c r="L1117" s="28">
        <f>(Sales!$J1117-Sales!$B1117)/Sales!$J1117</f>
        <v>-1.0101010101010102E-2</v>
      </c>
      <c r="M1117" s="28" t="str">
        <f t="shared" si="17"/>
        <v>Below 0%</v>
      </c>
      <c r="N1117" s="27" t="s">
        <v>21</v>
      </c>
      <c r="O1117" s="27" t="s">
        <v>12</v>
      </c>
      <c r="P1117" s="27" t="s">
        <v>13</v>
      </c>
      <c r="Q1117" s="27" t="s">
        <v>19</v>
      </c>
    </row>
    <row r="1118" spans="1:17" x14ac:dyDescent="0.3">
      <c r="A1118" s="22">
        <v>38</v>
      </c>
      <c r="B1118" s="19">
        <v>82.34</v>
      </c>
      <c r="C1118" s="20">
        <f>Sales!$B1118*Sales!$A1118</f>
        <v>3128.92</v>
      </c>
      <c r="D1118" s="21">
        <v>37769</v>
      </c>
      <c r="E1118" s="22" t="s">
        <v>9</v>
      </c>
      <c r="F1118" s="22">
        <v>2</v>
      </c>
      <c r="G1118" s="22">
        <v>5</v>
      </c>
      <c r="H1118" s="22">
        <v>2003</v>
      </c>
      <c r="I1118" s="22" t="s">
        <v>112</v>
      </c>
      <c r="J1118" s="20">
        <v>99</v>
      </c>
      <c r="K1118" s="20">
        <f>Sales!$B1118-Sales!$J1118</f>
        <v>-16.659999999999997</v>
      </c>
      <c r="L1118" s="23">
        <f>(Sales!$J1118-Sales!$B1118)/Sales!$J1118</f>
        <v>0.16828282828282826</v>
      </c>
      <c r="M1118" s="23" t="str">
        <f t="shared" si="17"/>
        <v>15%-20%</v>
      </c>
      <c r="N1118" s="22" t="s">
        <v>45</v>
      </c>
      <c r="O1118" s="22" t="s">
        <v>46</v>
      </c>
      <c r="P1118" s="22" t="s">
        <v>17</v>
      </c>
      <c r="Q1118" s="22" t="s">
        <v>19</v>
      </c>
    </row>
    <row r="1119" spans="1:17" x14ac:dyDescent="0.3">
      <c r="A1119" s="27">
        <v>30</v>
      </c>
      <c r="B1119" s="24">
        <v>100</v>
      </c>
      <c r="C1119" s="25">
        <f>Sales!$B1119*Sales!$A1119</f>
        <v>3000</v>
      </c>
      <c r="D1119" s="26">
        <v>37818</v>
      </c>
      <c r="E1119" s="27" t="s">
        <v>9</v>
      </c>
      <c r="F1119" s="27">
        <v>3</v>
      </c>
      <c r="G1119" s="27">
        <v>7</v>
      </c>
      <c r="H1119" s="27">
        <v>2003</v>
      </c>
      <c r="I1119" s="27" t="s">
        <v>112</v>
      </c>
      <c r="J1119" s="25">
        <v>99</v>
      </c>
      <c r="K1119" s="25">
        <f>Sales!$B1119-Sales!$J1119</f>
        <v>1</v>
      </c>
      <c r="L1119" s="28">
        <f>(Sales!$J1119-Sales!$B1119)/Sales!$J1119</f>
        <v>-1.0101010101010102E-2</v>
      </c>
      <c r="M1119" s="28" t="str">
        <f t="shared" si="17"/>
        <v>Below 0%</v>
      </c>
      <c r="N1119" s="27" t="s">
        <v>40</v>
      </c>
      <c r="O1119" s="27" t="s">
        <v>27</v>
      </c>
      <c r="P1119" s="27" t="s">
        <v>28</v>
      </c>
      <c r="Q1119" s="27" t="s">
        <v>19</v>
      </c>
    </row>
    <row r="1120" spans="1:17" x14ac:dyDescent="0.3">
      <c r="A1120" s="22">
        <v>42</v>
      </c>
      <c r="B1120" s="19">
        <v>94.25</v>
      </c>
      <c r="C1120" s="20">
        <f>Sales!$B1120*Sales!$A1120</f>
        <v>3958.5</v>
      </c>
      <c r="D1120" s="21">
        <v>37876</v>
      </c>
      <c r="E1120" s="22" t="s">
        <v>9</v>
      </c>
      <c r="F1120" s="22">
        <v>3</v>
      </c>
      <c r="G1120" s="22">
        <v>9</v>
      </c>
      <c r="H1120" s="22">
        <v>2003</v>
      </c>
      <c r="I1120" s="22" t="s">
        <v>112</v>
      </c>
      <c r="J1120" s="20">
        <v>99</v>
      </c>
      <c r="K1120" s="20">
        <f>Sales!$B1120-Sales!$J1120</f>
        <v>-4.75</v>
      </c>
      <c r="L1120" s="23">
        <f>(Sales!$J1120-Sales!$B1120)/Sales!$J1120</f>
        <v>4.7979797979797977E-2</v>
      </c>
      <c r="M1120" s="23" t="str">
        <f t="shared" si="17"/>
        <v>0%-5%</v>
      </c>
      <c r="N1120" s="22" t="s">
        <v>107</v>
      </c>
      <c r="O1120" s="22" t="s">
        <v>12</v>
      </c>
      <c r="P1120" s="22" t="s">
        <v>13</v>
      </c>
      <c r="Q1120" s="22" t="s">
        <v>19</v>
      </c>
    </row>
    <row r="1121" spans="1:17" x14ac:dyDescent="0.3">
      <c r="A1121" s="27">
        <v>43</v>
      </c>
      <c r="B1121" s="24">
        <v>100</v>
      </c>
      <c r="C1121" s="25">
        <f>Sales!$B1121*Sales!$A1121</f>
        <v>4300</v>
      </c>
      <c r="D1121" s="26">
        <v>37914</v>
      </c>
      <c r="E1121" s="27" t="s">
        <v>9</v>
      </c>
      <c r="F1121" s="27">
        <v>4</v>
      </c>
      <c r="G1121" s="27">
        <v>10</v>
      </c>
      <c r="H1121" s="27">
        <v>2003</v>
      </c>
      <c r="I1121" s="27" t="s">
        <v>112</v>
      </c>
      <c r="J1121" s="25">
        <v>99</v>
      </c>
      <c r="K1121" s="25">
        <f>Sales!$B1121-Sales!$J1121</f>
        <v>1</v>
      </c>
      <c r="L1121" s="28">
        <f>(Sales!$J1121-Sales!$B1121)/Sales!$J1121</f>
        <v>-1.0101010101010102E-2</v>
      </c>
      <c r="M1121" s="28" t="str">
        <f t="shared" si="17"/>
        <v>Below 0%</v>
      </c>
      <c r="N1121" s="27" t="s">
        <v>11</v>
      </c>
      <c r="O1121" s="27" t="s">
        <v>12</v>
      </c>
      <c r="P1121" s="27" t="s">
        <v>13</v>
      </c>
      <c r="Q1121" s="27" t="s">
        <v>19</v>
      </c>
    </row>
    <row r="1122" spans="1:17" x14ac:dyDescent="0.3">
      <c r="A1122" s="22">
        <v>29</v>
      </c>
      <c r="B1122" s="19">
        <v>95.24</v>
      </c>
      <c r="C1122" s="20">
        <f>Sales!$B1122*Sales!$A1122</f>
        <v>2761.96</v>
      </c>
      <c r="D1122" s="21">
        <v>37930</v>
      </c>
      <c r="E1122" s="22" t="s">
        <v>9</v>
      </c>
      <c r="F1122" s="22">
        <v>4</v>
      </c>
      <c r="G1122" s="22">
        <v>11</v>
      </c>
      <c r="H1122" s="22">
        <v>2003</v>
      </c>
      <c r="I1122" s="22" t="s">
        <v>112</v>
      </c>
      <c r="J1122" s="20">
        <v>99</v>
      </c>
      <c r="K1122" s="20">
        <f>Sales!$B1122-Sales!$J1122</f>
        <v>-3.7600000000000051</v>
      </c>
      <c r="L1122" s="23">
        <f>(Sales!$J1122-Sales!$B1122)/Sales!$J1122</f>
        <v>3.797979797979803E-2</v>
      </c>
      <c r="M1122" s="23" t="str">
        <f t="shared" si="17"/>
        <v>0%-5%</v>
      </c>
      <c r="N1122" s="22" t="s">
        <v>113</v>
      </c>
      <c r="O1122" s="22" t="s">
        <v>61</v>
      </c>
      <c r="P1122" s="22" t="s">
        <v>17</v>
      </c>
      <c r="Q1122" s="22" t="s">
        <v>14</v>
      </c>
    </row>
    <row r="1123" spans="1:17" x14ac:dyDescent="0.3">
      <c r="A1123" s="27">
        <v>33</v>
      </c>
      <c r="B1123" s="24">
        <v>86.31</v>
      </c>
      <c r="C1123" s="25">
        <f>Sales!$B1123*Sales!$A1123</f>
        <v>2848.23</v>
      </c>
      <c r="D1123" s="26">
        <v>37937</v>
      </c>
      <c r="E1123" s="27" t="s">
        <v>9</v>
      </c>
      <c r="F1123" s="27">
        <v>4</v>
      </c>
      <c r="G1123" s="27">
        <v>11</v>
      </c>
      <c r="H1123" s="27">
        <v>2003</v>
      </c>
      <c r="I1123" s="27" t="s">
        <v>112</v>
      </c>
      <c r="J1123" s="25">
        <v>99</v>
      </c>
      <c r="K1123" s="25">
        <f>Sales!$B1123-Sales!$J1123</f>
        <v>-12.689999999999998</v>
      </c>
      <c r="L1123" s="28">
        <f>(Sales!$J1123-Sales!$B1123)/Sales!$J1123</f>
        <v>0.12818181818181815</v>
      </c>
      <c r="M1123" s="28" t="str">
        <f t="shared" si="17"/>
        <v>10%-15%</v>
      </c>
      <c r="N1123" s="27" t="s">
        <v>64</v>
      </c>
      <c r="O1123" s="27" t="s">
        <v>12</v>
      </c>
      <c r="P1123" s="27" t="s">
        <v>13</v>
      </c>
      <c r="Q1123" s="27" t="s">
        <v>14</v>
      </c>
    </row>
    <row r="1124" spans="1:17" x14ac:dyDescent="0.3">
      <c r="A1124" s="22">
        <v>32</v>
      </c>
      <c r="B1124" s="19">
        <v>79.37</v>
      </c>
      <c r="C1124" s="20">
        <f>Sales!$B1124*Sales!$A1124</f>
        <v>2539.84</v>
      </c>
      <c r="D1124" s="21">
        <v>37946</v>
      </c>
      <c r="E1124" s="22" t="s">
        <v>9</v>
      </c>
      <c r="F1124" s="22">
        <v>4</v>
      </c>
      <c r="G1124" s="22">
        <v>11</v>
      </c>
      <c r="H1124" s="22">
        <v>2003</v>
      </c>
      <c r="I1124" s="22" t="s">
        <v>112</v>
      </c>
      <c r="J1124" s="20">
        <v>99</v>
      </c>
      <c r="K1124" s="20">
        <f>Sales!$B1124-Sales!$J1124</f>
        <v>-19.629999999999995</v>
      </c>
      <c r="L1124" s="23">
        <f>(Sales!$J1124-Sales!$B1124)/Sales!$J1124</f>
        <v>0.19828282828282823</v>
      </c>
      <c r="M1124" s="23" t="str">
        <f t="shared" si="17"/>
        <v>15%-20%</v>
      </c>
      <c r="N1124" s="22" t="s">
        <v>114</v>
      </c>
      <c r="O1124" s="22" t="s">
        <v>27</v>
      </c>
      <c r="P1124" s="22" t="s">
        <v>28</v>
      </c>
      <c r="Q1124" s="22" t="s">
        <v>14</v>
      </c>
    </row>
    <row r="1125" spans="1:17" x14ac:dyDescent="0.3">
      <c r="A1125" s="27">
        <v>28</v>
      </c>
      <c r="B1125" s="24">
        <v>87.3</v>
      </c>
      <c r="C1125" s="25">
        <f>Sales!$B1125*Sales!$A1125</f>
        <v>2444.4</v>
      </c>
      <c r="D1125" s="26">
        <v>37960</v>
      </c>
      <c r="E1125" s="27" t="s">
        <v>9</v>
      </c>
      <c r="F1125" s="27">
        <v>4</v>
      </c>
      <c r="G1125" s="27">
        <v>12</v>
      </c>
      <c r="H1125" s="27">
        <v>2003</v>
      </c>
      <c r="I1125" s="27" t="s">
        <v>112</v>
      </c>
      <c r="J1125" s="25">
        <v>99</v>
      </c>
      <c r="K1125" s="25">
        <f>Sales!$B1125-Sales!$J1125</f>
        <v>-11.700000000000003</v>
      </c>
      <c r="L1125" s="28">
        <f>(Sales!$J1125-Sales!$B1125)/Sales!$J1125</f>
        <v>0.11818181818181821</v>
      </c>
      <c r="M1125" s="28" t="str">
        <f t="shared" si="17"/>
        <v>10%-15%</v>
      </c>
      <c r="N1125" s="27" t="s">
        <v>55</v>
      </c>
      <c r="O1125" s="27" t="s">
        <v>56</v>
      </c>
      <c r="P1125" s="27" t="s">
        <v>13</v>
      </c>
      <c r="Q1125" s="27" t="s">
        <v>14</v>
      </c>
    </row>
    <row r="1126" spans="1:17" x14ac:dyDescent="0.3">
      <c r="A1126" s="22">
        <v>41</v>
      </c>
      <c r="B1126" s="19">
        <v>100</v>
      </c>
      <c r="C1126" s="20">
        <f>Sales!$B1126*Sales!$A1126</f>
        <v>4100</v>
      </c>
      <c r="D1126" s="21">
        <v>38015</v>
      </c>
      <c r="E1126" s="22" t="s">
        <v>9</v>
      </c>
      <c r="F1126" s="22">
        <v>1</v>
      </c>
      <c r="G1126" s="22">
        <v>1</v>
      </c>
      <c r="H1126" s="22">
        <v>2004</v>
      </c>
      <c r="I1126" s="22" t="s">
        <v>112</v>
      </c>
      <c r="J1126" s="20">
        <v>99</v>
      </c>
      <c r="K1126" s="20">
        <f>Sales!$B1126-Sales!$J1126</f>
        <v>1</v>
      </c>
      <c r="L1126" s="23">
        <f>(Sales!$J1126-Sales!$B1126)/Sales!$J1126</f>
        <v>-1.0101010101010102E-2</v>
      </c>
      <c r="M1126" s="23" t="str">
        <f t="shared" si="17"/>
        <v>Below 0%</v>
      </c>
      <c r="N1126" s="22" t="s">
        <v>57</v>
      </c>
      <c r="O1126" s="22" t="s">
        <v>12</v>
      </c>
      <c r="P1126" s="22" t="s">
        <v>13</v>
      </c>
      <c r="Q1126" s="22" t="s">
        <v>19</v>
      </c>
    </row>
    <row r="1127" spans="1:17" x14ac:dyDescent="0.3">
      <c r="A1127" s="27">
        <v>33</v>
      </c>
      <c r="B1127" s="24">
        <v>100</v>
      </c>
      <c r="C1127" s="25">
        <f>Sales!$B1127*Sales!$A1127</f>
        <v>3300</v>
      </c>
      <c r="D1127" s="26">
        <v>38048</v>
      </c>
      <c r="E1127" s="27" t="s">
        <v>9</v>
      </c>
      <c r="F1127" s="27">
        <v>1</v>
      </c>
      <c r="G1127" s="27">
        <v>3</v>
      </c>
      <c r="H1127" s="27">
        <v>2004</v>
      </c>
      <c r="I1127" s="27" t="s">
        <v>112</v>
      </c>
      <c r="J1127" s="25">
        <v>99</v>
      </c>
      <c r="K1127" s="25">
        <f>Sales!$B1127-Sales!$J1127</f>
        <v>1</v>
      </c>
      <c r="L1127" s="28">
        <f>(Sales!$J1127-Sales!$B1127)/Sales!$J1127</f>
        <v>-1.0101010101010102E-2</v>
      </c>
      <c r="M1127" s="28" t="str">
        <f t="shared" si="17"/>
        <v>Below 0%</v>
      </c>
      <c r="N1127" s="27" t="s">
        <v>54</v>
      </c>
      <c r="O1127" s="27" t="s">
        <v>16</v>
      </c>
      <c r="P1127" s="27" t="s">
        <v>17</v>
      </c>
      <c r="Q1127" s="27" t="s">
        <v>19</v>
      </c>
    </row>
    <row r="1128" spans="1:17" x14ac:dyDescent="0.3">
      <c r="A1128" s="22">
        <v>36</v>
      </c>
      <c r="B1128" s="19">
        <v>84.33</v>
      </c>
      <c r="C1128" s="20">
        <f>Sales!$B1128*Sales!$A1128</f>
        <v>3035.88</v>
      </c>
      <c r="D1128" s="21">
        <v>38106</v>
      </c>
      <c r="E1128" s="22" t="s">
        <v>9</v>
      </c>
      <c r="F1128" s="22">
        <v>2</v>
      </c>
      <c r="G1128" s="22">
        <v>4</v>
      </c>
      <c r="H1128" s="22">
        <v>2004</v>
      </c>
      <c r="I1128" s="22" t="s">
        <v>112</v>
      </c>
      <c r="J1128" s="20">
        <v>99</v>
      </c>
      <c r="K1128" s="20">
        <f>Sales!$B1128-Sales!$J1128</f>
        <v>-14.670000000000002</v>
      </c>
      <c r="L1128" s="23">
        <f>(Sales!$J1128-Sales!$B1128)/Sales!$J1128</f>
        <v>0.14818181818181819</v>
      </c>
      <c r="M1128" s="23" t="str">
        <f t="shared" si="17"/>
        <v>10%-15%</v>
      </c>
      <c r="N1128" s="22" t="s">
        <v>45</v>
      </c>
      <c r="O1128" s="22" t="s">
        <v>46</v>
      </c>
      <c r="P1128" s="22" t="s">
        <v>17</v>
      </c>
      <c r="Q1128" s="22" t="s">
        <v>19</v>
      </c>
    </row>
    <row r="1129" spans="1:17" x14ac:dyDescent="0.3">
      <c r="A1129" s="27">
        <v>26</v>
      </c>
      <c r="B1129" s="24">
        <v>89.29</v>
      </c>
      <c r="C1129" s="25">
        <f>Sales!$B1129*Sales!$A1129</f>
        <v>2321.54</v>
      </c>
      <c r="D1129" s="26">
        <v>38152</v>
      </c>
      <c r="E1129" s="27" t="s">
        <v>9</v>
      </c>
      <c r="F1129" s="27">
        <v>2</v>
      </c>
      <c r="G1129" s="27">
        <v>6</v>
      </c>
      <c r="H1129" s="27">
        <v>2004</v>
      </c>
      <c r="I1129" s="27" t="s">
        <v>112</v>
      </c>
      <c r="J1129" s="25">
        <v>99</v>
      </c>
      <c r="K1129" s="25">
        <f>Sales!$B1129-Sales!$J1129</f>
        <v>-9.7099999999999937</v>
      </c>
      <c r="L1129" s="28">
        <f>(Sales!$J1129-Sales!$B1129)/Sales!$J1129</f>
        <v>9.8080808080808018E-2</v>
      </c>
      <c r="M1129" s="28" t="str">
        <f t="shared" si="17"/>
        <v>5%-10%</v>
      </c>
      <c r="N1129" s="27" t="s">
        <v>86</v>
      </c>
      <c r="O1129" s="27" t="s">
        <v>12</v>
      </c>
      <c r="P1129" s="27" t="s">
        <v>13</v>
      </c>
      <c r="Q1129" s="27" t="s">
        <v>14</v>
      </c>
    </row>
    <row r="1130" spans="1:17" x14ac:dyDescent="0.3">
      <c r="A1130" s="22">
        <v>34</v>
      </c>
      <c r="B1130" s="19">
        <v>100</v>
      </c>
      <c r="C1130" s="20">
        <f>Sales!$B1130*Sales!$A1130</f>
        <v>3400</v>
      </c>
      <c r="D1130" s="21">
        <v>38216</v>
      </c>
      <c r="E1130" s="22" t="s">
        <v>9</v>
      </c>
      <c r="F1130" s="22">
        <v>3</v>
      </c>
      <c r="G1130" s="22">
        <v>8</v>
      </c>
      <c r="H1130" s="22">
        <v>2004</v>
      </c>
      <c r="I1130" s="22" t="s">
        <v>112</v>
      </c>
      <c r="J1130" s="20">
        <v>99</v>
      </c>
      <c r="K1130" s="20">
        <f>Sales!$B1130-Sales!$J1130</f>
        <v>1</v>
      </c>
      <c r="L1130" s="23">
        <f>(Sales!$J1130-Sales!$B1130)/Sales!$J1130</f>
        <v>-1.0101010101010102E-2</v>
      </c>
      <c r="M1130" s="23" t="str">
        <f t="shared" si="17"/>
        <v>Below 0%</v>
      </c>
      <c r="N1130" s="22" t="s">
        <v>60</v>
      </c>
      <c r="O1130" s="22" t="s">
        <v>61</v>
      </c>
      <c r="P1130" s="22" t="s">
        <v>17</v>
      </c>
      <c r="Q1130" s="22" t="s">
        <v>19</v>
      </c>
    </row>
    <row r="1131" spans="1:17" x14ac:dyDescent="0.3">
      <c r="A1131" s="27">
        <v>26</v>
      </c>
      <c r="B1131" s="24">
        <v>96.23</v>
      </c>
      <c r="C1131" s="25">
        <f>Sales!$B1131*Sales!$A1131</f>
        <v>2501.98</v>
      </c>
      <c r="D1131" s="26">
        <v>38237</v>
      </c>
      <c r="E1131" s="27" t="s">
        <v>9</v>
      </c>
      <c r="F1131" s="27">
        <v>3</v>
      </c>
      <c r="G1131" s="27">
        <v>9</v>
      </c>
      <c r="H1131" s="27">
        <v>2004</v>
      </c>
      <c r="I1131" s="27" t="s">
        <v>112</v>
      </c>
      <c r="J1131" s="25">
        <v>99</v>
      </c>
      <c r="K1131" s="25">
        <f>Sales!$B1131-Sales!$J1131</f>
        <v>-2.769999999999996</v>
      </c>
      <c r="L1131" s="28">
        <f>(Sales!$J1131-Sales!$B1131)/Sales!$J1131</f>
        <v>2.7979797979797938E-2</v>
      </c>
      <c r="M1131" s="28" t="str">
        <f t="shared" si="17"/>
        <v>0%-5%</v>
      </c>
      <c r="N1131" s="27" t="s">
        <v>66</v>
      </c>
      <c r="O1131" s="27" t="s">
        <v>12</v>
      </c>
      <c r="P1131" s="27" t="s">
        <v>13</v>
      </c>
      <c r="Q1131" s="27" t="s">
        <v>14</v>
      </c>
    </row>
    <row r="1132" spans="1:17" x14ac:dyDescent="0.3">
      <c r="A1132" s="22">
        <v>38</v>
      </c>
      <c r="B1132" s="19">
        <v>100</v>
      </c>
      <c r="C1132" s="20">
        <f>Sales!$B1132*Sales!$A1132</f>
        <v>3800</v>
      </c>
      <c r="D1132" s="21">
        <v>38271</v>
      </c>
      <c r="E1132" s="22" t="s">
        <v>9</v>
      </c>
      <c r="F1132" s="22">
        <v>4</v>
      </c>
      <c r="G1132" s="22">
        <v>10</v>
      </c>
      <c r="H1132" s="22">
        <v>2004</v>
      </c>
      <c r="I1132" s="22" t="s">
        <v>112</v>
      </c>
      <c r="J1132" s="20">
        <v>99</v>
      </c>
      <c r="K1132" s="20">
        <f>Sales!$B1132-Sales!$J1132</f>
        <v>1</v>
      </c>
      <c r="L1132" s="23">
        <f>(Sales!$J1132-Sales!$B1132)/Sales!$J1132</f>
        <v>-1.0101010101010102E-2</v>
      </c>
      <c r="M1132" s="23" t="str">
        <f t="shared" si="17"/>
        <v>Below 0%</v>
      </c>
      <c r="N1132" s="22" t="s">
        <v>63</v>
      </c>
      <c r="O1132" s="22" t="s">
        <v>16</v>
      </c>
      <c r="P1132" s="22" t="s">
        <v>17</v>
      </c>
      <c r="Q1132" s="22" t="s">
        <v>19</v>
      </c>
    </row>
    <row r="1133" spans="1:17" x14ac:dyDescent="0.3">
      <c r="A1133" s="27">
        <v>33</v>
      </c>
      <c r="B1133" s="24">
        <v>100</v>
      </c>
      <c r="C1133" s="25">
        <f>Sales!$B1133*Sales!$A1133</f>
        <v>3300</v>
      </c>
      <c r="D1133" s="26">
        <v>38281</v>
      </c>
      <c r="E1133" s="27" t="s">
        <v>9</v>
      </c>
      <c r="F1133" s="27">
        <v>4</v>
      </c>
      <c r="G1133" s="27">
        <v>10</v>
      </c>
      <c r="H1133" s="27">
        <v>2004</v>
      </c>
      <c r="I1133" s="27" t="s">
        <v>112</v>
      </c>
      <c r="J1133" s="25">
        <v>99</v>
      </c>
      <c r="K1133" s="25">
        <f>Sales!$B1133-Sales!$J1133</f>
        <v>1</v>
      </c>
      <c r="L1133" s="28">
        <f>(Sales!$J1133-Sales!$B1133)/Sales!$J1133</f>
        <v>-1.0101010101010102E-2</v>
      </c>
      <c r="M1133" s="28" t="str">
        <f t="shared" si="17"/>
        <v>Below 0%</v>
      </c>
      <c r="N1133" s="27" t="s">
        <v>64</v>
      </c>
      <c r="O1133" s="27" t="s">
        <v>12</v>
      </c>
      <c r="P1133" s="27" t="s">
        <v>13</v>
      </c>
      <c r="Q1133" s="27" t="s">
        <v>19</v>
      </c>
    </row>
    <row r="1134" spans="1:17" x14ac:dyDescent="0.3">
      <c r="A1134" s="22">
        <v>33</v>
      </c>
      <c r="B1134" s="19">
        <v>91.27</v>
      </c>
      <c r="C1134" s="20">
        <f>Sales!$B1134*Sales!$A1134</f>
        <v>3011.91</v>
      </c>
      <c r="D1134" s="21">
        <v>38296</v>
      </c>
      <c r="E1134" s="22" t="s">
        <v>9</v>
      </c>
      <c r="F1134" s="22">
        <v>4</v>
      </c>
      <c r="G1134" s="22">
        <v>11</v>
      </c>
      <c r="H1134" s="22">
        <v>2004</v>
      </c>
      <c r="I1134" s="22" t="s">
        <v>112</v>
      </c>
      <c r="J1134" s="20">
        <v>99</v>
      </c>
      <c r="K1134" s="20">
        <f>Sales!$B1134-Sales!$J1134</f>
        <v>-7.730000000000004</v>
      </c>
      <c r="L1134" s="23">
        <f>(Sales!$J1134-Sales!$B1134)/Sales!$J1134</f>
        <v>7.8080808080808126E-2</v>
      </c>
      <c r="M1134" s="23" t="str">
        <f t="shared" si="17"/>
        <v>5%-10%</v>
      </c>
      <c r="N1134" s="22" t="s">
        <v>98</v>
      </c>
      <c r="O1134" s="22" t="s">
        <v>94</v>
      </c>
      <c r="P1134" s="22" t="s">
        <v>17</v>
      </c>
      <c r="Q1134" s="22" t="s">
        <v>19</v>
      </c>
    </row>
    <row r="1135" spans="1:17" x14ac:dyDescent="0.3">
      <c r="A1135" s="27">
        <v>46</v>
      </c>
      <c r="B1135" s="24">
        <v>100</v>
      </c>
      <c r="C1135" s="25">
        <f>Sales!$B1135*Sales!$A1135</f>
        <v>4600</v>
      </c>
      <c r="D1135" s="26">
        <v>38309</v>
      </c>
      <c r="E1135" s="27" t="s">
        <v>9</v>
      </c>
      <c r="F1135" s="27">
        <v>4</v>
      </c>
      <c r="G1135" s="27">
        <v>11</v>
      </c>
      <c r="H1135" s="27">
        <v>2004</v>
      </c>
      <c r="I1135" s="27" t="s">
        <v>112</v>
      </c>
      <c r="J1135" s="25">
        <v>99</v>
      </c>
      <c r="K1135" s="25">
        <f>Sales!$B1135-Sales!$J1135</f>
        <v>1</v>
      </c>
      <c r="L1135" s="28">
        <f>(Sales!$J1135-Sales!$B1135)/Sales!$J1135</f>
        <v>-1.0101010101010102E-2</v>
      </c>
      <c r="M1135" s="28" t="str">
        <f t="shared" si="17"/>
        <v>Below 0%</v>
      </c>
      <c r="N1135" s="27" t="s">
        <v>21</v>
      </c>
      <c r="O1135" s="27" t="s">
        <v>12</v>
      </c>
      <c r="P1135" s="27" t="s">
        <v>13</v>
      </c>
      <c r="Q1135" s="27" t="s">
        <v>39</v>
      </c>
    </row>
    <row r="1136" spans="1:17" x14ac:dyDescent="0.3">
      <c r="A1136" s="22">
        <v>26</v>
      </c>
      <c r="B1136" s="19">
        <v>100</v>
      </c>
      <c r="C1136" s="20">
        <f>Sales!$B1136*Sales!$A1136</f>
        <v>2600</v>
      </c>
      <c r="D1136" s="21">
        <v>38320</v>
      </c>
      <c r="E1136" s="22" t="s">
        <v>9</v>
      </c>
      <c r="F1136" s="22">
        <v>4</v>
      </c>
      <c r="G1136" s="22">
        <v>11</v>
      </c>
      <c r="H1136" s="22">
        <v>2004</v>
      </c>
      <c r="I1136" s="22" t="s">
        <v>112</v>
      </c>
      <c r="J1136" s="20">
        <v>99</v>
      </c>
      <c r="K1136" s="20">
        <f>Sales!$B1136-Sales!$J1136</f>
        <v>1</v>
      </c>
      <c r="L1136" s="23">
        <f>(Sales!$J1136-Sales!$B1136)/Sales!$J1136</f>
        <v>-1.0101010101010102E-2</v>
      </c>
      <c r="M1136" s="23" t="str">
        <f t="shared" si="17"/>
        <v>Below 0%</v>
      </c>
      <c r="N1136" s="22" t="s">
        <v>26</v>
      </c>
      <c r="O1136" s="22" t="s">
        <v>27</v>
      </c>
      <c r="P1136" s="22" t="s">
        <v>28</v>
      </c>
      <c r="Q1136" s="22" t="s">
        <v>14</v>
      </c>
    </row>
    <row r="1137" spans="1:17" x14ac:dyDescent="0.3">
      <c r="A1137" s="27">
        <v>25</v>
      </c>
      <c r="B1137" s="24">
        <v>100</v>
      </c>
      <c r="C1137" s="25">
        <f>Sales!$B1137*Sales!$A1137</f>
        <v>2500</v>
      </c>
      <c r="D1137" s="26">
        <v>38331</v>
      </c>
      <c r="E1137" s="27" t="s">
        <v>9</v>
      </c>
      <c r="F1137" s="27">
        <v>4</v>
      </c>
      <c r="G1137" s="27">
        <v>12</v>
      </c>
      <c r="H1137" s="27">
        <v>2004</v>
      </c>
      <c r="I1137" s="27" t="s">
        <v>112</v>
      </c>
      <c r="J1137" s="25">
        <v>99</v>
      </c>
      <c r="K1137" s="25">
        <f>Sales!$B1137-Sales!$J1137</f>
        <v>1</v>
      </c>
      <c r="L1137" s="28">
        <f>(Sales!$J1137-Sales!$B1137)/Sales!$J1137</f>
        <v>-1.0101010101010102E-2</v>
      </c>
      <c r="M1137" s="28" t="str">
        <f t="shared" si="17"/>
        <v>Below 0%</v>
      </c>
      <c r="N1137" s="27" t="s">
        <v>64</v>
      </c>
      <c r="O1137" s="27" t="s">
        <v>12</v>
      </c>
      <c r="P1137" s="27" t="s">
        <v>13</v>
      </c>
      <c r="Q1137" s="27" t="s">
        <v>14</v>
      </c>
    </row>
    <row r="1138" spans="1:17" x14ac:dyDescent="0.3">
      <c r="A1138" s="22">
        <v>45</v>
      </c>
      <c r="B1138" s="19">
        <v>73.08</v>
      </c>
      <c r="C1138" s="20">
        <f>Sales!$B1138*Sales!$A1138</f>
        <v>3288.6</v>
      </c>
      <c r="D1138" s="21">
        <v>38372</v>
      </c>
      <c r="E1138" s="22" t="s">
        <v>9</v>
      </c>
      <c r="F1138" s="22">
        <v>1</v>
      </c>
      <c r="G1138" s="22">
        <v>1</v>
      </c>
      <c r="H1138" s="22">
        <v>2005</v>
      </c>
      <c r="I1138" s="22" t="s">
        <v>112</v>
      </c>
      <c r="J1138" s="20">
        <v>99</v>
      </c>
      <c r="K1138" s="20">
        <f>Sales!$B1138-Sales!$J1138</f>
        <v>-25.92</v>
      </c>
      <c r="L1138" s="23">
        <f>(Sales!$J1138-Sales!$B1138)/Sales!$J1138</f>
        <v>0.26181818181818184</v>
      </c>
      <c r="M1138" s="23" t="str">
        <f t="shared" si="17"/>
        <v>+20%</v>
      </c>
      <c r="N1138" s="22" t="s">
        <v>66</v>
      </c>
      <c r="O1138" s="22" t="s">
        <v>12</v>
      </c>
      <c r="P1138" s="22" t="s">
        <v>13</v>
      </c>
      <c r="Q1138" s="22" t="s">
        <v>19</v>
      </c>
    </row>
    <row r="1139" spans="1:17" x14ac:dyDescent="0.3">
      <c r="A1139" s="27">
        <v>50</v>
      </c>
      <c r="B1139" s="24">
        <v>100</v>
      </c>
      <c r="C1139" s="25">
        <f>Sales!$B1139*Sales!$A1139</f>
        <v>5000</v>
      </c>
      <c r="D1139" s="26">
        <v>38400</v>
      </c>
      <c r="E1139" s="27" t="s">
        <v>9</v>
      </c>
      <c r="F1139" s="27">
        <v>1</v>
      </c>
      <c r="G1139" s="27">
        <v>2</v>
      </c>
      <c r="H1139" s="27">
        <v>2005</v>
      </c>
      <c r="I1139" s="27" t="s">
        <v>112</v>
      </c>
      <c r="J1139" s="25">
        <v>99</v>
      </c>
      <c r="K1139" s="25">
        <f>Sales!$B1139-Sales!$J1139</f>
        <v>1</v>
      </c>
      <c r="L1139" s="28">
        <f>(Sales!$J1139-Sales!$B1139)/Sales!$J1139</f>
        <v>-1.0101010101010102E-2</v>
      </c>
      <c r="M1139" s="28" t="str">
        <f t="shared" si="17"/>
        <v>Below 0%</v>
      </c>
      <c r="N1139" s="27" t="s">
        <v>64</v>
      </c>
      <c r="O1139" s="27" t="s">
        <v>12</v>
      </c>
      <c r="P1139" s="27" t="s">
        <v>13</v>
      </c>
      <c r="Q1139" s="27" t="s">
        <v>39</v>
      </c>
    </row>
    <row r="1140" spans="1:17" x14ac:dyDescent="0.3">
      <c r="A1140" s="22">
        <v>36</v>
      </c>
      <c r="B1140" s="19">
        <v>100</v>
      </c>
      <c r="C1140" s="20">
        <f>Sales!$B1140*Sales!$A1140</f>
        <v>3600</v>
      </c>
      <c r="D1140" s="21">
        <v>38421</v>
      </c>
      <c r="E1140" s="22" t="s">
        <v>9</v>
      </c>
      <c r="F1140" s="22">
        <v>1</v>
      </c>
      <c r="G1140" s="22">
        <v>3</v>
      </c>
      <c r="H1140" s="22">
        <v>2005</v>
      </c>
      <c r="I1140" s="22" t="s">
        <v>112</v>
      </c>
      <c r="J1140" s="20">
        <v>99</v>
      </c>
      <c r="K1140" s="20">
        <f>Sales!$B1140-Sales!$J1140</f>
        <v>1</v>
      </c>
      <c r="L1140" s="23">
        <f>(Sales!$J1140-Sales!$B1140)/Sales!$J1140</f>
        <v>-1.0101010101010102E-2</v>
      </c>
      <c r="M1140" s="23" t="str">
        <f t="shared" si="17"/>
        <v>Below 0%</v>
      </c>
      <c r="N1140" s="22" t="s">
        <v>89</v>
      </c>
      <c r="O1140" s="22" t="s">
        <v>38</v>
      </c>
      <c r="P1140" s="22" t="s">
        <v>17</v>
      </c>
      <c r="Q1140" s="22" t="s">
        <v>19</v>
      </c>
    </row>
    <row r="1141" spans="1:17" x14ac:dyDescent="0.3">
      <c r="A1141" s="27">
        <v>21</v>
      </c>
      <c r="B1141" s="24">
        <v>89.29</v>
      </c>
      <c r="C1141" s="25">
        <f>Sales!$B1141*Sales!$A1141</f>
        <v>1875.0900000000001</v>
      </c>
      <c r="D1141" s="26">
        <v>38502</v>
      </c>
      <c r="E1141" s="27" t="s">
        <v>69</v>
      </c>
      <c r="F1141" s="27">
        <v>2</v>
      </c>
      <c r="G1141" s="27">
        <v>5</v>
      </c>
      <c r="H1141" s="27">
        <v>2005</v>
      </c>
      <c r="I1141" s="27" t="s">
        <v>112</v>
      </c>
      <c r="J1141" s="25">
        <v>99</v>
      </c>
      <c r="K1141" s="25">
        <f>Sales!$B1141-Sales!$J1141</f>
        <v>-9.7099999999999937</v>
      </c>
      <c r="L1141" s="28">
        <f>(Sales!$J1141-Sales!$B1141)/Sales!$J1141</f>
        <v>9.8080808080808018E-2</v>
      </c>
      <c r="M1141" s="28" t="str">
        <f t="shared" si="17"/>
        <v>5%-10%</v>
      </c>
      <c r="N1141" s="27" t="s">
        <v>80</v>
      </c>
      <c r="O1141" s="27" t="s">
        <v>81</v>
      </c>
      <c r="P1141" s="27" t="s">
        <v>17</v>
      </c>
      <c r="Q1141" s="27" t="s">
        <v>14</v>
      </c>
    </row>
    <row r="1142" spans="1:17" x14ac:dyDescent="0.3">
      <c r="A1142" s="22">
        <v>29</v>
      </c>
      <c r="B1142" s="19">
        <v>100</v>
      </c>
      <c r="C1142" s="20">
        <f>Sales!$B1142*Sales!$A1142</f>
        <v>2900</v>
      </c>
      <c r="D1142" s="21">
        <v>37683</v>
      </c>
      <c r="E1142" s="22" t="s">
        <v>9</v>
      </c>
      <c r="F1142" s="22">
        <v>1</v>
      </c>
      <c r="G1142" s="22">
        <v>3</v>
      </c>
      <c r="H1142" s="22">
        <v>2003</v>
      </c>
      <c r="I1142" s="22" t="s">
        <v>47</v>
      </c>
      <c r="J1142" s="20">
        <v>146</v>
      </c>
      <c r="K1142" s="20">
        <f>Sales!$B1142-Sales!$J1142</f>
        <v>-46</v>
      </c>
      <c r="L1142" s="23">
        <f>(Sales!$J1142-Sales!$B1142)/Sales!$J1142</f>
        <v>0.31506849315068491</v>
      </c>
      <c r="M1142" s="23" t="str">
        <f t="shared" si="17"/>
        <v>+20%</v>
      </c>
      <c r="N1142" s="22" t="s">
        <v>90</v>
      </c>
      <c r="O1142" s="22" t="s">
        <v>91</v>
      </c>
      <c r="P1142" s="22" t="s">
        <v>28</v>
      </c>
      <c r="Q1142" s="22" t="s">
        <v>19</v>
      </c>
    </row>
    <row r="1143" spans="1:17" x14ac:dyDescent="0.3">
      <c r="A1143" s="27">
        <v>21</v>
      </c>
      <c r="B1143" s="24">
        <v>100</v>
      </c>
      <c r="C1143" s="25">
        <f>Sales!$B1143*Sales!$A1143</f>
        <v>2100</v>
      </c>
      <c r="D1143" s="26">
        <v>37749</v>
      </c>
      <c r="E1143" s="27" t="s">
        <v>9</v>
      </c>
      <c r="F1143" s="27">
        <v>2</v>
      </c>
      <c r="G1143" s="27">
        <v>5</v>
      </c>
      <c r="H1143" s="27">
        <v>2003</v>
      </c>
      <c r="I1143" s="27" t="s">
        <v>47</v>
      </c>
      <c r="J1143" s="25">
        <v>146</v>
      </c>
      <c r="K1143" s="25">
        <f>Sales!$B1143-Sales!$J1143</f>
        <v>-46</v>
      </c>
      <c r="L1143" s="28">
        <f>(Sales!$J1143-Sales!$B1143)/Sales!$J1143</f>
        <v>0.31506849315068491</v>
      </c>
      <c r="M1143" s="28" t="str">
        <f t="shared" si="17"/>
        <v>+20%</v>
      </c>
      <c r="N1143" s="27" t="s">
        <v>92</v>
      </c>
      <c r="O1143" s="27" t="s">
        <v>16</v>
      </c>
      <c r="P1143" s="27" t="s">
        <v>17</v>
      </c>
      <c r="Q1143" s="27" t="s">
        <v>14</v>
      </c>
    </row>
    <row r="1144" spans="1:17" x14ac:dyDescent="0.3">
      <c r="A1144" s="22">
        <v>42</v>
      </c>
      <c r="B1144" s="19">
        <v>100</v>
      </c>
      <c r="C1144" s="20">
        <f>Sales!$B1144*Sales!$A1144</f>
        <v>4200</v>
      </c>
      <c r="D1144" s="21">
        <v>37804</v>
      </c>
      <c r="E1144" s="22" t="s">
        <v>9</v>
      </c>
      <c r="F1144" s="22">
        <v>3</v>
      </c>
      <c r="G1144" s="22">
        <v>7</v>
      </c>
      <c r="H1144" s="22">
        <v>2003</v>
      </c>
      <c r="I1144" s="22" t="s">
        <v>47</v>
      </c>
      <c r="J1144" s="20">
        <v>146</v>
      </c>
      <c r="K1144" s="20">
        <f>Sales!$B1144-Sales!$J1144</f>
        <v>-46</v>
      </c>
      <c r="L1144" s="23">
        <f>(Sales!$J1144-Sales!$B1144)/Sales!$J1144</f>
        <v>0.31506849315068491</v>
      </c>
      <c r="M1144" s="23" t="str">
        <f t="shared" si="17"/>
        <v>+20%</v>
      </c>
      <c r="N1144" s="22" t="s">
        <v>64</v>
      </c>
      <c r="O1144" s="22" t="s">
        <v>12</v>
      </c>
      <c r="P1144" s="22" t="s">
        <v>13</v>
      </c>
      <c r="Q1144" s="22" t="s">
        <v>19</v>
      </c>
    </row>
    <row r="1145" spans="1:17" x14ac:dyDescent="0.3">
      <c r="A1145" s="27">
        <v>37</v>
      </c>
      <c r="B1145" s="24">
        <v>100</v>
      </c>
      <c r="C1145" s="25">
        <f>Sales!$B1145*Sales!$A1145</f>
        <v>3700</v>
      </c>
      <c r="D1145" s="26">
        <v>37869</v>
      </c>
      <c r="E1145" s="27" t="s">
        <v>9</v>
      </c>
      <c r="F1145" s="27">
        <v>3</v>
      </c>
      <c r="G1145" s="27">
        <v>9</v>
      </c>
      <c r="H1145" s="27">
        <v>2003</v>
      </c>
      <c r="I1145" s="27" t="s">
        <v>47</v>
      </c>
      <c r="J1145" s="25">
        <v>146</v>
      </c>
      <c r="K1145" s="25">
        <f>Sales!$B1145-Sales!$J1145</f>
        <v>-46</v>
      </c>
      <c r="L1145" s="28">
        <f>(Sales!$J1145-Sales!$B1145)/Sales!$J1145</f>
        <v>0.31506849315068491</v>
      </c>
      <c r="M1145" s="28" t="str">
        <f t="shared" si="17"/>
        <v>+20%</v>
      </c>
      <c r="N1145" s="27" t="s">
        <v>66</v>
      </c>
      <c r="O1145" s="27" t="s">
        <v>12</v>
      </c>
      <c r="P1145" s="27" t="s">
        <v>13</v>
      </c>
      <c r="Q1145" s="27" t="s">
        <v>19</v>
      </c>
    </row>
    <row r="1146" spans="1:17" x14ac:dyDescent="0.3">
      <c r="A1146" s="22">
        <v>25</v>
      </c>
      <c r="B1146" s="19">
        <v>100</v>
      </c>
      <c r="C1146" s="20">
        <f>Sales!$B1146*Sales!$A1146</f>
        <v>2500</v>
      </c>
      <c r="D1146" s="21">
        <v>37904</v>
      </c>
      <c r="E1146" s="22" t="s">
        <v>9</v>
      </c>
      <c r="F1146" s="22">
        <v>4</v>
      </c>
      <c r="G1146" s="22">
        <v>10</v>
      </c>
      <c r="H1146" s="22">
        <v>2003</v>
      </c>
      <c r="I1146" s="22" t="s">
        <v>47</v>
      </c>
      <c r="J1146" s="20">
        <v>146</v>
      </c>
      <c r="K1146" s="20">
        <f>Sales!$B1146-Sales!$J1146</f>
        <v>-46</v>
      </c>
      <c r="L1146" s="23">
        <f>(Sales!$J1146-Sales!$B1146)/Sales!$J1146</f>
        <v>0.31506849315068491</v>
      </c>
      <c r="M1146" s="23" t="str">
        <f t="shared" si="17"/>
        <v>+20%</v>
      </c>
      <c r="N1146" s="22" t="s">
        <v>21</v>
      </c>
      <c r="O1146" s="22" t="s">
        <v>12</v>
      </c>
      <c r="P1146" s="22" t="s">
        <v>13</v>
      </c>
      <c r="Q1146" s="22" t="s">
        <v>19</v>
      </c>
    </row>
    <row r="1147" spans="1:17" x14ac:dyDescent="0.3">
      <c r="A1147" s="27">
        <v>36</v>
      </c>
      <c r="B1147" s="24">
        <v>100</v>
      </c>
      <c r="C1147" s="25">
        <f>Sales!$B1147*Sales!$A1147</f>
        <v>3600</v>
      </c>
      <c r="D1147" s="26">
        <v>37929</v>
      </c>
      <c r="E1147" s="27" t="s">
        <v>9</v>
      </c>
      <c r="F1147" s="27">
        <v>4</v>
      </c>
      <c r="G1147" s="27">
        <v>11</v>
      </c>
      <c r="H1147" s="27">
        <v>2003</v>
      </c>
      <c r="I1147" s="27" t="s">
        <v>47</v>
      </c>
      <c r="J1147" s="25">
        <v>146</v>
      </c>
      <c r="K1147" s="25">
        <f>Sales!$B1147-Sales!$J1147</f>
        <v>-46</v>
      </c>
      <c r="L1147" s="28">
        <f>(Sales!$J1147-Sales!$B1147)/Sales!$J1147</f>
        <v>0.31506849315068491</v>
      </c>
      <c r="M1147" s="28" t="str">
        <f t="shared" si="17"/>
        <v>+20%</v>
      </c>
      <c r="N1147" s="27" t="s">
        <v>67</v>
      </c>
      <c r="O1147" s="27" t="s">
        <v>27</v>
      </c>
      <c r="P1147" s="27" t="s">
        <v>28</v>
      </c>
      <c r="Q1147" s="27" t="s">
        <v>19</v>
      </c>
    </row>
    <row r="1148" spans="1:17" x14ac:dyDescent="0.3">
      <c r="A1148" s="22">
        <v>22</v>
      </c>
      <c r="B1148" s="19">
        <v>100</v>
      </c>
      <c r="C1148" s="20">
        <f>Sales!$B1148*Sales!$A1148</f>
        <v>2200</v>
      </c>
      <c r="D1148" s="21">
        <v>37937</v>
      </c>
      <c r="E1148" s="22" t="s">
        <v>9</v>
      </c>
      <c r="F1148" s="22">
        <v>4</v>
      </c>
      <c r="G1148" s="22">
        <v>11</v>
      </c>
      <c r="H1148" s="22">
        <v>2003</v>
      </c>
      <c r="I1148" s="22" t="s">
        <v>47</v>
      </c>
      <c r="J1148" s="20">
        <v>146</v>
      </c>
      <c r="K1148" s="20">
        <f>Sales!$B1148-Sales!$J1148</f>
        <v>-46</v>
      </c>
      <c r="L1148" s="23">
        <f>(Sales!$J1148-Sales!$B1148)/Sales!$J1148</f>
        <v>0.31506849315068491</v>
      </c>
      <c r="M1148" s="23" t="str">
        <f t="shared" si="17"/>
        <v>+20%</v>
      </c>
      <c r="N1148" s="22" t="s">
        <v>24</v>
      </c>
      <c r="O1148" s="22" t="s">
        <v>25</v>
      </c>
      <c r="P1148" s="22" t="s">
        <v>17</v>
      </c>
      <c r="Q1148" s="22" t="s">
        <v>19</v>
      </c>
    </row>
    <row r="1149" spans="1:17" x14ac:dyDescent="0.3">
      <c r="A1149" s="27">
        <v>23</v>
      </c>
      <c r="B1149" s="24">
        <v>100</v>
      </c>
      <c r="C1149" s="25">
        <f>Sales!$B1149*Sales!$A1149</f>
        <v>2300</v>
      </c>
      <c r="D1149" s="26">
        <v>37945</v>
      </c>
      <c r="E1149" s="27" t="s">
        <v>9</v>
      </c>
      <c r="F1149" s="27">
        <v>4</v>
      </c>
      <c r="G1149" s="27">
        <v>11</v>
      </c>
      <c r="H1149" s="27">
        <v>2003</v>
      </c>
      <c r="I1149" s="27" t="s">
        <v>47</v>
      </c>
      <c r="J1149" s="25">
        <v>146</v>
      </c>
      <c r="K1149" s="25">
        <f>Sales!$B1149-Sales!$J1149</f>
        <v>-46</v>
      </c>
      <c r="L1149" s="28">
        <f>(Sales!$J1149-Sales!$B1149)/Sales!$J1149</f>
        <v>0.31506849315068491</v>
      </c>
      <c r="M1149" s="28" t="str">
        <f t="shared" si="17"/>
        <v>+20%</v>
      </c>
      <c r="N1149" s="27" t="s">
        <v>93</v>
      </c>
      <c r="O1149" s="27" t="s">
        <v>94</v>
      </c>
      <c r="P1149" s="27" t="s">
        <v>17</v>
      </c>
      <c r="Q1149" s="27" t="s">
        <v>19</v>
      </c>
    </row>
    <row r="1150" spans="1:17" x14ac:dyDescent="0.3">
      <c r="A1150" s="22">
        <v>32</v>
      </c>
      <c r="B1150" s="19">
        <v>100</v>
      </c>
      <c r="C1150" s="20">
        <f>Sales!$B1150*Sales!$A1150</f>
        <v>3200</v>
      </c>
      <c r="D1150" s="21">
        <v>37957</v>
      </c>
      <c r="E1150" s="22" t="s">
        <v>9</v>
      </c>
      <c r="F1150" s="22">
        <v>4</v>
      </c>
      <c r="G1150" s="22">
        <v>12</v>
      </c>
      <c r="H1150" s="22">
        <v>2003</v>
      </c>
      <c r="I1150" s="22" t="s">
        <v>47</v>
      </c>
      <c r="J1150" s="20">
        <v>146</v>
      </c>
      <c r="K1150" s="20">
        <f>Sales!$B1150-Sales!$J1150</f>
        <v>-46</v>
      </c>
      <c r="L1150" s="23">
        <f>(Sales!$J1150-Sales!$B1150)/Sales!$J1150</f>
        <v>0.31506849315068491</v>
      </c>
      <c r="M1150" s="23" t="str">
        <f t="shared" si="17"/>
        <v>+20%</v>
      </c>
      <c r="N1150" s="22" t="s">
        <v>45</v>
      </c>
      <c r="O1150" s="22" t="s">
        <v>46</v>
      </c>
      <c r="P1150" s="22" t="s">
        <v>17</v>
      </c>
      <c r="Q1150" s="22" t="s">
        <v>19</v>
      </c>
    </row>
    <row r="1151" spans="1:17" x14ac:dyDescent="0.3">
      <c r="A1151" s="27">
        <v>28</v>
      </c>
      <c r="B1151" s="24">
        <v>100</v>
      </c>
      <c r="C1151" s="25">
        <f>Sales!$B1151*Sales!$A1151</f>
        <v>2800</v>
      </c>
      <c r="D1151" s="26">
        <v>38001</v>
      </c>
      <c r="E1151" s="27" t="s">
        <v>9</v>
      </c>
      <c r="F1151" s="27">
        <v>1</v>
      </c>
      <c r="G1151" s="27">
        <v>1</v>
      </c>
      <c r="H1151" s="27">
        <v>2004</v>
      </c>
      <c r="I1151" s="27" t="s">
        <v>47</v>
      </c>
      <c r="J1151" s="25">
        <v>146</v>
      </c>
      <c r="K1151" s="25">
        <f>Sales!$B1151-Sales!$J1151</f>
        <v>-46</v>
      </c>
      <c r="L1151" s="28">
        <f>(Sales!$J1151-Sales!$B1151)/Sales!$J1151</f>
        <v>0.31506849315068491</v>
      </c>
      <c r="M1151" s="28" t="str">
        <f t="shared" si="17"/>
        <v>+20%</v>
      </c>
      <c r="N1151" s="27" t="s">
        <v>18</v>
      </c>
      <c r="O1151" s="27" t="s">
        <v>16</v>
      </c>
      <c r="P1151" s="27" t="s">
        <v>17</v>
      </c>
      <c r="Q1151" s="27" t="s">
        <v>19</v>
      </c>
    </row>
    <row r="1152" spans="1:17" x14ac:dyDescent="0.3">
      <c r="A1152" s="22">
        <v>27</v>
      </c>
      <c r="B1152" s="19">
        <v>100</v>
      </c>
      <c r="C1152" s="20">
        <f>Sales!$B1152*Sales!$A1152</f>
        <v>2700</v>
      </c>
      <c r="D1152" s="21">
        <v>38039</v>
      </c>
      <c r="E1152" s="22" t="s">
        <v>9</v>
      </c>
      <c r="F1152" s="22">
        <v>1</v>
      </c>
      <c r="G1152" s="22">
        <v>2</v>
      </c>
      <c r="H1152" s="22">
        <v>2004</v>
      </c>
      <c r="I1152" s="22" t="s">
        <v>47</v>
      </c>
      <c r="J1152" s="20">
        <v>146</v>
      </c>
      <c r="K1152" s="20">
        <f>Sales!$B1152-Sales!$J1152</f>
        <v>-46</v>
      </c>
      <c r="L1152" s="23">
        <f>(Sales!$J1152-Sales!$B1152)/Sales!$J1152</f>
        <v>0.31506849315068491</v>
      </c>
      <c r="M1152" s="23" t="str">
        <f t="shared" si="17"/>
        <v>+20%</v>
      </c>
      <c r="N1152" s="22" t="s">
        <v>95</v>
      </c>
      <c r="O1152" s="22" t="s">
        <v>96</v>
      </c>
      <c r="P1152" s="22" t="s">
        <v>17</v>
      </c>
      <c r="Q1152" s="22" t="s">
        <v>19</v>
      </c>
    </row>
    <row r="1153" spans="1:17" x14ac:dyDescent="0.3">
      <c r="A1153" s="27">
        <v>49</v>
      </c>
      <c r="B1153" s="24">
        <v>100</v>
      </c>
      <c r="C1153" s="25">
        <f>Sales!$B1153*Sales!$A1153</f>
        <v>4900</v>
      </c>
      <c r="D1153" s="26">
        <v>38086</v>
      </c>
      <c r="E1153" s="27" t="s">
        <v>9</v>
      </c>
      <c r="F1153" s="27">
        <v>2</v>
      </c>
      <c r="G1153" s="27">
        <v>4</v>
      </c>
      <c r="H1153" s="27">
        <v>2004</v>
      </c>
      <c r="I1153" s="27" t="s">
        <v>47</v>
      </c>
      <c r="J1153" s="25">
        <v>146</v>
      </c>
      <c r="K1153" s="25">
        <f>Sales!$B1153-Sales!$J1153</f>
        <v>-46</v>
      </c>
      <c r="L1153" s="28">
        <f>(Sales!$J1153-Sales!$B1153)/Sales!$J1153</f>
        <v>0.31506849315068491</v>
      </c>
      <c r="M1153" s="28" t="str">
        <f t="shared" si="17"/>
        <v>+20%</v>
      </c>
      <c r="N1153" s="27" t="s">
        <v>72</v>
      </c>
      <c r="O1153" s="27" t="s">
        <v>73</v>
      </c>
      <c r="P1153" s="27" t="s">
        <v>17</v>
      </c>
      <c r="Q1153" s="27" t="s">
        <v>19</v>
      </c>
    </row>
    <row r="1154" spans="1:17" x14ac:dyDescent="0.3">
      <c r="A1154" s="22">
        <v>41</v>
      </c>
      <c r="B1154" s="19">
        <v>100</v>
      </c>
      <c r="C1154" s="20">
        <f>Sales!$B1154*Sales!$A1154</f>
        <v>4100</v>
      </c>
      <c r="D1154" s="21">
        <v>38133</v>
      </c>
      <c r="E1154" s="22" t="s">
        <v>9</v>
      </c>
      <c r="F1154" s="22">
        <v>2</v>
      </c>
      <c r="G1154" s="22">
        <v>5</v>
      </c>
      <c r="H1154" s="22">
        <v>2004</v>
      </c>
      <c r="I1154" s="22" t="s">
        <v>47</v>
      </c>
      <c r="J1154" s="20">
        <v>146</v>
      </c>
      <c r="K1154" s="20">
        <f>Sales!$B1154-Sales!$J1154</f>
        <v>-46</v>
      </c>
      <c r="L1154" s="23">
        <f>(Sales!$J1154-Sales!$B1154)/Sales!$J1154</f>
        <v>0.31506849315068491</v>
      </c>
      <c r="M1154" s="23" t="str">
        <f t="shared" si="17"/>
        <v>+20%</v>
      </c>
      <c r="N1154" s="22" t="s">
        <v>18</v>
      </c>
      <c r="O1154" s="22" t="s">
        <v>16</v>
      </c>
      <c r="P1154" s="22" t="s">
        <v>17</v>
      </c>
      <c r="Q1154" s="22" t="s">
        <v>19</v>
      </c>
    </row>
    <row r="1155" spans="1:17" x14ac:dyDescent="0.3">
      <c r="A1155" s="27">
        <v>49</v>
      </c>
      <c r="B1155" s="24">
        <v>100</v>
      </c>
      <c r="C1155" s="25">
        <f>Sales!$B1155*Sales!$A1155</f>
        <v>4900</v>
      </c>
      <c r="D1155" s="26">
        <v>38170</v>
      </c>
      <c r="E1155" s="27" t="s">
        <v>9</v>
      </c>
      <c r="F1155" s="27">
        <v>3</v>
      </c>
      <c r="G1155" s="27">
        <v>7</v>
      </c>
      <c r="H1155" s="27">
        <v>2004</v>
      </c>
      <c r="I1155" s="27" t="s">
        <v>47</v>
      </c>
      <c r="J1155" s="25">
        <v>146</v>
      </c>
      <c r="K1155" s="25">
        <f>Sales!$B1155-Sales!$J1155</f>
        <v>-46</v>
      </c>
      <c r="L1155" s="28">
        <f>(Sales!$J1155-Sales!$B1155)/Sales!$J1155</f>
        <v>0.31506849315068491</v>
      </c>
      <c r="M1155" s="28" t="str">
        <f t="shared" ref="M1155:M1217" si="18">IF(L1155&lt;0%,"Below 0%",IF(L1155=0%,"0%",IF(AND(L1155&lt;=5%,L1155&gt;0%),"0%-5%",IF(AND(L1155&lt;=10%,L1155&gt;5%),"5%-10%",IF(AND(L1155&lt;=15%,L1155&gt;10%),"10%-15%",IF(AND(L1155&lt;=20%,L1155&gt;15%),"15%-20%","+20%"))))))</f>
        <v>+20%</v>
      </c>
      <c r="N1155" s="27" t="s">
        <v>114</v>
      </c>
      <c r="O1155" s="27" t="s">
        <v>27</v>
      </c>
      <c r="P1155" s="27" t="s">
        <v>28</v>
      </c>
      <c r="Q1155" s="27" t="s">
        <v>39</v>
      </c>
    </row>
    <row r="1156" spans="1:17" x14ac:dyDescent="0.3">
      <c r="A1156" s="22">
        <v>30</v>
      </c>
      <c r="B1156" s="19">
        <v>100</v>
      </c>
      <c r="C1156" s="20">
        <f>Sales!$B1156*Sales!$A1156</f>
        <v>3000</v>
      </c>
      <c r="D1156" s="21">
        <v>38201</v>
      </c>
      <c r="E1156" s="22" t="s">
        <v>9</v>
      </c>
      <c r="F1156" s="22">
        <v>3</v>
      </c>
      <c r="G1156" s="22">
        <v>8</v>
      </c>
      <c r="H1156" s="22">
        <v>2004</v>
      </c>
      <c r="I1156" s="22" t="s">
        <v>47</v>
      </c>
      <c r="J1156" s="20">
        <v>146</v>
      </c>
      <c r="K1156" s="20">
        <f>Sales!$B1156-Sales!$J1156</f>
        <v>-46</v>
      </c>
      <c r="L1156" s="23">
        <f>(Sales!$J1156-Sales!$B1156)/Sales!$J1156</f>
        <v>0.31506849315068491</v>
      </c>
      <c r="M1156" s="23" t="str">
        <f t="shared" si="18"/>
        <v>+20%</v>
      </c>
      <c r="N1156" s="22" t="s">
        <v>66</v>
      </c>
      <c r="O1156" s="22" t="s">
        <v>12</v>
      </c>
      <c r="P1156" s="22" t="s">
        <v>13</v>
      </c>
      <c r="Q1156" s="22" t="s">
        <v>19</v>
      </c>
    </row>
    <row r="1157" spans="1:17" x14ac:dyDescent="0.3">
      <c r="A1157" s="27">
        <v>40</v>
      </c>
      <c r="B1157" s="24">
        <v>100</v>
      </c>
      <c r="C1157" s="25">
        <f>Sales!$B1157*Sales!$A1157</f>
        <v>4000</v>
      </c>
      <c r="D1157" s="26">
        <v>38229</v>
      </c>
      <c r="E1157" s="27" t="s">
        <v>9</v>
      </c>
      <c r="F1157" s="27">
        <v>3</v>
      </c>
      <c r="G1157" s="27">
        <v>8</v>
      </c>
      <c r="H1157" s="27">
        <v>2004</v>
      </c>
      <c r="I1157" s="27" t="s">
        <v>47</v>
      </c>
      <c r="J1157" s="25">
        <v>146</v>
      </c>
      <c r="K1157" s="25">
        <f>Sales!$B1157-Sales!$J1157</f>
        <v>-46</v>
      </c>
      <c r="L1157" s="28">
        <f>(Sales!$J1157-Sales!$B1157)/Sales!$J1157</f>
        <v>0.31506849315068491</v>
      </c>
      <c r="M1157" s="28" t="str">
        <f t="shared" si="18"/>
        <v>+20%</v>
      </c>
      <c r="N1157" s="27" t="s">
        <v>95</v>
      </c>
      <c r="O1157" s="27" t="s">
        <v>96</v>
      </c>
      <c r="P1157" s="27" t="s">
        <v>17</v>
      </c>
      <c r="Q1157" s="27" t="s">
        <v>19</v>
      </c>
    </row>
    <row r="1158" spans="1:17" x14ac:dyDescent="0.3">
      <c r="A1158" s="22">
        <v>23</v>
      </c>
      <c r="B1158" s="19">
        <v>100</v>
      </c>
      <c r="C1158" s="20">
        <f>Sales!$B1158*Sales!$A1158</f>
        <v>2300</v>
      </c>
      <c r="D1158" s="21">
        <v>37898</v>
      </c>
      <c r="E1158" s="22" t="s">
        <v>9</v>
      </c>
      <c r="F1158" s="22">
        <v>4</v>
      </c>
      <c r="G1158" s="22">
        <v>10</v>
      </c>
      <c r="H1158" s="22">
        <v>2003</v>
      </c>
      <c r="I1158" s="22" t="s">
        <v>47</v>
      </c>
      <c r="J1158" s="20">
        <v>146</v>
      </c>
      <c r="K1158" s="20">
        <f>Sales!$B1158-Sales!$J1158</f>
        <v>-46</v>
      </c>
      <c r="L1158" s="23">
        <f>(Sales!$J1158-Sales!$B1158)/Sales!$J1158</f>
        <v>0.31506849315068491</v>
      </c>
      <c r="M1158" s="23" t="str">
        <f t="shared" si="18"/>
        <v>+20%</v>
      </c>
      <c r="N1158" s="22" t="s">
        <v>98</v>
      </c>
      <c r="O1158" s="22" t="s">
        <v>94</v>
      </c>
      <c r="P1158" s="22" t="s">
        <v>17</v>
      </c>
      <c r="Q1158" s="22" t="s">
        <v>19</v>
      </c>
    </row>
    <row r="1159" spans="1:17" x14ac:dyDescent="0.3">
      <c r="A1159" s="27">
        <v>49</v>
      </c>
      <c r="B1159" s="24">
        <v>100</v>
      </c>
      <c r="C1159" s="25">
        <f>Sales!$B1159*Sales!$A1159</f>
        <v>4900</v>
      </c>
      <c r="D1159" s="26">
        <v>38276</v>
      </c>
      <c r="E1159" s="27" t="s">
        <v>9</v>
      </c>
      <c r="F1159" s="27">
        <v>4</v>
      </c>
      <c r="G1159" s="27">
        <v>10</v>
      </c>
      <c r="H1159" s="27">
        <v>2004</v>
      </c>
      <c r="I1159" s="27" t="s">
        <v>47</v>
      </c>
      <c r="J1159" s="25">
        <v>146</v>
      </c>
      <c r="K1159" s="25">
        <f>Sales!$B1159-Sales!$J1159</f>
        <v>-46</v>
      </c>
      <c r="L1159" s="28">
        <f>(Sales!$J1159-Sales!$B1159)/Sales!$J1159</f>
        <v>0.31506849315068491</v>
      </c>
      <c r="M1159" s="28" t="str">
        <f t="shared" si="18"/>
        <v>+20%</v>
      </c>
      <c r="N1159" s="27" t="s">
        <v>93</v>
      </c>
      <c r="O1159" s="27" t="s">
        <v>94</v>
      </c>
      <c r="P1159" s="27" t="s">
        <v>17</v>
      </c>
      <c r="Q1159" s="27" t="s">
        <v>19</v>
      </c>
    </row>
    <row r="1160" spans="1:17" x14ac:dyDescent="0.3">
      <c r="A1160" s="22">
        <v>25</v>
      </c>
      <c r="B1160" s="19">
        <v>100</v>
      </c>
      <c r="C1160" s="20">
        <f>Sales!$B1160*Sales!$A1160</f>
        <v>2500</v>
      </c>
      <c r="D1160" s="21">
        <v>38294</v>
      </c>
      <c r="E1160" s="22" t="s">
        <v>9</v>
      </c>
      <c r="F1160" s="22">
        <v>4</v>
      </c>
      <c r="G1160" s="22">
        <v>11</v>
      </c>
      <c r="H1160" s="22">
        <v>2004</v>
      </c>
      <c r="I1160" s="22" t="s">
        <v>47</v>
      </c>
      <c r="J1160" s="20">
        <v>146</v>
      </c>
      <c r="K1160" s="20">
        <f>Sales!$B1160-Sales!$J1160</f>
        <v>-46</v>
      </c>
      <c r="L1160" s="23">
        <f>(Sales!$J1160-Sales!$B1160)/Sales!$J1160</f>
        <v>0.31506849315068491</v>
      </c>
      <c r="M1160" s="23" t="str">
        <f t="shared" si="18"/>
        <v>+20%</v>
      </c>
      <c r="N1160" s="22" t="s">
        <v>48</v>
      </c>
      <c r="O1160" s="22" t="s">
        <v>49</v>
      </c>
      <c r="P1160" s="22" t="s">
        <v>17</v>
      </c>
      <c r="Q1160" s="22" t="s">
        <v>19</v>
      </c>
    </row>
    <row r="1161" spans="1:17" x14ac:dyDescent="0.3">
      <c r="A1161" s="27">
        <v>37</v>
      </c>
      <c r="B1161" s="24">
        <v>100</v>
      </c>
      <c r="C1161" s="25">
        <f>Sales!$B1161*Sales!$A1161</f>
        <v>3700</v>
      </c>
      <c r="D1161" s="26">
        <v>38307</v>
      </c>
      <c r="E1161" s="27" t="s">
        <v>9</v>
      </c>
      <c r="F1161" s="27">
        <v>4</v>
      </c>
      <c r="G1161" s="27">
        <v>11</v>
      </c>
      <c r="H1161" s="27">
        <v>2004</v>
      </c>
      <c r="I1161" s="27" t="s">
        <v>47</v>
      </c>
      <c r="J1161" s="25">
        <v>146</v>
      </c>
      <c r="K1161" s="25">
        <f>Sales!$B1161-Sales!$J1161</f>
        <v>-46</v>
      </c>
      <c r="L1161" s="28">
        <f>(Sales!$J1161-Sales!$B1161)/Sales!$J1161</f>
        <v>0.31506849315068491</v>
      </c>
      <c r="M1161" s="28" t="str">
        <f t="shared" si="18"/>
        <v>+20%</v>
      </c>
      <c r="N1161" s="27" t="s">
        <v>90</v>
      </c>
      <c r="O1161" s="27" t="s">
        <v>91</v>
      </c>
      <c r="P1161" s="27" t="s">
        <v>28</v>
      </c>
      <c r="Q1161" s="27" t="s">
        <v>19</v>
      </c>
    </row>
    <row r="1162" spans="1:17" x14ac:dyDescent="0.3">
      <c r="A1162" s="22">
        <v>55</v>
      </c>
      <c r="B1162" s="19">
        <v>100</v>
      </c>
      <c r="C1162" s="20">
        <f>Sales!$B1162*Sales!$A1162</f>
        <v>5500</v>
      </c>
      <c r="D1162" s="21">
        <v>38315</v>
      </c>
      <c r="E1162" s="22" t="s">
        <v>9</v>
      </c>
      <c r="F1162" s="22">
        <v>4</v>
      </c>
      <c r="G1162" s="22">
        <v>11</v>
      </c>
      <c r="H1162" s="22">
        <v>2004</v>
      </c>
      <c r="I1162" s="22" t="s">
        <v>47</v>
      </c>
      <c r="J1162" s="20">
        <v>146</v>
      </c>
      <c r="K1162" s="20">
        <f>Sales!$B1162-Sales!$J1162</f>
        <v>-46</v>
      </c>
      <c r="L1162" s="23">
        <f>(Sales!$J1162-Sales!$B1162)/Sales!$J1162</f>
        <v>0.31506849315068491</v>
      </c>
      <c r="M1162" s="23" t="str">
        <f t="shared" si="18"/>
        <v>+20%</v>
      </c>
      <c r="N1162" s="22" t="s">
        <v>26</v>
      </c>
      <c r="O1162" s="22" t="s">
        <v>27</v>
      </c>
      <c r="P1162" s="22" t="s">
        <v>28</v>
      </c>
      <c r="Q1162" s="22" t="s">
        <v>19</v>
      </c>
    </row>
    <row r="1163" spans="1:17" x14ac:dyDescent="0.3">
      <c r="A1163" s="27">
        <v>23</v>
      </c>
      <c r="B1163" s="24">
        <v>100</v>
      </c>
      <c r="C1163" s="25">
        <f>Sales!$B1163*Sales!$A1163</f>
        <v>2300</v>
      </c>
      <c r="D1163" s="26">
        <v>38328</v>
      </c>
      <c r="E1163" s="27" t="s">
        <v>9</v>
      </c>
      <c r="F1163" s="27">
        <v>4</v>
      </c>
      <c r="G1163" s="27">
        <v>12</v>
      </c>
      <c r="H1163" s="27">
        <v>2004</v>
      </c>
      <c r="I1163" s="27" t="s">
        <v>47</v>
      </c>
      <c r="J1163" s="25">
        <v>146</v>
      </c>
      <c r="K1163" s="25">
        <f>Sales!$B1163-Sales!$J1163</f>
        <v>-46</v>
      </c>
      <c r="L1163" s="28">
        <f>(Sales!$J1163-Sales!$B1163)/Sales!$J1163</f>
        <v>0.31506849315068491</v>
      </c>
      <c r="M1163" s="28" t="str">
        <f t="shared" si="18"/>
        <v>+20%</v>
      </c>
      <c r="N1163" s="27" t="s">
        <v>45</v>
      </c>
      <c r="O1163" s="27" t="s">
        <v>46</v>
      </c>
      <c r="P1163" s="27" t="s">
        <v>17</v>
      </c>
      <c r="Q1163" s="27" t="s">
        <v>19</v>
      </c>
    </row>
    <row r="1164" spans="1:17" x14ac:dyDescent="0.3">
      <c r="A1164" s="22">
        <v>24</v>
      </c>
      <c r="B1164" s="19">
        <v>100</v>
      </c>
      <c r="C1164" s="20">
        <f>Sales!$B1164*Sales!$A1164</f>
        <v>2400</v>
      </c>
      <c r="D1164" s="21">
        <v>38358</v>
      </c>
      <c r="E1164" s="22" t="s">
        <v>9</v>
      </c>
      <c r="F1164" s="22">
        <v>1</v>
      </c>
      <c r="G1164" s="22">
        <v>1</v>
      </c>
      <c r="H1164" s="22">
        <v>2005</v>
      </c>
      <c r="I1164" s="22" t="s">
        <v>47</v>
      </c>
      <c r="J1164" s="20">
        <v>146</v>
      </c>
      <c r="K1164" s="20">
        <f>Sales!$B1164-Sales!$J1164</f>
        <v>-46</v>
      </c>
      <c r="L1164" s="23">
        <f>(Sales!$J1164-Sales!$B1164)/Sales!$J1164</f>
        <v>0.31506849315068491</v>
      </c>
      <c r="M1164" s="23" t="str">
        <f t="shared" si="18"/>
        <v>+20%</v>
      </c>
      <c r="N1164" s="22" t="s">
        <v>99</v>
      </c>
      <c r="O1164" s="22" t="s">
        <v>34</v>
      </c>
      <c r="P1164" s="22" t="s">
        <v>17</v>
      </c>
      <c r="Q1164" s="22" t="s">
        <v>19</v>
      </c>
    </row>
    <row r="1165" spans="1:17" x14ac:dyDescent="0.3">
      <c r="A1165" s="27">
        <v>43</v>
      </c>
      <c r="B1165" s="24">
        <v>96.49</v>
      </c>
      <c r="C1165" s="25">
        <f>Sales!$B1165*Sales!$A1165</f>
        <v>4149.07</v>
      </c>
      <c r="D1165" s="26">
        <v>38393</v>
      </c>
      <c r="E1165" s="27" t="s">
        <v>9</v>
      </c>
      <c r="F1165" s="27">
        <v>1</v>
      </c>
      <c r="G1165" s="27">
        <v>2</v>
      </c>
      <c r="H1165" s="27">
        <v>2005</v>
      </c>
      <c r="I1165" s="27" t="s">
        <v>47</v>
      </c>
      <c r="J1165" s="25">
        <v>146</v>
      </c>
      <c r="K1165" s="25">
        <f>Sales!$B1165-Sales!$J1165</f>
        <v>-49.510000000000005</v>
      </c>
      <c r="L1165" s="28">
        <f>(Sales!$J1165-Sales!$B1165)/Sales!$J1165</f>
        <v>0.33910958904109595</v>
      </c>
      <c r="M1165" s="28" t="str">
        <f t="shared" si="18"/>
        <v>+20%</v>
      </c>
      <c r="N1165" s="27" t="s">
        <v>45</v>
      </c>
      <c r="O1165" s="27" t="s">
        <v>46</v>
      </c>
      <c r="P1165" s="27" t="s">
        <v>17</v>
      </c>
      <c r="Q1165" s="27" t="s">
        <v>19</v>
      </c>
    </row>
    <row r="1166" spans="1:17" x14ac:dyDescent="0.3">
      <c r="A1166" s="22">
        <v>50</v>
      </c>
      <c r="B1166" s="19">
        <v>100</v>
      </c>
      <c r="C1166" s="20">
        <f>Sales!$B1166*Sales!$A1166</f>
        <v>5000</v>
      </c>
      <c r="D1166" s="21">
        <v>38415</v>
      </c>
      <c r="E1166" s="22" t="s">
        <v>9</v>
      </c>
      <c r="F1166" s="22">
        <v>1</v>
      </c>
      <c r="G1166" s="22">
        <v>3</v>
      </c>
      <c r="H1166" s="22">
        <v>2005</v>
      </c>
      <c r="I1166" s="22" t="s">
        <v>47</v>
      </c>
      <c r="J1166" s="20">
        <v>146</v>
      </c>
      <c r="K1166" s="20">
        <f>Sales!$B1166-Sales!$J1166</f>
        <v>-46</v>
      </c>
      <c r="L1166" s="23">
        <f>(Sales!$J1166-Sales!$B1166)/Sales!$J1166</f>
        <v>0.31506849315068491</v>
      </c>
      <c r="M1166" s="23" t="str">
        <f t="shared" si="18"/>
        <v>+20%</v>
      </c>
      <c r="N1166" s="22" t="s">
        <v>64</v>
      </c>
      <c r="O1166" s="22" t="s">
        <v>12</v>
      </c>
      <c r="P1166" s="22" t="s">
        <v>13</v>
      </c>
      <c r="Q1166" s="22" t="s">
        <v>39</v>
      </c>
    </row>
    <row r="1167" spans="1:17" x14ac:dyDescent="0.3">
      <c r="A1167" s="27">
        <v>47</v>
      </c>
      <c r="B1167" s="24">
        <v>100</v>
      </c>
      <c r="C1167" s="25">
        <f>Sales!$B1167*Sales!$A1167</f>
        <v>4700</v>
      </c>
      <c r="D1167" s="26">
        <v>37690</v>
      </c>
      <c r="E1167" s="27" t="s">
        <v>9</v>
      </c>
      <c r="F1167" s="27">
        <v>1</v>
      </c>
      <c r="G1167" s="27">
        <v>3</v>
      </c>
      <c r="H1167" s="27">
        <v>2003</v>
      </c>
      <c r="I1167" s="27" t="s">
        <v>47</v>
      </c>
      <c r="J1167" s="25">
        <v>141</v>
      </c>
      <c r="K1167" s="25">
        <f>Sales!$B1167-Sales!$J1167</f>
        <v>-41</v>
      </c>
      <c r="L1167" s="28">
        <f>(Sales!$J1167-Sales!$B1167)/Sales!$J1167</f>
        <v>0.29078014184397161</v>
      </c>
      <c r="M1167" s="28" t="str">
        <f t="shared" si="18"/>
        <v>+20%</v>
      </c>
      <c r="N1167" s="27" t="s">
        <v>53</v>
      </c>
      <c r="O1167" s="27" t="s">
        <v>12</v>
      </c>
      <c r="P1167" s="27" t="s">
        <v>13</v>
      </c>
      <c r="Q1167" s="27" t="s">
        <v>19</v>
      </c>
    </row>
    <row r="1168" spans="1:17" x14ac:dyDescent="0.3">
      <c r="A1168" s="22">
        <v>34</v>
      </c>
      <c r="B1168" s="19">
        <v>100</v>
      </c>
      <c r="C1168" s="20">
        <f>Sales!$B1168*Sales!$A1168</f>
        <v>3400</v>
      </c>
      <c r="D1168" s="21">
        <v>37761</v>
      </c>
      <c r="E1168" s="22" t="s">
        <v>9</v>
      </c>
      <c r="F1168" s="22">
        <v>2</v>
      </c>
      <c r="G1168" s="22">
        <v>5</v>
      </c>
      <c r="H1168" s="22">
        <v>2003</v>
      </c>
      <c r="I1168" s="22" t="s">
        <v>47</v>
      </c>
      <c r="J1168" s="20">
        <v>141</v>
      </c>
      <c r="K1168" s="20">
        <f>Sales!$B1168-Sales!$J1168</f>
        <v>-41</v>
      </c>
      <c r="L1168" s="23">
        <f>(Sales!$J1168-Sales!$B1168)/Sales!$J1168</f>
        <v>0.29078014184397161</v>
      </c>
      <c r="M1168" s="23" t="str">
        <f t="shared" si="18"/>
        <v>+20%</v>
      </c>
      <c r="N1168" s="22" t="s">
        <v>31</v>
      </c>
      <c r="O1168" s="22" t="s">
        <v>16</v>
      </c>
      <c r="P1168" s="22" t="s">
        <v>17</v>
      </c>
      <c r="Q1168" s="22" t="s">
        <v>19</v>
      </c>
    </row>
    <row r="1169" spans="1:17" x14ac:dyDescent="0.3">
      <c r="A1169" s="27">
        <v>31</v>
      </c>
      <c r="B1169" s="24">
        <v>100</v>
      </c>
      <c r="C1169" s="25">
        <f>Sales!$B1169*Sales!$A1169</f>
        <v>3100</v>
      </c>
      <c r="D1169" s="26">
        <v>37812</v>
      </c>
      <c r="E1169" s="27" t="s">
        <v>9</v>
      </c>
      <c r="F1169" s="27">
        <v>3</v>
      </c>
      <c r="G1169" s="27">
        <v>7</v>
      </c>
      <c r="H1169" s="27">
        <v>2003</v>
      </c>
      <c r="I1169" s="27" t="s">
        <v>47</v>
      </c>
      <c r="J1169" s="25">
        <v>141</v>
      </c>
      <c r="K1169" s="25">
        <f>Sales!$B1169-Sales!$J1169</f>
        <v>-41</v>
      </c>
      <c r="L1169" s="28">
        <f>(Sales!$J1169-Sales!$B1169)/Sales!$J1169</f>
        <v>0.29078014184397161</v>
      </c>
      <c r="M1169" s="28" t="str">
        <f t="shared" si="18"/>
        <v>+20%</v>
      </c>
      <c r="N1169" s="27" t="s">
        <v>15</v>
      </c>
      <c r="O1169" s="27" t="s">
        <v>16</v>
      </c>
      <c r="P1169" s="27" t="s">
        <v>17</v>
      </c>
      <c r="Q1169" s="27" t="s">
        <v>19</v>
      </c>
    </row>
    <row r="1170" spans="1:17" x14ac:dyDescent="0.3">
      <c r="A1170" s="22">
        <v>28</v>
      </c>
      <c r="B1170" s="19">
        <v>100</v>
      </c>
      <c r="C1170" s="20">
        <f>Sales!$B1170*Sales!$A1170</f>
        <v>2800</v>
      </c>
      <c r="D1170" s="21">
        <v>37875</v>
      </c>
      <c r="E1170" s="22" t="s">
        <v>9</v>
      </c>
      <c r="F1170" s="22">
        <v>3</v>
      </c>
      <c r="G1170" s="22">
        <v>9</v>
      </c>
      <c r="H1170" s="22">
        <v>2003</v>
      </c>
      <c r="I1170" s="22" t="s">
        <v>47</v>
      </c>
      <c r="J1170" s="20">
        <v>141</v>
      </c>
      <c r="K1170" s="20">
        <f>Sales!$B1170-Sales!$J1170</f>
        <v>-41</v>
      </c>
      <c r="L1170" s="23">
        <f>(Sales!$J1170-Sales!$B1170)/Sales!$J1170</f>
        <v>0.29078014184397161</v>
      </c>
      <c r="M1170" s="23" t="str">
        <f t="shared" si="18"/>
        <v>+20%</v>
      </c>
      <c r="N1170" s="22" t="s">
        <v>67</v>
      </c>
      <c r="O1170" s="22" t="s">
        <v>27</v>
      </c>
      <c r="P1170" s="22" t="s">
        <v>28</v>
      </c>
      <c r="Q1170" s="22" t="s">
        <v>19</v>
      </c>
    </row>
    <row r="1171" spans="1:17" x14ac:dyDescent="0.3">
      <c r="A1171" s="27">
        <v>36</v>
      </c>
      <c r="B1171" s="24">
        <v>100</v>
      </c>
      <c r="C1171" s="25">
        <f>Sales!$B1171*Sales!$A1171</f>
        <v>3600</v>
      </c>
      <c r="D1171" s="26">
        <v>37911</v>
      </c>
      <c r="E1171" s="27" t="s">
        <v>9</v>
      </c>
      <c r="F1171" s="27">
        <v>4</v>
      </c>
      <c r="G1171" s="27">
        <v>10</v>
      </c>
      <c r="H1171" s="27">
        <v>2003</v>
      </c>
      <c r="I1171" s="27" t="s">
        <v>47</v>
      </c>
      <c r="J1171" s="25">
        <v>141</v>
      </c>
      <c r="K1171" s="25">
        <f>Sales!$B1171-Sales!$J1171</f>
        <v>-41</v>
      </c>
      <c r="L1171" s="28">
        <f>(Sales!$J1171-Sales!$B1171)/Sales!$J1171</f>
        <v>0.29078014184397161</v>
      </c>
      <c r="M1171" s="28" t="str">
        <f t="shared" si="18"/>
        <v>+20%</v>
      </c>
      <c r="N1171" s="27" t="s">
        <v>103</v>
      </c>
      <c r="O1171" s="27" t="s">
        <v>73</v>
      </c>
      <c r="P1171" s="27" t="s">
        <v>17</v>
      </c>
      <c r="Q1171" s="27" t="s">
        <v>19</v>
      </c>
    </row>
    <row r="1172" spans="1:17" x14ac:dyDescent="0.3">
      <c r="A1172" s="22">
        <v>48</v>
      </c>
      <c r="B1172" s="19">
        <v>100</v>
      </c>
      <c r="C1172" s="20">
        <f>Sales!$B1172*Sales!$A1172</f>
        <v>4800</v>
      </c>
      <c r="D1172" s="21">
        <v>37930</v>
      </c>
      <c r="E1172" s="22" t="s">
        <v>9</v>
      </c>
      <c r="F1172" s="22">
        <v>4</v>
      </c>
      <c r="G1172" s="22">
        <v>11</v>
      </c>
      <c r="H1172" s="22">
        <v>2003</v>
      </c>
      <c r="I1172" s="22" t="s">
        <v>47</v>
      </c>
      <c r="J1172" s="20">
        <v>141</v>
      </c>
      <c r="K1172" s="20">
        <f>Sales!$B1172-Sales!$J1172</f>
        <v>-41</v>
      </c>
      <c r="L1172" s="23">
        <f>(Sales!$J1172-Sales!$B1172)/Sales!$J1172</f>
        <v>0.29078014184397161</v>
      </c>
      <c r="M1172" s="23" t="str">
        <f t="shared" si="18"/>
        <v>+20%</v>
      </c>
      <c r="N1172" s="22" t="s">
        <v>30</v>
      </c>
      <c r="O1172" s="22" t="s">
        <v>12</v>
      </c>
      <c r="P1172" s="22" t="s">
        <v>13</v>
      </c>
      <c r="Q1172" s="22" t="s">
        <v>19</v>
      </c>
    </row>
    <row r="1173" spans="1:17" x14ac:dyDescent="0.3">
      <c r="A1173" s="27">
        <v>39</v>
      </c>
      <c r="B1173" s="24">
        <v>100</v>
      </c>
      <c r="C1173" s="25">
        <f>Sales!$B1173*Sales!$A1173</f>
        <v>3900</v>
      </c>
      <c r="D1173" s="26">
        <v>37937</v>
      </c>
      <c r="E1173" s="27" t="s">
        <v>9</v>
      </c>
      <c r="F1173" s="27">
        <v>4</v>
      </c>
      <c r="G1173" s="27">
        <v>11</v>
      </c>
      <c r="H1173" s="27">
        <v>2003</v>
      </c>
      <c r="I1173" s="27" t="s">
        <v>47</v>
      </c>
      <c r="J1173" s="25">
        <v>141</v>
      </c>
      <c r="K1173" s="25">
        <f>Sales!$B1173-Sales!$J1173</f>
        <v>-41</v>
      </c>
      <c r="L1173" s="28">
        <f>(Sales!$J1173-Sales!$B1173)/Sales!$J1173</f>
        <v>0.29078014184397161</v>
      </c>
      <c r="M1173" s="28" t="str">
        <f t="shared" si="18"/>
        <v>+20%</v>
      </c>
      <c r="N1173" s="27" t="s">
        <v>24</v>
      </c>
      <c r="O1173" s="27" t="s">
        <v>25</v>
      </c>
      <c r="P1173" s="27" t="s">
        <v>17</v>
      </c>
      <c r="Q1173" s="27" t="s">
        <v>19</v>
      </c>
    </row>
    <row r="1174" spans="1:17" x14ac:dyDescent="0.3">
      <c r="A1174" s="22">
        <v>45</v>
      </c>
      <c r="B1174" s="19">
        <v>100</v>
      </c>
      <c r="C1174" s="20">
        <f>Sales!$B1174*Sales!$A1174</f>
        <v>4500</v>
      </c>
      <c r="D1174" s="21">
        <v>37945</v>
      </c>
      <c r="E1174" s="22" t="s">
        <v>9</v>
      </c>
      <c r="F1174" s="22">
        <v>4</v>
      </c>
      <c r="G1174" s="22">
        <v>11</v>
      </c>
      <c r="H1174" s="22">
        <v>2003</v>
      </c>
      <c r="I1174" s="22" t="s">
        <v>47</v>
      </c>
      <c r="J1174" s="20">
        <v>141</v>
      </c>
      <c r="K1174" s="20">
        <f>Sales!$B1174-Sales!$J1174</f>
        <v>-41</v>
      </c>
      <c r="L1174" s="23">
        <f>(Sales!$J1174-Sales!$B1174)/Sales!$J1174</f>
        <v>0.29078014184397161</v>
      </c>
      <c r="M1174" s="23" t="str">
        <f t="shared" si="18"/>
        <v>+20%</v>
      </c>
      <c r="N1174" s="22" t="s">
        <v>65</v>
      </c>
      <c r="O1174" s="22" t="s">
        <v>12</v>
      </c>
      <c r="P1174" s="22" t="s">
        <v>13</v>
      </c>
      <c r="Q1174" s="22" t="s">
        <v>19</v>
      </c>
    </row>
    <row r="1175" spans="1:17" x14ac:dyDescent="0.3">
      <c r="A1175" s="27">
        <v>35</v>
      </c>
      <c r="B1175" s="24">
        <v>100</v>
      </c>
      <c r="C1175" s="25">
        <f>Sales!$B1175*Sales!$A1175</f>
        <v>3500</v>
      </c>
      <c r="D1175" s="26">
        <v>37957</v>
      </c>
      <c r="E1175" s="27" t="s">
        <v>9</v>
      </c>
      <c r="F1175" s="27">
        <v>4</v>
      </c>
      <c r="G1175" s="27">
        <v>12</v>
      </c>
      <c r="H1175" s="27">
        <v>2003</v>
      </c>
      <c r="I1175" s="27" t="s">
        <v>47</v>
      </c>
      <c r="J1175" s="25">
        <v>141</v>
      </c>
      <c r="K1175" s="25">
        <f>Sales!$B1175-Sales!$J1175</f>
        <v>-41</v>
      </c>
      <c r="L1175" s="28">
        <f>(Sales!$J1175-Sales!$B1175)/Sales!$J1175</f>
        <v>0.29078014184397161</v>
      </c>
      <c r="M1175" s="28" t="str">
        <f t="shared" si="18"/>
        <v>+20%</v>
      </c>
      <c r="N1175" s="27" t="s">
        <v>11</v>
      </c>
      <c r="O1175" s="27" t="s">
        <v>12</v>
      </c>
      <c r="P1175" s="27" t="s">
        <v>13</v>
      </c>
      <c r="Q1175" s="27" t="s">
        <v>19</v>
      </c>
    </row>
    <row r="1176" spans="1:17" x14ac:dyDescent="0.3">
      <c r="A1176" s="22">
        <v>45</v>
      </c>
      <c r="B1176" s="19">
        <v>100</v>
      </c>
      <c r="C1176" s="20">
        <f>Sales!$B1176*Sales!$A1176</f>
        <v>4500</v>
      </c>
      <c r="D1176" s="21">
        <v>38002</v>
      </c>
      <c r="E1176" s="22" t="s">
        <v>9</v>
      </c>
      <c r="F1176" s="22">
        <v>1</v>
      </c>
      <c r="G1176" s="22">
        <v>1</v>
      </c>
      <c r="H1176" s="22">
        <v>2004</v>
      </c>
      <c r="I1176" s="22" t="s">
        <v>47</v>
      </c>
      <c r="J1176" s="20">
        <v>141</v>
      </c>
      <c r="K1176" s="20">
        <f>Sales!$B1176-Sales!$J1176</f>
        <v>-41</v>
      </c>
      <c r="L1176" s="23">
        <f>(Sales!$J1176-Sales!$B1176)/Sales!$J1176</f>
        <v>0.29078014184397161</v>
      </c>
      <c r="M1176" s="23" t="str">
        <f t="shared" si="18"/>
        <v>+20%</v>
      </c>
      <c r="N1176" s="22" t="s">
        <v>45</v>
      </c>
      <c r="O1176" s="22" t="s">
        <v>46</v>
      </c>
      <c r="P1176" s="22" t="s">
        <v>17</v>
      </c>
      <c r="Q1176" s="22" t="s">
        <v>19</v>
      </c>
    </row>
    <row r="1177" spans="1:17" x14ac:dyDescent="0.3">
      <c r="A1177" s="27">
        <v>46</v>
      </c>
      <c r="B1177" s="24">
        <v>100</v>
      </c>
      <c r="C1177" s="25">
        <f>Sales!$B1177*Sales!$A1177</f>
        <v>4600</v>
      </c>
      <c r="D1177" s="26">
        <v>38043</v>
      </c>
      <c r="E1177" s="27" t="s">
        <v>9</v>
      </c>
      <c r="F1177" s="27">
        <v>1</v>
      </c>
      <c r="G1177" s="27">
        <v>2</v>
      </c>
      <c r="H1177" s="27">
        <v>2004</v>
      </c>
      <c r="I1177" s="27" t="s">
        <v>47</v>
      </c>
      <c r="J1177" s="25">
        <v>141</v>
      </c>
      <c r="K1177" s="25">
        <f>Sales!$B1177-Sales!$J1177</f>
        <v>-41</v>
      </c>
      <c r="L1177" s="28">
        <f>(Sales!$J1177-Sales!$B1177)/Sales!$J1177</f>
        <v>0.29078014184397161</v>
      </c>
      <c r="M1177" s="28" t="str">
        <f t="shared" si="18"/>
        <v>+20%</v>
      </c>
      <c r="N1177" s="27" t="s">
        <v>79</v>
      </c>
      <c r="O1177" s="27" t="s">
        <v>12</v>
      </c>
      <c r="P1177" s="27" t="s">
        <v>13</v>
      </c>
      <c r="Q1177" s="27" t="s">
        <v>39</v>
      </c>
    </row>
    <row r="1178" spans="1:17" x14ac:dyDescent="0.3">
      <c r="A1178" s="22">
        <v>37</v>
      </c>
      <c r="B1178" s="19">
        <v>100</v>
      </c>
      <c r="C1178" s="20">
        <f>Sales!$B1178*Sales!$A1178</f>
        <v>3700</v>
      </c>
      <c r="D1178" s="21">
        <v>38090</v>
      </c>
      <c r="E1178" s="22" t="s">
        <v>9</v>
      </c>
      <c r="F1178" s="22">
        <v>2</v>
      </c>
      <c r="G1178" s="22">
        <v>4</v>
      </c>
      <c r="H1178" s="22">
        <v>2004</v>
      </c>
      <c r="I1178" s="22" t="s">
        <v>47</v>
      </c>
      <c r="J1178" s="20">
        <v>141</v>
      </c>
      <c r="K1178" s="20">
        <f>Sales!$B1178-Sales!$J1178</f>
        <v>-41</v>
      </c>
      <c r="L1178" s="23">
        <f>(Sales!$J1178-Sales!$B1178)/Sales!$J1178</f>
        <v>0.29078014184397161</v>
      </c>
      <c r="M1178" s="23" t="str">
        <f t="shared" si="18"/>
        <v>+20%</v>
      </c>
      <c r="N1178" s="22" t="s">
        <v>70</v>
      </c>
      <c r="O1178" s="22" t="s">
        <v>51</v>
      </c>
      <c r="P1178" s="22" t="s">
        <v>51</v>
      </c>
      <c r="Q1178" s="22" t="s">
        <v>19</v>
      </c>
    </row>
    <row r="1179" spans="1:17" x14ac:dyDescent="0.3">
      <c r="A1179" s="27">
        <v>31</v>
      </c>
      <c r="B1179" s="24">
        <v>100</v>
      </c>
      <c r="C1179" s="25">
        <f>Sales!$B1179*Sales!$A1179</f>
        <v>3100</v>
      </c>
      <c r="D1179" s="26">
        <v>38139</v>
      </c>
      <c r="E1179" s="27" t="s">
        <v>75</v>
      </c>
      <c r="F1179" s="27">
        <v>2</v>
      </c>
      <c r="G1179" s="27">
        <v>6</v>
      </c>
      <c r="H1179" s="27">
        <v>2004</v>
      </c>
      <c r="I1179" s="27" t="s">
        <v>47</v>
      </c>
      <c r="J1179" s="25">
        <v>141</v>
      </c>
      <c r="K1179" s="25">
        <f>Sales!$B1179-Sales!$J1179</f>
        <v>-41</v>
      </c>
      <c r="L1179" s="28">
        <f>(Sales!$J1179-Sales!$B1179)/Sales!$J1179</f>
        <v>0.29078014184397161</v>
      </c>
      <c r="M1179" s="28" t="str">
        <f t="shared" si="18"/>
        <v>+20%</v>
      </c>
      <c r="N1179" s="27" t="s">
        <v>42</v>
      </c>
      <c r="O1179" s="27" t="s">
        <v>43</v>
      </c>
      <c r="P1179" s="27" t="s">
        <v>17</v>
      </c>
      <c r="Q1179" s="27" t="s">
        <v>19</v>
      </c>
    </row>
    <row r="1180" spans="1:17" x14ac:dyDescent="0.3">
      <c r="A1180" s="22">
        <v>33</v>
      </c>
      <c r="B1180" s="19">
        <v>100</v>
      </c>
      <c r="C1180" s="20">
        <f>Sales!$B1180*Sales!$A1180</f>
        <v>3300</v>
      </c>
      <c r="D1180" s="21">
        <v>38174</v>
      </c>
      <c r="E1180" s="22" t="s">
        <v>9</v>
      </c>
      <c r="F1180" s="22">
        <v>3</v>
      </c>
      <c r="G1180" s="22">
        <v>7</v>
      </c>
      <c r="H1180" s="22">
        <v>2004</v>
      </c>
      <c r="I1180" s="22" t="s">
        <v>47</v>
      </c>
      <c r="J1180" s="20">
        <v>141</v>
      </c>
      <c r="K1180" s="20">
        <f>Sales!$B1180-Sales!$J1180</f>
        <v>-41</v>
      </c>
      <c r="L1180" s="23">
        <f>(Sales!$J1180-Sales!$B1180)/Sales!$J1180</f>
        <v>0.29078014184397161</v>
      </c>
      <c r="M1180" s="23" t="str">
        <f t="shared" si="18"/>
        <v>+20%</v>
      </c>
      <c r="N1180" s="22" t="s">
        <v>97</v>
      </c>
      <c r="O1180" s="22" t="s">
        <v>61</v>
      </c>
      <c r="P1180" s="22" t="s">
        <v>17</v>
      </c>
      <c r="Q1180" s="22" t="s">
        <v>19</v>
      </c>
    </row>
    <row r="1181" spans="1:17" x14ac:dyDescent="0.3">
      <c r="A1181" s="27">
        <v>31</v>
      </c>
      <c r="B1181" s="24">
        <v>100</v>
      </c>
      <c r="C1181" s="25">
        <f>Sales!$B1181*Sales!$A1181</f>
        <v>3100</v>
      </c>
      <c r="D1181" s="26">
        <v>38205</v>
      </c>
      <c r="E1181" s="27" t="s">
        <v>9</v>
      </c>
      <c r="F1181" s="27">
        <v>3</v>
      </c>
      <c r="G1181" s="27">
        <v>8</v>
      </c>
      <c r="H1181" s="27">
        <v>2004</v>
      </c>
      <c r="I1181" s="27" t="s">
        <v>47</v>
      </c>
      <c r="J1181" s="25">
        <v>141</v>
      </c>
      <c r="K1181" s="25">
        <f>Sales!$B1181-Sales!$J1181</f>
        <v>-41</v>
      </c>
      <c r="L1181" s="28">
        <f>(Sales!$J1181-Sales!$B1181)/Sales!$J1181</f>
        <v>0.29078014184397161</v>
      </c>
      <c r="M1181" s="28" t="str">
        <f t="shared" si="18"/>
        <v>+20%</v>
      </c>
      <c r="N1181" s="27" t="s">
        <v>109</v>
      </c>
      <c r="O1181" s="27" t="s">
        <v>12</v>
      </c>
      <c r="P1181" s="27" t="s">
        <v>13</v>
      </c>
      <c r="Q1181" s="27" t="s">
        <v>19</v>
      </c>
    </row>
    <row r="1182" spans="1:17" x14ac:dyDescent="0.3">
      <c r="A1182" s="22">
        <v>27</v>
      </c>
      <c r="B1182" s="19">
        <v>100</v>
      </c>
      <c r="C1182" s="20">
        <f>Sales!$B1182*Sales!$A1182</f>
        <v>2700</v>
      </c>
      <c r="D1182" s="21">
        <v>38229</v>
      </c>
      <c r="E1182" s="22" t="s">
        <v>9</v>
      </c>
      <c r="F1182" s="22">
        <v>3</v>
      </c>
      <c r="G1182" s="22">
        <v>8</v>
      </c>
      <c r="H1182" s="22">
        <v>2004</v>
      </c>
      <c r="I1182" s="22" t="s">
        <v>47</v>
      </c>
      <c r="J1182" s="20">
        <v>141</v>
      </c>
      <c r="K1182" s="20">
        <f>Sales!$B1182-Sales!$J1182</f>
        <v>-41</v>
      </c>
      <c r="L1182" s="23">
        <f>(Sales!$J1182-Sales!$B1182)/Sales!$J1182</f>
        <v>0.29078014184397161</v>
      </c>
      <c r="M1182" s="23" t="str">
        <f t="shared" si="18"/>
        <v>+20%</v>
      </c>
      <c r="N1182" s="22" t="s">
        <v>95</v>
      </c>
      <c r="O1182" s="22" t="s">
        <v>96</v>
      </c>
      <c r="P1182" s="22" t="s">
        <v>17</v>
      </c>
      <c r="Q1182" s="22" t="s">
        <v>19</v>
      </c>
    </row>
    <row r="1183" spans="1:17" x14ac:dyDescent="0.3">
      <c r="A1183" s="27">
        <v>39</v>
      </c>
      <c r="B1183" s="24">
        <v>100</v>
      </c>
      <c r="C1183" s="25">
        <f>Sales!$B1183*Sales!$A1183</f>
        <v>3900</v>
      </c>
      <c r="D1183" s="26">
        <v>37899</v>
      </c>
      <c r="E1183" s="27" t="s">
        <v>9</v>
      </c>
      <c r="F1183" s="27">
        <v>4</v>
      </c>
      <c r="G1183" s="27">
        <v>10</v>
      </c>
      <c r="H1183" s="27">
        <v>2003</v>
      </c>
      <c r="I1183" s="27" t="s">
        <v>47</v>
      </c>
      <c r="J1183" s="25">
        <v>141</v>
      </c>
      <c r="K1183" s="25">
        <f>Sales!$B1183-Sales!$J1183</f>
        <v>-41</v>
      </c>
      <c r="L1183" s="28">
        <f>(Sales!$J1183-Sales!$B1183)/Sales!$J1183</f>
        <v>0.29078014184397161</v>
      </c>
      <c r="M1183" s="28" t="str">
        <f t="shared" si="18"/>
        <v>+20%</v>
      </c>
      <c r="N1183" s="27" t="s">
        <v>110</v>
      </c>
      <c r="O1183" s="27" t="s">
        <v>25</v>
      </c>
      <c r="P1183" s="27" t="s">
        <v>17</v>
      </c>
      <c r="Q1183" s="27" t="s">
        <v>19</v>
      </c>
    </row>
    <row r="1184" spans="1:17" x14ac:dyDescent="0.3">
      <c r="A1184" s="22">
        <v>32</v>
      </c>
      <c r="B1184" s="19">
        <v>100</v>
      </c>
      <c r="C1184" s="20">
        <f>Sales!$B1184*Sales!$A1184</f>
        <v>3200</v>
      </c>
      <c r="D1184" s="21">
        <v>38276</v>
      </c>
      <c r="E1184" s="22" t="s">
        <v>9</v>
      </c>
      <c r="F1184" s="22">
        <v>4</v>
      </c>
      <c r="G1184" s="22">
        <v>10</v>
      </c>
      <c r="H1184" s="22">
        <v>2004</v>
      </c>
      <c r="I1184" s="22" t="s">
        <v>47</v>
      </c>
      <c r="J1184" s="20">
        <v>141</v>
      </c>
      <c r="K1184" s="20">
        <f>Sales!$B1184-Sales!$J1184</f>
        <v>-41</v>
      </c>
      <c r="L1184" s="23">
        <f>(Sales!$J1184-Sales!$B1184)/Sales!$J1184</f>
        <v>0.29078014184397161</v>
      </c>
      <c r="M1184" s="23" t="str">
        <f t="shared" si="18"/>
        <v>+20%</v>
      </c>
      <c r="N1184" s="22" t="s">
        <v>45</v>
      </c>
      <c r="O1184" s="22" t="s">
        <v>46</v>
      </c>
      <c r="P1184" s="22" t="s">
        <v>17</v>
      </c>
      <c r="Q1184" s="22" t="s">
        <v>19</v>
      </c>
    </row>
    <row r="1185" spans="1:17" x14ac:dyDescent="0.3">
      <c r="A1185" s="27">
        <v>28</v>
      </c>
      <c r="B1185" s="24">
        <v>100</v>
      </c>
      <c r="C1185" s="25">
        <f>Sales!$B1185*Sales!$A1185</f>
        <v>2800</v>
      </c>
      <c r="D1185" s="26">
        <v>38295</v>
      </c>
      <c r="E1185" s="27" t="s">
        <v>9</v>
      </c>
      <c r="F1185" s="27">
        <v>4</v>
      </c>
      <c r="G1185" s="27">
        <v>11</v>
      </c>
      <c r="H1185" s="27">
        <v>2004</v>
      </c>
      <c r="I1185" s="27" t="s">
        <v>47</v>
      </c>
      <c r="J1185" s="25">
        <v>141</v>
      </c>
      <c r="K1185" s="25">
        <f>Sales!$B1185-Sales!$J1185</f>
        <v>-41</v>
      </c>
      <c r="L1185" s="28">
        <f>(Sales!$J1185-Sales!$B1185)/Sales!$J1185</f>
        <v>0.29078014184397161</v>
      </c>
      <c r="M1185" s="28" t="str">
        <f t="shared" si="18"/>
        <v>+20%</v>
      </c>
      <c r="N1185" s="27" t="s">
        <v>41</v>
      </c>
      <c r="O1185" s="27" t="s">
        <v>12</v>
      </c>
      <c r="P1185" s="27" t="s">
        <v>13</v>
      </c>
      <c r="Q1185" s="27" t="s">
        <v>19</v>
      </c>
    </row>
    <row r="1186" spans="1:17" x14ac:dyDescent="0.3">
      <c r="A1186" s="22">
        <v>26</v>
      </c>
      <c r="B1186" s="19">
        <v>67.91</v>
      </c>
      <c r="C1186" s="20">
        <f>Sales!$B1186*Sales!$A1186</f>
        <v>1765.6599999999999</v>
      </c>
      <c r="D1186" s="21">
        <v>38308</v>
      </c>
      <c r="E1186" s="22" t="s">
        <v>9</v>
      </c>
      <c r="F1186" s="22">
        <v>4</v>
      </c>
      <c r="G1186" s="22">
        <v>11</v>
      </c>
      <c r="H1186" s="22">
        <v>2004</v>
      </c>
      <c r="I1186" s="22" t="s">
        <v>47</v>
      </c>
      <c r="J1186" s="20">
        <v>141</v>
      </c>
      <c r="K1186" s="20">
        <f>Sales!$B1186-Sales!$J1186</f>
        <v>-73.09</v>
      </c>
      <c r="L1186" s="23">
        <f>(Sales!$J1186-Sales!$B1186)/Sales!$J1186</f>
        <v>0.51836879432624117</v>
      </c>
      <c r="M1186" s="23" t="str">
        <f t="shared" si="18"/>
        <v>+20%</v>
      </c>
      <c r="N1186" s="22" t="s">
        <v>53</v>
      </c>
      <c r="O1186" s="22" t="s">
        <v>12</v>
      </c>
      <c r="P1186" s="22" t="s">
        <v>13</v>
      </c>
      <c r="Q1186" s="22" t="s">
        <v>14</v>
      </c>
    </row>
    <row r="1187" spans="1:17" x14ac:dyDescent="0.3">
      <c r="A1187" s="27">
        <v>44</v>
      </c>
      <c r="B1187" s="24">
        <v>84.88</v>
      </c>
      <c r="C1187" s="25">
        <f>Sales!$B1187*Sales!$A1187</f>
        <v>3734.72</v>
      </c>
      <c r="D1187" s="26">
        <v>38315</v>
      </c>
      <c r="E1187" s="27" t="s">
        <v>9</v>
      </c>
      <c r="F1187" s="27">
        <v>4</v>
      </c>
      <c r="G1187" s="27">
        <v>11</v>
      </c>
      <c r="H1187" s="27">
        <v>2004</v>
      </c>
      <c r="I1187" s="27" t="s">
        <v>47</v>
      </c>
      <c r="J1187" s="25">
        <v>141</v>
      </c>
      <c r="K1187" s="25">
        <f>Sales!$B1187-Sales!$J1187</f>
        <v>-56.120000000000005</v>
      </c>
      <c r="L1187" s="28">
        <f>(Sales!$J1187-Sales!$B1187)/Sales!$J1187</f>
        <v>0.39801418439716313</v>
      </c>
      <c r="M1187" s="28" t="str">
        <f t="shared" si="18"/>
        <v>+20%</v>
      </c>
      <c r="N1187" s="27" t="s">
        <v>15</v>
      </c>
      <c r="O1187" s="27" t="s">
        <v>16</v>
      </c>
      <c r="P1187" s="27" t="s">
        <v>17</v>
      </c>
      <c r="Q1187" s="27" t="s">
        <v>19</v>
      </c>
    </row>
    <row r="1188" spans="1:17" x14ac:dyDescent="0.3">
      <c r="A1188" s="22">
        <v>46</v>
      </c>
      <c r="B1188" s="19">
        <v>100</v>
      </c>
      <c r="C1188" s="20">
        <f>Sales!$B1188*Sales!$A1188</f>
        <v>4600</v>
      </c>
      <c r="D1188" s="21">
        <v>38364</v>
      </c>
      <c r="E1188" s="22" t="s">
        <v>88</v>
      </c>
      <c r="F1188" s="22">
        <v>1</v>
      </c>
      <c r="G1188" s="22">
        <v>1</v>
      </c>
      <c r="H1188" s="22">
        <v>2005</v>
      </c>
      <c r="I1188" s="22" t="s">
        <v>47</v>
      </c>
      <c r="J1188" s="20">
        <v>141</v>
      </c>
      <c r="K1188" s="20">
        <f>Sales!$B1188-Sales!$J1188</f>
        <v>-41</v>
      </c>
      <c r="L1188" s="23">
        <f>(Sales!$J1188-Sales!$B1188)/Sales!$J1188</f>
        <v>0.29078014184397161</v>
      </c>
      <c r="M1188" s="23" t="str">
        <f t="shared" si="18"/>
        <v>+20%</v>
      </c>
      <c r="N1188" s="22" t="s">
        <v>20</v>
      </c>
      <c r="O1188" s="22" t="s">
        <v>12</v>
      </c>
      <c r="P1188" s="22" t="s">
        <v>13</v>
      </c>
      <c r="Q1188" s="22" t="s">
        <v>19</v>
      </c>
    </row>
    <row r="1189" spans="1:17" x14ac:dyDescent="0.3">
      <c r="A1189" s="27">
        <v>32</v>
      </c>
      <c r="B1189" s="24">
        <v>70.83</v>
      </c>
      <c r="C1189" s="25">
        <f>Sales!$B1189*Sales!$A1189</f>
        <v>2266.56</v>
      </c>
      <c r="D1189" s="26">
        <v>38393</v>
      </c>
      <c r="E1189" s="27" t="s">
        <v>9</v>
      </c>
      <c r="F1189" s="27">
        <v>1</v>
      </c>
      <c r="G1189" s="27">
        <v>2</v>
      </c>
      <c r="H1189" s="27">
        <v>2005</v>
      </c>
      <c r="I1189" s="27" t="s">
        <v>47</v>
      </c>
      <c r="J1189" s="25">
        <v>141</v>
      </c>
      <c r="K1189" s="25">
        <f>Sales!$B1189-Sales!$J1189</f>
        <v>-70.17</v>
      </c>
      <c r="L1189" s="28">
        <f>(Sales!$J1189-Sales!$B1189)/Sales!$J1189</f>
        <v>0.49765957446808512</v>
      </c>
      <c r="M1189" s="28" t="str">
        <f t="shared" si="18"/>
        <v>+20%</v>
      </c>
      <c r="N1189" s="27" t="s">
        <v>45</v>
      </c>
      <c r="O1189" s="27" t="s">
        <v>46</v>
      </c>
      <c r="P1189" s="27" t="s">
        <v>17</v>
      </c>
      <c r="Q1189" s="27" t="s">
        <v>14</v>
      </c>
    </row>
    <row r="1190" spans="1:17" x14ac:dyDescent="0.3">
      <c r="A1190" s="22">
        <v>65</v>
      </c>
      <c r="B1190" s="19">
        <v>100</v>
      </c>
      <c r="C1190" s="20">
        <f>Sales!$B1190*Sales!$A1190</f>
        <v>6500</v>
      </c>
      <c r="D1190" s="21">
        <v>38457</v>
      </c>
      <c r="E1190" s="22" t="s">
        <v>44</v>
      </c>
      <c r="F1190" s="22">
        <v>2</v>
      </c>
      <c r="G1190" s="22">
        <v>4</v>
      </c>
      <c r="H1190" s="22">
        <v>2005</v>
      </c>
      <c r="I1190" s="22" t="s">
        <v>47</v>
      </c>
      <c r="J1190" s="20">
        <v>141</v>
      </c>
      <c r="K1190" s="20">
        <f>Sales!$B1190-Sales!$J1190</f>
        <v>-41</v>
      </c>
      <c r="L1190" s="23">
        <f>(Sales!$J1190-Sales!$B1190)/Sales!$J1190</f>
        <v>0.29078014184397161</v>
      </c>
      <c r="M1190" s="23" t="str">
        <f t="shared" si="18"/>
        <v>+20%</v>
      </c>
      <c r="N1190" s="22" t="s">
        <v>72</v>
      </c>
      <c r="O1190" s="22" t="s">
        <v>73</v>
      </c>
      <c r="P1190" s="22" t="s">
        <v>17</v>
      </c>
      <c r="Q1190" s="22" t="s">
        <v>39</v>
      </c>
    </row>
    <row r="1191" spans="1:17" x14ac:dyDescent="0.3">
      <c r="A1191" s="27">
        <v>43</v>
      </c>
      <c r="B1191" s="24">
        <v>100</v>
      </c>
      <c r="C1191" s="25">
        <f>Sales!$B1191*Sales!$A1191</f>
        <v>4300</v>
      </c>
      <c r="D1191" s="26">
        <v>38489</v>
      </c>
      <c r="E1191" s="27" t="s">
        <v>9</v>
      </c>
      <c r="F1191" s="27">
        <v>2</v>
      </c>
      <c r="G1191" s="27">
        <v>5</v>
      </c>
      <c r="H1191" s="27">
        <v>2005</v>
      </c>
      <c r="I1191" s="27" t="s">
        <v>47</v>
      </c>
      <c r="J1191" s="25">
        <v>141</v>
      </c>
      <c r="K1191" s="25">
        <f>Sales!$B1191-Sales!$J1191</f>
        <v>-41</v>
      </c>
      <c r="L1191" s="28">
        <f>(Sales!$J1191-Sales!$B1191)/Sales!$J1191</f>
        <v>0.29078014184397161</v>
      </c>
      <c r="M1191" s="28" t="str">
        <f t="shared" si="18"/>
        <v>+20%</v>
      </c>
      <c r="N1191" s="27" t="s">
        <v>37</v>
      </c>
      <c r="O1191" s="27" t="s">
        <v>38</v>
      </c>
      <c r="P1191" s="27" t="s">
        <v>17</v>
      </c>
      <c r="Q1191" s="27" t="s">
        <v>19</v>
      </c>
    </row>
    <row r="1192" spans="1:17" x14ac:dyDescent="0.3">
      <c r="A1192" s="22">
        <v>43</v>
      </c>
      <c r="B1192" s="19">
        <v>67.77</v>
      </c>
      <c r="C1192" s="20">
        <f>Sales!$B1192*Sales!$A1192</f>
        <v>2914.1099999999997</v>
      </c>
      <c r="D1192" s="21">
        <v>37683</v>
      </c>
      <c r="E1192" s="22" t="s">
        <v>9</v>
      </c>
      <c r="F1192" s="22">
        <v>1</v>
      </c>
      <c r="G1192" s="22">
        <v>3</v>
      </c>
      <c r="H1192" s="22">
        <v>2003</v>
      </c>
      <c r="I1192" s="22" t="s">
        <v>10</v>
      </c>
      <c r="J1192" s="20">
        <v>62</v>
      </c>
      <c r="K1192" s="20">
        <f>Sales!$B1192-Sales!$J1192</f>
        <v>5.769999999999996</v>
      </c>
      <c r="L1192" s="23">
        <f>(Sales!$J1192-Sales!$B1192)/Sales!$J1192</f>
        <v>-9.3064516129032188E-2</v>
      </c>
      <c r="M1192" s="23" t="str">
        <f t="shared" si="18"/>
        <v>Below 0%</v>
      </c>
      <c r="N1192" s="22" t="s">
        <v>90</v>
      </c>
      <c r="O1192" s="22" t="s">
        <v>91</v>
      </c>
      <c r="P1192" s="22" t="s">
        <v>28</v>
      </c>
      <c r="Q1192" s="22" t="s">
        <v>14</v>
      </c>
    </row>
    <row r="1193" spans="1:17" x14ac:dyDescent="0.3">
      <c r="A1193" s="27">
        <v>35</v>
      </c>
      <c r="B1193" s="24">
        <v>49.74</v>
      </c>
      <c r="C1193" s="25">
        <f>Sales!$B1193*Sales!$A1193</f>
        <v>1740.9</v>
      </c>
      <c r="D1193" s="26">
        <v>37749</v>
      </c>
      <c r="E1193" s="27" t="s">
        <v>9</v>
      </c>
      <c r="F1193" s="27">
        <v>2</v>
      </c>
      <c r="G1193" s="27">
        <v>5</v>
      </c>
      <c r="H1193" s="27">
        <v>2003</v>
      </c>
      <c r="I1193" s="27" t="s">
        <v>10</v>
      </c>
      <c r="J1193" s="25">
        <v>62</v>
      </c>
      <c r="K1193" s="25">
        <f>Sales!$B1193-Sales!$J1193</f>
        <v>-12.259999999999998</v>
      </c>
      <c r="L1193" s="28">
        <f>(Sales!$J1193-Sales!$B1193)/Sales!$J1193</f>
        <v>0.19774193548387092</v>
      </c>
      <c r="M1193" s="28" t="str">
        <f t="shared" si="18"/>
        <v>15%-20%</v>
      </c>
      <c r="N1193" s="27" t="s">
        <v>92</v>
      </c>
      <c r="O1193" s="27" t="s">
        <v>16</v>
      </c>
      <c r="P1193" s="27" t="s">
        <v>17</v>
      </c>
      <c r="Q1193" s="27" t="s">
        <v>14</v>
      </c>
    </row>
    <row r="1194" spans="1:17" x14ac:dyDescent="0.3">
      <c r="A1194" s="22">
        <v>45</v>
      </c>
      <c r="B1194" s="19">
        <v>50.36</v>
      </c>
      <c r="C1194" s="20">
        <f>Sales!$B1194*Sales!$A1194</f>
        <v>2266.1999999999998</v>
      </c>
      <c r="D1194" s="21">
        <v>37804</v>
      </c>
      <c r="E1194" s="22" t="s">
        <v>9</v>
      </c>
      <c r="F1194" s="22">
        <v>3</v>
      </c>
      <c r="G1194" s="22">
        <v>7</v>
      </c>
      <c r="H1194" s="22">
        <v>2003</v>
      </c>
      <c r="I1194" s="22" t="s">
        <v>10</v>
      </c>
      <c r="J1194" s="20">
        <v>62</v>
      </c>
      <c r="K1194" s="20">
        <f>Sales!$B1194-Sales!$J1194</f>
        <v>-11.64</v>
      </c>
      <c r="L1194" s="23">
        <f>(Sales!$J1194-Sales!$B1194)/Sales!$J1194</f>
        <v>0.18774193548387097</v>
      </c>
      <c r="M1194" s="23" t="str">
        <f t="shared" si="18"/>
        <v>15%-20%</v>
      </c>
      <c r="N1194" s="22" t="s">
        <v>64</v>
      </c>
      <c r="O1194" s="22" t="s">
        <v>12</v>
      </c>
      <c r="P1194" s="22" t="s">
        <v>13</v>
      </c>
      <c r="Q1194" s="22" t="s">
        <v>14</v>
      </c>
    </row>
    <row r="1195" spans="1:17" x14ac:dyDescent="0.3">
      <c r="A1195" s="27">
        <v>47</v>
      </c>
      <c r="B1195" s="24">
        <v>67.14</v>
      </c>
      <c r="C1195" s="25">
        <f>Sales!$B1195*Sales!$A1195</f>
        <v>3155.58</v>
      </c>
      <c r="D1195" s="26">
        <v>37867</v>
      </c>
      <c r="E1195" s="27" t="s">
        <v>9</v>
      </c>
      <c r="F1195" s="27">
        <v>3</v>
      </c>
      <c r="G1195" s="27">
        <v>9</v>
      </c>
      <c r="H1195" s="27">
        <v>2003</v>
      </c>
      <c r="I1195" s="27" t="s">
        <v>10</v>
      </c>
      <c r="J1195" s="25">
        <v>62</v>
      </c>
      <c r="K1195" s="25">
        <f>Sales!$B1195-Sales!$J1195</f>
        <v>5.1400000000000006</v>
      </c>
      <c r="L1195" s="28">
        <f>(Sales!$J1195-Sales!$B1195)/Sales!$J1195</f>
        <v>-8.2903225806451625E-2</v>
      </c>
      <c r="M1195" s="28" t="str">
        <f t="shared" si="18"/>
        <v>Below 0%</v>
      </c>
      <c r="N1195" s="27" t="s">
        <v>105</v>
      </c>
      <c r="O1195" s="27" t="s">
        <v>12</v>
      </c>
      <c r="P1195" s="27" t="s">
        <v>13</v>
      </c>
      <c r="Q1195" s="27" t="s">
        <v>19</v>
      </c>
    </row>
    <row r="1196" spans="1:17" x14ac:dyDescent="0.3">
      <c r="A1196" s="22">
        <v>21</v>
      </c>
      <c r="B1196" s="19">
        <v>64.66</v>
      </c>
      <c r="C1196" s="20">
        <f>Sales!$B1196*Sales!$A1196</f>
        <v>1357.86</v>
      </c>
      <c r="D1196" s="21">
        <v>37904</v>
      </c>
      <c r="E1196" s="22" t="s">
        <v>9</v>
      </c>
      <c r="F1196" s="22">
        <v>4</v>
      </c>
      <c r="G1196" s="22">
        <v>10</v>
      </c>
      <c r="H1196" s="22">
        <v>2003</v>
      </c>
      <c r="I1196" s="22" t="s">
        <v>10</v>
      </c>
      <c r="J1196" s="20">
        <v>62</v>
      </c>
      <c r="K1196" s="20">
        <f>Sales!$B1196-Sales!$J1196</f>
        <v>2.6599999999999966</v>
      </c>
      <c r="L1196" s="23">
        <f>(Sales!$J1196-Sales!$B1196)/Sales!$J1196</f>
        <v>-4.2903225806451555E-2</v>
      </c>
      <c r="M1196" s="23" t="str">
        <f t="shared" si="18"/>
        <v>Below 0%</v>
      </c>
      <c r="N1196" s="22" t="s">
        <v>21</v>
      </c>
      <c r="O1196" s="22" t="s">
        <v>12</v>
      </c>
      <c r="P1196" s="22" t="s">
        <v>13</v>
      </c>
      <c r="Q1196" s="22" t="s">
        <v>14</v>
      </c>
    </row>
    <row r="1197" spans="1:17" x14ac:dyDescent="0.3">
      <c r="A1197" s="27">
        <v>38</v>
      </c>
      <c r="B1197" s="24">
        <v>68.39</v>
      </c>
      <c r="C1197" s="25">
        <f>Sales!$B1197*Sales!$A1197</f>
        <v>2598.8200000000002</v>
      </c>
      <c r="D1197" s="26">
        <v>37929</v>
      </c>
      <c r="E1197" s="27" t="s">
        <v>9</v>
      </c>
      <c r="F1197" s="27">
        <v>4</v>
      </c>
      <c r="G1197" s="27">
        <v>11</v>
      </c>
      <c r="H1197" s="27">
        <v>2003</v>
      </c>
      <c r="I1197" s="27" t="s">
        <v>10</v>
      </c>
      <c r="J1197" s="25">
        <v>62</v>
      </c>
      <c r="K1197" s="25">
        <f>Sales!$B1197-Sales!$J1197</f>
        <v>6.3900000000000006</v>
      </c>
      <c r="L1197" s="28">
        <f>(Sales!$J1197-Sales!$B1197)/Sales!$J1197</f>
        <v>-0.10306451612903227</v>
      </c>
      <c r="M1197" s="28" t="str">
        <f t="shared" si="18"/>
        <v>Below 0%</v>
      </c>
      <c r="N1197" s="27" t="s">
        <v>67</v>
      </c>
      <c r="O1197" s="27" t="s">
        <v>27</v>
      </c>
      <c r="P1197" s="27" t="s">
        <v>28</v>
      </c>
      <c r="Q1197" s="27" t="s">
        <v>14</v>
      </c>
    </row>
    <row r="1198" spans="1:17" x14ac:dyDescent="0.3">
      <c r="A1198" s="22">
        <v>21</v>
      </c>
      <c r="B1198" s="19">
        <v>50.36</v>
      </c>
      <c r="C1198" s="20">
        <f>Sales!$B1198*Sales!$A1198</f>
        <v>1057.56</v>
      </c>
      <c r="D1198" s="21">
        <v>37936</v>
      </c>
      <c r="E1198" s="22" t="s">
        <v>9</v>
      </c>
      <c r="F1198" s="22">
        <v>4</v>
      </c>
      <c r="G1198" s="22">
        <v>11</v>
      </c>
      <c r="H1198" s="22">
        <v>2003</v>
      </c>
      <c r="I1198" s="22" t="s">
        <v>10</v>
      </c>
      <c r="J1198" s="20">
        <v>62</v>
      </c>
      <c r="K1198" s="20">
        <f>Sales!$B1198-Sales!$J1198</f>
        <v>-11.64</v>
      </c>
      <c r="L1198" s="23">
        <f>(Sales!$J1198-Sales!$B1198)/Sales!$J1198</f>
        <v>0.18774193548387097</v>
      </c>
      <c r="M1198" s="23" t="str">
        <f t="shared" si="18"/>
        <v>15%-20%</v>
      </c>
      <c r="N1198" s="22" t="s">
        <v>23</v>
      </c>
      <c r="O1198" s="22" t="s">
        <v>16</v>
      </c>
      <c r="P1198" s="22" t="s">
        <v>17</v>
      </c>
      <c r="Q1198" s="22" t="s">
        <v>14</v>
      </c>
    </row>
    <row r="1199" spans="1:17" x14ac:dyDescent="0.3">
      <c r="A1199" s="27">
        <v>43</v>
      </c>
      <c r="B1199" s="24">
        <v>72.739999999999995</v>
      </c>
      <c r="C1199" s="25">
        <f>Sales!$B1199*Sales!$A1199</f>
        <v>3127.8199999999997</v>
      </c>
      <c r="D1199" s="26">
        <v>37945</v>
      </c>
      <c r="E1199" s="27" t="s">
        <v>9</v>
      </c>
      <c r="F1199" s="27">
        <v>4</v>
      </c>
      <c r="G1199" s="27">
        <v>11</v>
      </c>
      <c r="H1199" s="27">
        <v>2003</v>
      </c>
      <c r="I1199" s="27" t="s">
        <v>10</v>
      </c>
      <c r="J1199" s="25">
        <v>62</v>
      </c>
      <c r="K1199" s="25">
        <f>Sales!$B1199-Sales!$J1199</f>
        <v>10.739999999999995</v>
      </c>
      <c r="L1199" s="28">
        <f>(Sales!$J1199-Sales!$B1199)/Sales!$J1199</f>
        <v>-0.17322580645161281</v>
      </c>
      <c r="M1199" s="28" t="str">
        <f t="shared" si="18"/>
        <v>Below 0%</v>
      </c>
      <c r="N1199" s="27" t="s">
        <v>93</v>
      </c>
      <c r="O1199" s="27" t="s">
        <v>94</v>
      </c>
      <c r="P1199" s="27" t="s">
        <v>17</v>
      </c>
      <c r="Q1199" s="27" t="s">
        <v>19</v>
      </c>
    </row>
    <row r="1200" spans="1:17" x14ac:dyDescent="0.3">
      <c r="A1200" s="22">
        <v>46</v>
      </c>
      <c r="B1200" s="19">
        <v>54.09</v>
      </c>
      <c r="C1200" s="20">
        <f>Sales!$B1200*Sales!$A1200</f>
        <v>2488.1400000000003</v>
      </c>
      <c r="D1200" s="21">
        <v>38001</v>
      </c>
      <c r="E1200" s="22" t="s">
        <v>9</v>
      </c>
      <c r="F1200" s="22">
        <v>1</v>
      </c>
      <c r="G1200" s="22">
        <v>1</v>
      </c>
      <c r="H1200" s="22">
        <v>2004</v>
      </c>
      <c r="I1200" s="22" t="s">
        <v>10</v>
      </c>
      <c r="J1200" s="20">
        <v>62</v>
      </c>
      <c r="K1200" s="20">
        <f>Sales!$B1200-Sales!$J1200</f>
        <v>-7.9099999999999966</v>
      </c>
      <c r="L1200" s="23">
        <f>(Sales!$J1200-Sales!$B1200)/Sales!$J1200</f>
        <v>0.12758064516129028</v>
      </c>
      <c r="M1200" s="23" t="str">
        <f t="shared" si="18"/>
        <v>10%-15%</v>
      </c>
      <c r="N1200" s="22" t="s">
        <v>18</v>
      </c>
      <c r="O1200" s="22" t="s">
        <v>16</v>
      </c>
      <c r="P1200" s="22" t="s">
        <v>17</v>
      </c>
      <c r="Q1200" s="22" t="s">
        <v>14</v>
      </c>
    </row>
    <row r="1201" spans="1:17" x14ac:dyDescent="0.3">
      <c r="A1201" s="27">
        <v>38</v>
      </c>
      <c r="B1201" s="24">
        <v>58.44</v>
      </c>
      <c r="C1201" s="25">
        <f>Sales!$B1201*Sales!$A1201</f>
        <v>2220.7199999999998</v>
      </c>
      <c r="D1201" s="26">
        <v>38038</v>
      </c>
      <c r="E1201" s="27" t="s">
        <v>9</v>
      </c>
      <c r="F1201" s="27">
        <v>1</v>
      </c>
      <c r="G1201" s="27">
        <v>2</v>
      </c>
      <c r="H1201" s="27">
        <v>2004</v>
      </c>
      <c r="I1201" s="27" t="s">
        <v>10</v>
      </c>
      <c r="J1201" s="25">
        <v>62</v>
      </c>
      <c r="K1201" s="25">
        <f>Sales!$B1201-Sales!$J1201</f>
        <v>-3.5600000000000023</v>
      </c>
      <c r="L1201" s="28">
        <f>(Sales!$J1201-Sales!$B1201)/Sales!$J1201</f>
        <v>5.7419354838709712E-2</v>
      </c>
      <c r="M1201" s="28" t="str">
        <f t="shared" si="18"/>
        <v>5%-10%</v>
      </c>
      <c r="N1201" s="27" t="s">
        <v>23</v>
      </c>
      <c r="O1201" s="27" t="s">
        <v>16</v>
      </c>
      <c r="P1201" s="27" t="s">
        <v>17</v>
      </c>
      <c r="Q1201" s="27" t="s">
        <v>14</v>
      </c>
    </row>
    <row r="1202" spans="1:17" x14ac:dyDescent="0.3">
      <c r="A1202" s="22">
        <v>26</v>
      </c>
      <c r="B1202" s="19">
        <v>52.22</v>
      </c>
      <c r="C1202" s="20">
        <f>Sales!$B1202*Sales!$A1202</f>
        <v>1357.72</v>
      </c>
      <c r="D1202" s="21">
        <v>38082</v>
      </c>
      <c r="E1202" s="22" t="s">
        <v>9</v>
      </c>
      <c r="F1202" s="22">
        <v>2</v>
      </c>
      <c r="G1202" s="22">
        <v>4</v>
      </c>
      <c r="H1202" s="22">
        <v>2004</v>
      </c>
      <c r="I1202" s="22" t="s">
        <v>10</v>
      </c>
      <c r="J1202" s="20">
        <v>62</v>
      </c>
      <c r="K1202" s="20">
        <f>Sales!$B1202-Sales!$J1202</f>
        <v>-9.7800000000000011</v>
      </c>
      <c r="L1202" s="23">
        <f>(Sales!$J1202-Sales!$B1202)/Sales!$J1202</f>
        <v>0.157741935483871</v>
      </c>
      <c r="M1202" s="23" t="str">
        <f t="shared" si="18"/>
        <v>15%-20%</v>
      </c>
      <c r="N1202" s="22" t="s">
        <v>11</v>
      </c>
      <c r="O1202" s="22" t="s">
        <v>12</v>
      </c>
      <c r="P1202" s="22" t="s">
        <v>13</v>
      </c>
      <c r="Q1202" s="22" t="s">
        <v>14</v>
      </c>
    </row>
    <row r="1203" spans="1:17" x14ac:dyDescent="0.3">
      <c r="A1203" s="27">
        <v>31</v>
      </c>
      <c r="B1203" s="24">
        <v>52.84</v>
      </c>
      <c r="C1203" s="25">
        <f>Sales!$B1203*Sales!$A1203</f>
        <v>1638.0400000000002</v>
      </c>
      <c r="D1203" s="26">
        <v>38133</v>
      </c>
      <c r="E1203" s="27" t="s">
        <v>9</v>
      </c>
      <c r="F1203" s="27">
        <v>2</v>
      </c>
      <c r="G1203" s="27">
        <v>5</v>
      </c>
      <c r="H1203" s="27">
        <v>2004</v>
      </c>
      <c r="I1203" s="27" t="s">
        <v>10</v>
      </c>
      <c r="J1203" s="25">
        <v>62</v>
      </c>
      <c r="K1203" s="25">
        <f>Sales!$B1203-Sales!$J1203</f>
        <v>-9.1599999999999966</v>
      </c>
      <c r="L1203" s="28">
        <f>(Sales!$J1203-Sales!$B1203)/Sales!$J1203</f>
        <v>0.14774193548387091</v>
      </c>
      <c r="M1203" s="28" t="str">
        <f t="shared" si="18"/>
        <v>10%-15%</v>
      </c>
      <c r="N1203" s="27" t="s">
        <v>18</v>
      </c>
      <c r="O1203" s="27" t="s">
        <v>16</v>
      </c>
      <c r="P1203" s="27" t="s">
        <v>17</v>
      </c>
      <c r="Q1203" s="27" t="s">
        <v>14</v>
      </c>
    </row>
    <row r="1204" spans="1:17" x14ac:dyDescent="0.3">
      <c r="A1204" s="22">
        <v>48</v>
      </c>
      <c r="B1204" s="19">
        <v>54.71</v>
      </c>
      <c r="C1204" s="20">
        <f>Sales!$B1204*Sales!$A1204</f>
        <v>2626.08</v>
      </c>
      <c r="D1204" s="21">
        <v>38168</v>
      </c>
      <c r="E1204" s="22" t="s">
        <v>9</v>
      </c>
      <c r="F1204" s="22">
        <v>2</v>
      </c>
      <c r="G1204" s="22">
        <v>6</v>
      </c>
      <c r="H1204" s="22">
        <v>2004</v>
      </c>
      <c r="I1204" s="22" t="s">
        <v>10</v>
      </c>
      <c r="J1204" s="20">
        <v>62</v>
      </c>
      <c r="K1204" s="20">
        <f>Sales!$B1204-Sales!$J1204</f>
        <v>-7.2899999999999991</v>
      </c>
      <c r="L1204" s="23">
        <f>(Sales!$J1204-Sales!$B1204)/Sales!$J1204</f>
        <v>0.11758064516129031</v>
      </c>
      <c r="M1204" s="23" t="str">
        <f t="shared" si="18"/>
        <v>10%-15%</v>
      </c>
      <c r="N1204" s="22" t="s">
        <v>83</v>
      </c>
      <c r="O1204" s="22" t="s">
        <v>12</v>
      </c>
      <c r="P1204" s="22" t="s">
        <v>13</v>
      </c>
      <c r="Q1204" s="22" t="s">
        <v>14</v>
      </c>
    </row>
    <row r="1205" spans="1:17" x14ac:dyDescent="0.3">
      <c r="A1205" s="27">
        <v>33</v>
      </c>
      <c r="B1205" s="24">
        <v>50.36</v>
      </c>
      <c r="C1205" s="25">
        <f>Sales!$B1205*Sales!$A1205</f>
        <v>1661.8799999999999</v>
      </c>
      <c r="D1205" s="26">
        <v>38201</v>
      </c>
      <c r="E1205" s="27" t="s">
        <v>9</v>
      </c>
      <c r="F1205" s="27">
        <v>3</v>
      </c>
      <c r="G1205" s="27">
        <v>8</v>
      </c>
      <c r="H1205" s="27">
        <v>2004</v>
      </c>
      <c r="I1205" s="27" t="s">
        <v>10</v>
      </c>
      <c r="J1205" s="25">
        <v>62</v>
      </c>
      <c r="K1205" s="25">
        <f>Sales!$B1205-Sales!$J1205</f>
        <v>-11.64</v>
      </c>
      <c r="L1205" s="28">
        <f>(Sales!$J1205-Sales!$B1205)/Sales!$J1205</f>
        <v>0.18774193548387097</v>
      </c>
      <c r="M1205" s="28" t="str">
        <f t="shared" si="18"/>
        <v>15%-20%</v>
      </c>
      <c r="N1205" s="27" t="s">
        <v>66</v>
      </c>
      <c r="O1205" s="27" t="s">
        <v>12</v>
      </c>
      <c r="P1205" s="27" t="s">
        <v>13</v>
      </c>
      <c r="Q1205" s="27" t="s">
        <v>14</v>
      </c>
    </row>
    <row r="1206" spans="1:17" x14ac:dyDescent="0.3">
      <c r="A1206" s="22">
        <v>38</v>
      </c>
      <c r="B1206" s="19">
        <v>57.2</v>
      </c>
      <c r="C1206" s="20">
        <f>Sales!$B1206*Sales!$A1206</f>
        <v>2173.6</v>
      </c>
      <c r="D1206" s="21">
        <v>38227</v>
      </c>
      <c r="E1206" s="22" t="s">
        <v>9</v>
      </c>
      <c r="F1206" s="22">
        <v>3</v>
      </c>
      <c r="G1206" s="22">
        <v>8</v>
      </c>
      <c r="H1206" s="22">
        <v>2004</v>
      </c>
      <c r="I1206" s="22" t="s">
        <v>10</v>
      </c>
      <c r="J1206" s="20">
        <v>62</v>
      </c>
      <c r="K1206" s="20">
        <f>Sales!$B1206-Sales!$J1206</f>
        <v>-4.7999999999999972</v>
      </c>
      <c r="L1206" s="23">
        <f>(Sales!$J1206-Sales!$B1206)/Sales!$J1206</f>
        <v>7.7419354838709625E-2</v>
      </c>
      <c r="M1206" s="23" t="str">
        <f t="shared" si="18"/>
        <v>5%-10%</v>
      </c>
      <c r="N1206" s="22" t="s">
        <v>18</v>
      </c>
      <c r="O1206" s="22" t="s">
        <v>16</v>
      </c>
      <c r="P1206" s="22" t="s">
        <v>17</v>
      </c>
      <c r="Q1206" s="22" t="s">
        <v>14</v>
      </c>
    </row>
    <row r="1207" spans="1:17" x14ac:dyDescent="0.3">
      <c r="A1207" s="27">
        <v>39</v>
      </c>
      <c r="B1207" s="24">
        <v>55.95</v>
      </c>
      <c r="C1207" s="25">
        <f>Sales!$B1207*Sales!$A1207</f>
        <v>2182.0500000000002</v>
      </c>
      <c r="D1207" s="26">
        <v>38260</v>
      </c>
      <c r="E1207" s="27" t="s">
        <v>9</v>
      </c>
      <c r="F1207" s="27">
        <v>3</v>
      </c>
      <c r="G1207" s="27">
        <v>9</v>
      </c>
      <c r="H1207" s="27">
        <v>2004</v>
      </c>
      <c r="I1207" s="27" t="s">
        <v>10</v>
      </c>
      <c r="J1207" s="25">
        <v>62</v>
      </c>
      <c r="K1207" s="25">
        <f>Sales!$B1207-Sales!$J1207</f>
        <v>-6.0499999999999972</v>
      </c>
      <c r="L1207" s="28">
        <f>(Sales!$J1207-Sales!$B1207)/Sales!$J1207</f>
        <v>9.758064516129028E-2</v>
      </c>
      <c r="M1207" s="28" t="str">
        <f t="shared" si="18"/>
        <v>5%-10%</v>
      </c>
      <c r="N1207" s="27" t="s">
        <v>33</v>
      </c>
      <c r="O1207" s="27" t="s">
        <v>34</v>
      </c>
      <c r="P1207" s="27" t="s">
        <v>17</v>
      </c>
      <c r="Q1207" s="27" t="s">
        <v>14</v>
      </c>
    </row>
    <row r="1208" spans="1:17" x14ac:dyDescent="0.3">
      <c r="A1208" s="22">
        <v>42</v>
      </c>
      <c r="B1208" s="19">
        <v>67.14</v>
      </c>
      <c r="C1208" s="20">
        <f>Sales!$B1208*Sales!$A1208</f>
        <v>2819.88</v>
      </c>
      <c r="D1208" s="21">
        <v>38276</v>
      </c>
      <c r="E1208" s="22" t="s">
        <v>9</v>
      </c>
      <c r="F1208" s="22">
        <v>4</v>
      </c>
      <c r="G1208" s="22">
        <v>10</v>
      </c>
      <c r="H1208" s="22">
        <v>2004</v>
      </c>
      <c r="I1208" s="22" t="s">
        <v>10</v>
      </c>
      <c r="J1208" s="20">
        <v>62</v>
      </c>
      <c r="K1208" s="20">
        <f>Sales!$B1208-Sales!$J1208</f>
        <v>5.1400000000000006</v>
      </c>
      <c r="L1208" s="23">
        <f>(Sales!$J1208-Sales!$B1208)/Sales!$J1208</f>
        <v>-8.2903225806451625E-2</v>
      </c>
      <c r="M1208" s="23" t="str">
        <f t="shared" si="18"/>
        <v>Below 0%</v>
      </c>
      <c r="N1208" s="22" t="s">
        <v>93</v>
      </c>
      <c r="O1208" s="22" t="s">
        <v>94</v>
      </c>
      <c r="P1208" s="22" t="s">
        <v>17</v>
      </c>
      <c r="Q1208" s="22" t="s">
        <v>14</v>
      </c>
    </row>
    <row r="1209" spans="1:17" x14ac:dyDescent="0.3">
      <c r="A1209" s="27">
        <v>44</v>
      </c>
      <c r="B1209" s="24">
        <v>59.06</v>
      </c>
      <c r="C1209" s="25">
        <f>Sales!$B1209*Sales!$A1209</f>
        <v>2598.6400000000003</v>
      </c>
      <c r="D1209" s="26">
        <v>38294</v>
      </c>
      <c r="E1209" s="27" t="s">
        <v>9</v>
      </c>
      <c r="F1209" s="27">
        <v>4</v>
      </c>
      <c r="G1209" s="27">
        <v>11</v>
      </c>
      <c r="H1209" s="27">
        <v>2004</v>
      </c>
      <c r="I1209" s="27" t="s">
        <v>10</v>
      </c>
      <c r="J1209" s="25">
        <v>62</v>
      </c>
      <c r="K1209" s="25">
        <f>Sales!$B1209-Sales!$J1209</f>
        <v>-2.9399999999999977</v>
      </c>
      <c r="L1209" s="28">
        <f>(Sales!$J1209-Sales!$B1209)/Sales!$J1209</f>
        <v>4.741935483870964E-2</v>
      </c>
      <c r="M1209" s="28" t="str">
        <f t="shared" si="18"/>
        <v>0%-5%</v>
      </c>
      <c r="N1209" s="27" t="s">
        <v>11</v>
      </c>
      <c r="O1209" s="27" t="s">
        <v>12</v>
      </c>
      <c r="P1209" s="27" t="s">
        <v>13</v>
      </c>
      <c r="Q1209" s="27" t="s">
        <v>14</v>
      </c>
    </row>
    <row r="1210" spans="1:17" x14ac:dyDescent="0.3">
      <c r="A1210" s="22">
        <v>29</v>
      </c>
      <c r="B1210" s="19">
        <v>69.63</v>
      </c>
      <c r="C1210" s="20">
        <f>Sales!$B1210*Sales!$A1210</f>
        <v>2019.27</v>
      </c>
      <c r="D1210" s="21">
        <v>38307</v>
      </c>
      <c r="E1210" s="22" t="s">
        <v>9</v>
      </c>
      <c r="F1210" s="22">
        <v>4</v>
      </c>
      <c r="G1210" s="22">
        <v>11</v>
      </c>
      <c r="H1210" s="22">
        <v>2004</v>
      </c>
      <c r="I1210" s="22" t="s">
        <v>10</v>
      </c>
      <c r="J1210" s="20">
        <v>62</v>
      </c>
      <c r="K1210" s="20">
        <f>Sales!$B1210-Sales!$J1210</f>
        <v>7.6299999999999955</v>
      </c>
      <c r="L1210" s="23">
        <f>(Sales!$J1210-Sales!$B1210)/Sales!$J1210</f>
        <v>-0.12306451612903219</v>
      </c>
      <c r="M1210" s="23" t="str">
        <f t="shared" si="18"/>
        <v>Below 0%</v>
      </c>
      <c r="N1210" s="22" t="s">
        <v>90</v>
      </c>
      <c r="O1210" s="22" t="s">
        <v>91</v>
      </c>
      <c r="P1210" s="22" t="s">
        <v>28</v>
      </c>
      <c r="Q1210" s="22" t="s">
        <v>14</v>
      </c>
    </row>
    <row r="1211" spans="1:17" x14ac:dyDescent="0.3">
      <c r="A1211" s="27">
        <v>26</v>
      </c>
      <c r="B1211" s="24">
        <v>55.95</v>
      </c>
      <c r="C1211" s="25">
        <f>Sales!$B1211*Sales!$A1211</f>
        <v>1454.7</v>
      </c>
      <c r="D1211" s="26">
        <v>38315</v>
      </c>
      <c r="E1211" s="27" t="s">
        <v>9</v>
      </c>
      <c r="F1211" s="27">
        <v>4</v>
      </c>
      <c r="G1211" s="27">
        <v>11</v>
      </c>
      <c r="H1211" s="27">
        <v>2004</v>
      </c>
      <c r="I1211" s="27" t="s">
        <v>10</v>
      </c>
      <c r="J1211" s="25">
        <v>62</v>
      </c>
      <c r="K1211" s="25">
        <f>Sales!$B1211-Sales!$J1211</f>
        <v>-6.0499999999999972</v>
      </c>
      <c r="L1211" s="28">
        <f>(Sales!$J1211-Sales!$B1211)/Sales!$J1211</f>
        <v>9.758064516129028E-2</v>
      </c>
      <c r="M1211" s="28" t="str">
        <f t="shared" si="18"/>
        <v>5%-10%</v>
      </c>
      <c r="N1211" s="27" t="s">
        <v>26</v>
      </c>
      <c r="O1211" s="27" t="s">
        <v>27</v>
      </c>
      <c r="P1211" s="27" t="s">
        <v>28</v>
      </c>
      <c r="Q1211" s="27" t="s">
        <v>14</v>
      </c>
    </row>
    <row r="1212" spans="1:17" x14ac:dyDescent="0.3">
      <c r="A1212" s="22">
        <v>31</v>
      </c>
      <c r="B1212" s="19">
        <v>53.47</v>
      </c>
      <c r="C1212" s="20">
        <f>Sales!$B1212*Sales!$A1212</f>
        <v>1657.57</v>
      </c>
      <c r="D1212" s="21">
        <v>38328</v>
      </c>
      <c r="E1212" s="22" t="s">
        <v>9</v>
      </c>
      <c r="F1212" s="22">
        <v>4</v>
      </c>
      <c r="G1212" s="22">
        <v>12</v>
      </c>
      <c r="H1212" s="22">
        <v>2004</v>
      </c>
      <c r="I1212" s="22" t="s">
        <v>10</v>
      </c>
      <c r="J1212" s="20">
        <v>62</v>
      </c>
      <c r="K1212" s="20">
        <f>Sales!$B1212-Sales!$J1212</f>
        <v>-8.5300000000000011</v>
      </c>
      <c r="L1212" s="23">
        <f>(Sales!$J1212-Sales!$B1212)/Sales!$J1212</f>
        <v>0.13758064516129034</v>
      </c>
      <c r="M1212" s="23" t="str">
        <f t="shared" si="18"/>
        <v>10%-15%</v>
      </c>
      <c r="N1212" s="22" t="s">
        <v>45</v>
      </c>
      <c r="O1212" s="22" t="s">
        <v>46</v>
      </c>
      <c r="P1212" s="22" t="s">
        <v>17</v>
      </c>
      <c r="Q1212" s="22" t="s">
        <v>14</v>
      </c>
    </row>
    <row r="1213" spans="1:17" x14ac:dyDescent="0.3">
      <c r="A1213" s="27">
        <v>32</v>
      </c>
      <c r="B1213" s="24">
        <v>89.12</v>
      </c>
      <c r="C1213" s="25">
        <f>Sales!$B1213*Sales!$A1213</f>
        <v>2851.84</v>
      </c>
      <c r="D1213" s="26">
        <v>38358</v>
      </c>
      <c r="E1213" s="27" t="s">
        <v>9</v>
      </c>
      <c r="F1213" s="27">
        <v>1</v>
      </c>
      <c r="G1213" s="27">
        <v>1</v>
      </c>
      <c r="H1213" s="27">
        <v>2005</v>
      </c>
      <c r="I1213" s="27" t="s">
        <v>10</v>
      </c>
      <c r="J1213" s="25">
        <v>62</v>
      </c>
      <c r="K1213" s="25">
        <f>Sales!$B1213-Sales!$J1213</f>
        <v>27.120000000000005</v>
      </c>
      <c r="L1213" s="28">
        <f>(Sales!$J1213-Sales!$B1213)/Sales!$J1213</f>
        <v>-0.43741935483870975</v>
      </c>
      <c r="M1213" s="28" t="str">
        <f t="shared" si="18"/>
        <v>Below 0%</v>
      </c>
      <c r="N1213" s="27" t="s">
        <v>99</v>
      </c>
      <c r="O1213" s="27" t="s">
        <v>34</v>
      </c>
      <c r="P1213" s="27" t="s">
        <v>17</v>
      </c>
      <c r="Q1213" s="27" t="s">
        <v>14</v>
      </c>
    </row>
    <row r="1214" spans="1:17" x14ac:dyDescent="0.3">
      <c r="A1214" s="22">
        <v>28</v>
      </c>
      <c r="B1214" s="19">
        <v>100</v>
      </c>
      <c r="C1214" s="20">
        <f>Sales!$B1214*Sales!$A1214</f>
        <v>2800</v>
      </c>
      <c r="D1214" s="21">
        <v>38393</v>
      </c>
      <c r="E1214" s="22" t="s">
        <v>9</v>
      </c>
      <c r="F1214" s="22">
        <v>1</v>
      </c>
      <c r="G1214" s="22">
        <v>2</v>
      </c>
      <c r="H1214" s="22">
        <v>2005</v>
      </c>
      <c r="I1214" s="22" t="s">
        <v>10</v>
      </c>
      <c r="J1214" s="20">
        <v>62</v>
      </c>
      <c r="K1214" s="20">
        <f>Sales!$B1214-Sales!$J1214</f>
        <v>38</v>
      </c>
      <c r="L1214" s="23">
        <f>(Sales!$J1214-Sales!$B1214)/Sales!$J1214</f>
        <v>-0.61290322580645162</v>
      </c>
      <c r="M1214" s="23" t="str">
        <f t="shared" si="18"/>
        <v>Below 0%</v>
      </c>
      <c r="N1214" s="22" t="s">
        <v>45</v>
      </c>
      <c r="O1214" s="22" t="s">
        <v>46</v>
      </c>
      <c r="P1214" s="22" t="s">
        <v>17</v>
      </c>
      <c r="Q1214" s="22" t="s">
        <v>19</v>
      </c>
    </row>
    <row r="1215" spans="1:17" x14ac:dyDescent="0.3">
      <c r="A1215" s="27">
        <v>36</v>
      </c>
      <c r="B1215" s="24">
        <v>100</v>
      </c>
      <c r="C1215" s="25">
        <f>Sales!$B1215*Sales!$A1215</f>
        <v>3600</v>
      </c>
      <c r="D1215" s="26">
        <v>38415</v>
      </c>
      <c r="E1215" s="27" t="s">
        <v>9</v>
      </c>
      <c r="F1215" s="27">
        <v>1</v>
      </c>
      <c r="G1215" s="27">
        <v>3</v>
      </c>
      <c r="H1215" s="27">
        <v>2005</v>
      </c>
      <c r="I1215" s="27" t="s">
        <v>10</v>
      </c>
      <c r="J1215" s="25">
        <v>62</v>
      </c>
      <c r="K1215" s="25">
        <f>Sales!$B1215-Sales!$J1215</f>
        <v>38</v>
      </c>
      <c r="L1215" s="28">
        <f>(Sales!$J1215-Sales!$B1215)/Sales!$J1215</f>
        <v>-0.61290322580645162</v>
      </c>
      <c r="M1215" s="28" t="str">
        <f t="shared" si="18"/>
        <v>Below 0%</v>
      </c>
      <c r="N1215" s="27" t="s">
        <v>64</v>
      </c>
      <c r="O1215" s="27" t="s">
        <v>12</v>
      </c>
      <c r="P1215" s="27" t="s">
        <v>13</v>
      </c>
      <c r="Q1215" s="27" t="s">
        <v>19</v>
      </c>
    </row>
    <row r="1216" spans="1:17" x14ac:dyDescent="0.3">
      <c r="A1216" s="22">
        <v>36</v>
      </c>
      <c r="B1216" s="19">
        <v>52.22</v>
      </c>
      <c r="C1216" s="20">
        <f>Sales!$B1216*Sales!$A1216</f>
        <v>1879.92</v>
      </c>
      <c r="D1216" s="21">
        <v>38450</v>
      </c>
      <c r="E1216" s="22" t="s">
        <v>9</v>
      </c>
      <c r="F1216" s="22">
        <v>2</v>
      </c>
      <c r="G1216" s="22">
        <v>4</v>
      </c>
      <c r="H1216" s="22">
        <v>2005</v>
      </c>
      <c r="I1216" s="22" t="s">
        <v>10</v>
      </c>
      <c r="J1216" s="20">
        <v>62</v>
      </c>
      <c r="K1216" s="20">
        <f>Sales!$B1216-Sales!$J1216</f>
        <v>-9.7800000000000011</v>
      </c>
      <c r="L1216" s="23">
        <f>(Sales!$J1216-Sales!$B1216)/Sales!$J1216</f>
        <v>0.157741935483871</v>
      </c>
      <c r="M1216" s="23" t="str">
        <f t="shared" si="18"/>
        <v>15%-20%</v>
      </c>
      <c r="N1216" s="22" t="s">
        <v>42</v>
      </c>
      <c r="O1216" s="22" t="s">
        <v>43</v>
      </c>
      <c r="P1216" s="22" t="s">
        <v>17</v>
      </c>
      <c r="Q1216" s="22" t="s">
        <v>14</v>
      </c>
    </row>
    <row r="1217" spans="1:17" x14ac:dyDescent="0.3">
      <c r="A1217" s="27">
        <v>41</v>
      </c>
      <c r="B1217" s="24">
        <v>100</v>
      </c>
      <c r="C1217" s="25">
        <f>Sales!$B1217*Sales!$A1217</f>
        <v>4100</v>
      </c>
      <c r="D1217" s="26">
        <v>37669</v>
      </c>
      <c r="E1217" s="27" t="s">
        <v>9</v>
      </c>
      <c r="F1217" s="27">
        <v>1</v>
      </c>
      <c r="G1217" s="27">
        <v>2</v>
      </c>
      <c r="H1217" s="27">
        <v>2003</v>
      </c>
      <c r="I1217" s="27" t="s">
        <v>112</v>
      </c>
      <c r="J1217" s="25">
        <v>105</v>
      </c>
      <c r="K1217" s="25">
        <f>Sales!$B1217-Sales!$J1217</f>
        <v>-5</v>
      </c>
      <c r="L1217" s="28">
        <f>(Sales!$J1217-Sales!$B1217)/Sales!$J1217</f>
        <v>4.7619047619047616E-2</v>
      </c>
      <c r="M1217" s="28" t="str">
        <f t="shared" si="18"/>
        <v>0%-5%</v>
      </c>
      <c r="N1217" s="27" t="s">
        <v>113</v>
      </c>
      <c r="O1217" s="27" t="s">
        <v>61</v>
      </c>
      <c r="P1217" s="27" t="s">
        <v>17</v>
      </c>
      <c r="Q1217" s="27" t="s">
        <v>19</v>
      </c>
    </row>
    <row r="1218" spans="1:17" x14ac:dyDescent="0.3">
      <c r="A1218" s="22">
        <v>27</v>
      </c>
      <c r="B1218" s="19">
        <v>99.52</v>
      </c>
      <c r="C1218" s="20">
        <f>Sales!$B1218*Sales!$A1218</f>
        <v>2687.04</v>
      </c>
      <c r="D1218" s="21">
        <v>37739</v>
      </c>
      <c r="E1218" s="22" t="s">
        <v>9</v>
      </c>
      <c r="F1218" s="22">
        <v>2</v>
      </c>
      <c r="G1218" s="22">
        <v>4</v>
      </c>
      <c r="H1218" s="22">
        <v>2003</v>
      </c>
      <c r="I1218" s="22" t="s">
        <v>112</v>
      </c>
      <c r="J1218" s="20">
        <v>105</v>
      </c>
      <c r="K1218" s="20">
        <f>Sales!$B1218-Sales!$J1218</f>
        <v>-5.480000000000004</v>
      </c>
      <c r="L1218" s="23">
        <f>(Sales!$J1218-Sales!$B1218)/Sales!$J1218</f>
        <v>5.2190476190476232E-2</v>
      </c>
      <c r="M1218" s="23" t="s">
        <v>131</v>
      </c>
      <c r="N1218" s="22" t="s">
        <v>37</v>
      </c>
      <c r="O1218" s="22" t="s">
        <v>38</v>
      </c>
      <c r="P1218" s="22" t="s">
        <v>17</v>
      </c>
      <c r="Q1218" s="22" t="s">
        <v>14</v>
      </c>
    </row>
    <row r="1219" spans="1:17" x14ac:dyDescent="0.3">
      <c r="A1219" s="27">
        <v>33</v>
      </c>
      <c r="B1219" s="24">
        <v>100</v>
      </c>
      <c r="C1219" s="25">
        <f>Sales!$B1219*Sales!$A1219</f>
        <v>3300</v>
      </c>
      <c r="D1219" s="26">
        <v>37788</v>
      </c>
      <c r="E1219" s="27" t="s">
        <v>9</v>
      </c>
      <c r="F1219" s="27">
        <v>2</v>
      </c>
      <c r="G1219" s="27">
        <v>6</v>
      </c>
      <c r="H1219" s="27">
        <v>2003</v>
      </c>
      <c r="I1219" s="27" t="s">
        <v>112</v>
      </c>
      <c r="J1219" s="25">
        <v>105</v>
      </c>
      <c r="K1219" s="25">
        <f>Sales!$B1219-Sales!$J1219</f>
        <v>-5</v>
      </c>
      <c r="L1219" s="28">
        <f>(Sales!$J1219-Sales!$B1219)/Sales!$J1219</f>
        <v>4.7619047619047616E-2</v>
      </c>
      <c r="M1219" s="28" t="str">
        <f t="shared" ref="M1219:M1282" si="19">IF(L1219&lt;0%,"Below 0%",IF(L1219=0%,"0%",IF(AND(L1219&lt;=5%,L1219&gt;0%),"0%-5%",IF(AND(L1219&lt;=10%,L1219&gt;5%),"5%-10%",IF(AND(L1219&lt;=15%,L1219&gt;10%),"10%-15%",IF(AND(L1219&lt;=20%,L1219&gt;15%),"15%-20%","+20%"))))))</f>
        <v>0%-5%</v>
      </c>
      <c r="N1219" s="27" t="s">
        <v>66</v>
      </c>
      <c r="O1219" s="27" t="s">
        <v>12</v>
      </c>
      <c r="P1219" s="27" t="s">
        <v>13</v>
      </c>
      <c r="Q1219" s="27" t="s">
        <v>19</v>
      </c>
    </row>
    <row r="1220" spans="1:17" x14ac:dyDescent="0.3">
      <c r="A1220" s="22">
        <v>34</v>
      </c>
      <c r="B1220" s="19">
        <v>100</v>
      </c>
      <c r="C1220" s="20">
        <f>Sales!$B1220*Sales!$A1220</f>
        <v>3400</v>
      </c>
      <c r="D1220" s="21">
        <v>37843</v>
      </c>
      <c r="E1220" s="22" t="s">
        <v>9</v>
      </c>
      <c r="F1220" s="22">
        <v>3</v>
      </c>
      <c r="G1220" s="22">
        <v>8</v>
      </c>
      <c r="H1220" s="22">
        <v>2003</v>
      </c>
      <c r="I1220" s="22" t="s">
        <v>112</v>
      </c>
      <c r="J1220" s="20">
        <v>105</v>
      </c>
      <c r="K1220" s="20">
        <f>Sales!$B1220-Sales!$J1220</f>
        <v>-5</v>
      </c>
      <c r="L1220" s="23">
        <f>(Sales!$J1220-Sales!$B1220)/Sales!$J1220</f>
        <v>4.7619047619047616E-2</v>
      </c>
      <c r="M1220" s="23" t="str">
        <f t="shared" si="19"/>
        <v>0%-5%</v>
      </c>
      <c r="N1220" s="22" t="s">
        <v>41</v>
      </c>
      <c r="O1220" s="22" t="s">
        <v>12</v>
      </c>
      <c r="P1220" s="22" t="s">
        <v>13</v>
      </c>
      <c r="Q1220" s="22" t="s">
        <v>19</v>
      </c>
    </row>
    <row r="1221" spans="1:17" x14ac:dyDescent="0.3">
      <c r="A1221" s="27">
        <v>29</v>
      </c>
      <c r="B1221" s="24">
        <v>100</v>
      </c>
      <c r="C1221" s="25">
        <f>Sales!$B1221*Sales!$A1221</f>
        <v>2900</v>
      </c>
      <c r="D1221" s="26">
        <v>37900</v>
      </c>
      <c r="E1221" s="27" t="s">
        <v>9</v>
      </c>
      <c r="F1221" s="27">
        <v>4</v>
      </c>
      <c r="G1221" s="27">
        <v>10</v>
      </c>
      <c r="H1221" s="27">
        <v>2003</v>
      </c>
      <c r="I1221" s="27" t="s">
        <v>112</v>
      </c>
      <c r="J1221" s="25">
        <v>105</v>
      </c>
      <c r="K1221" s="25">
        <f>Sales!$B1221-Sales!$J1221</f>
        <v>-5</v>
      </c>
      <c r="L1221" s="28">
        <f>(Sales!$J1221-Sales!$B1221)/Sales!$J1221</f>
        <v>4.7619047619047616E-2</v>
      </c>
      <c r="M1221" s="28" t="str">
        <f t="shared" si="19"/>
        <v>0%-5%</v>
      </c>
      <c r="N1221" s="27" t="s">
        <v>33</v>
      </c>
      <c r="O1221" s="27" t="s">
        <v>34</v>
      </c>
      <c r="P1221" s="27" t="s">
        <v>17</v>
      </c>
      <c r="Q1221" s="27" t="s">
        <v>19</v>
      </c>
    </row>
    <row r="1222" spans="1:17" x14ac:dyDescent="0.3">
      <c r="A1222" s="22">
        <v>34</v>
      </c>
      <c r="B1222" s="19">
        <v>100</v>
      </c>
      <c r="C1222" s="20">
        <f>Sales!$B1222*Sales!$A1222</f>
        <v>3400</v>
      </c>
      <c r="D1222" s="21">
        <v>37917</v>
      </c>
      <c r="E1222" s="22" t="s">
        <v>75</v>
      </c>
      <c r="F1222" s="22">
        <v>4</v>
      </c>
      <c r="G1222" s="22">
        <v>10</v>
      </c>
      <c r="H1222" s="22">
        <v>2003</v>
      </c>
      <c r="I1222" s="22" t="s">
        <v>112</v>
      </c>
      <c r="J1222" s="20">
        <v>105</v>
      </c>
      <c r="K1222" s="20">
        <f>Sales!$B1222-Sales!$J1222</f>
        <v>-5</v>
      </c>
      <c r="L1222" s="23">
        <f>(Sales!$J1222-Sales!$B1222)/Sales!$J1222</f>
        <v>4.7619047619047616E-2</v>
      </c>
      <c r="M1222" s="23" t="str">
        <f t="shared" si="19"/>
        <v>0%-5%</v>
      </c>
      <c r="N1222" s="22" t="s">
        <v>62</v>
      </c>
      <c r="O1222" s="22" t="s">
        <v>49</v>
      </c>
      <c r="P1222" s="22" t="s">
        <v>17</v>
      </c>
      <c r="Q1222" s="22" t="s">
        <v>19</v>
      </c>
    </row>
    <row r="1223" spans="1:17" x14ac:dyDescent="0.3">
      <c r="A1223" s="27">
        <v>48</v>
      </c>
      <c r="B1223" s="24">
        <v>100</v>
      </c>
      <c r="C1223" s="25">
        <f>Sales!$B1223*Sales!$A1223</f>
        <v>4800</v>
      </c>
      <c r="D1223" s="26">
        <v>37933</v>
      </c>
      <c r="E1223" s="27" t="s">
        <v>9</v>
      </c>
      <c r="F1223" s="27">
        <v>4</v>
      </c>
      <c r="G1223" s="27">
        <v>11</v>
      </c>
      <c r="H1223" s="27">
        <v>2003</v>
      </c>
      <c r="I1223" s="27" t="s">
        <v>112</v>
      </c>
      <c r="J1223" s="25">
        <v>105</v>
      </c>
      <c r="K1223" s="25">
        <f>Sales!$B1223-Sales!$J1223</f>
        <v>-5</v>
      </c>
      <c r="L1223" s="28">
        <f>(Sales!$J1223-Sales!$B1223)/Sales!$J1223</f>
        <v>4.7619047619047616E-2</v>
      </c>
      <c r="M1223" s="28" t="str">
        <f t="shared" si="19"/>
        <v>0%-5%</v>
      </c>
      <c r="N1223" s="27" t="s">
        <v>76</v>
      </c>
      <c r="O1223" s="27" t="s">
        <v>16</v>
      </c>
      <c r="P1223" s="27" t="s">
        <v>17</v>
      </c>
      <c r="Q1223" s="27" t="s">
        <v>19</v>
      </c>
    </row>
    <row r="1224" spans="1:17" x14ac:dyDescent="0.3">
      <c r="A1224" s="22">
        <v>46</v>
      </c>
      <c r="B1224" s="19">
        <v>100</v>
      </c>
      <c r="C1224" s="20">
        <f>Sales!$B1224*Sales!$A1224</f>
        <v>4600</v>
      </c>
      <c r="D1224" s="21">
        <v>37939</v>
      </c>
      <c r="E1224" s="22" t="s">
        <v>9</v>
      </c>
      <c r="F1224" s="22">
        <v>4</v>
      </c>
      <c r="G1224" s="22">
        <v>11</v>
      </c>
      <c r="H1224" s="22">
        <v>2003</v>
      </c>
      <c r="I1224" s="22" t="s">
        <v>112</v>
      </c>
      <c r="J1224" s="20">
        <v>105</v>
      </c>
      <c r="K1224" s="20">
        <f>Sales!$B1224-Sales!$J1224</f>
        <v>-5</v>
      </c>
      <c r="L1224" s="23">
        <f>(Sales!$J1224-Sales!$B1224)/Sales!$J1224</f>
        <v>4.7619047619047616E-2</v>
      </c>
      <c r="M1224" s="23" t="str">
        <f t="shared" si="19"/>
        <v>0%-5%</v>
      </c>
      <c r="N1224" s="22" t="s">
        <v>74</v>
      </c>
      <c r="O1224" s="22" t="s">
        <v>43</v>
      </c>
      <c r="P1224" s="22" t="s">
        <v>17</v>
      </c>
      <c r="Q1224" s="22" t="s">
        <v>19</v>
      </c>
    </row>
    <row r="1225" spans="1:17" x14ac:dyDescent="0.3">
      <c r="A1225" s="27">
        <v>22</v>
      </c>
      <c r="B1225" s="24">
        <v>100</v>
      </c>
      <c r="C1225" s="25">
        <f>Sales!$B1225*Sales!$A1225</f>
        <v>2200</v>
      </c>
      <c r="D1225" s="26">
        <v>37951</v>
      </c>
      <c r="E1225" s="27" t="s">
        <v>9</v>
      </c>
      <c r="F1225" s="27">
        <v>4</v>
      </c>
      <c r="G1225" s="27">
        <v>11</v>
      </c>
      <c r="H1225" s="27">
        <v>2003</v>
      </c>
      <c r="I1225" s="27" t="s">
        <v>112</v>
      </c>
      <c r="J1225" s="25">
        <v>105</v>
      </c>
      <c r="K1225" s="25">
        <f>Sales!$B1225-Sales!$J1225</f>
        <v>-5</v>
      </c>
      <c r="L1225" s="28">
        <f>(Sales!$J1225-Sales!$B1225)/Sales!$J1225</f>
        <v>4.7619047619047616E-2</v>
      </c>
      <c r="M1225" s="28" t="str">
        <f t="shared" si="19"/>
        <v>0%-5%</v>
      </c>
      <c r="N1225" s="27" t="s">
        <v>77</v>
      </c>
      <c r="O1225" s="27" t="s">
        <v>46</v>
      </c>
      <c r="P1225" s="27" t="s">
        <v>17</v>
      </c>
      <c r="Q1225" s="27" t="s">
        <v>14</v>
      </c>
    </row>
    <row r="1226" spans="1:17" x14ac:dyDescent="0.3">
      <c r="A1226" s="22">
        <v>20</v>
      </c>
      <c r="B1226" s="19">
        <v>100</v>
      </c>
      <c r="C1226" s="20">
        <f>Sales!$B1226*Sales!$A1226</f>
        <v>2000</v>
      </c>
      <c r="D1226" s="21">
        <v>37995</v>
      </c>
      <c r="E1226" s="22" t="s">
        <v>9</v>
      </c>
      <c r="F1226" s="22">
        <v>1</v>
      </c>
      <c r="G1226" s="22">
        <v>1</v>
      </c>
      <c r="H1226" s="22">
        <v>2004</v>
      </c>
      <c r="I1226" s="22" t="s">
        <v>112</v>
      </c>
      <c r="J1226" s="20">
        <v>105</v>
      </c>
      <c r="K1226" s="20">
        <f>Sales!$B1226-Sales!$J1226</f>
        <v>-5</v>
      </c>
      <c r="L1226" s="23">
        <f>(Sales!$J1226-Sales!$B1226)/Sales!$J1226</f>
        <v>4.7619047619047616E-2</v>
      </c>
      <c r="M1226" s="23" t="str">
        <f t="shared" si="19"/>
        <v>0%-5%</v>
      </c>
      <c r="N1226" s="22" t="s">
        <v>78</v>
      </c>
      <c r="O1226" s="22" t="s">
        <v>12</v>
      </c>
      <c r="P1226" s="22" t="s">
        <v>13</v>
      </c>
      <c r="Q1226" s="22" t="s">
        <v>14</v>
      </c>
    </row>
    <row r="1227" spans="1:17" x14ac:dyDescent="0.3">
      <c r="A1227" s="27">
        <v>45</v>
      </c>
      <c r="B1227" s="24">
        <v>85.75</v>
      </c>
      <c r="C1227" s="25">
        <f>Sales!$B1227*Sales!$A1227</f>
        <v>3858.75</v>
      </c>
      <c r="D1227" s="26">
        <v>38036</v>
      </c>
      <c r="E1227" s="27" t="s">
        <v>9</v>
      </c>
      <c r="F1227" s="27">
        <v>1</v>
      </c>
      <c r="G1227" s="27">
        <v>2</v>
      </c>
      <c r="H1227" s="27">
        <v>2004</v>
      </c>
      <c r="I1227" s="27" t="s">
        <v>112</v>
      </c>
      <c r="J1227" s="25">
        <v>105</v>
      </c>
      <c r="K1227" s="25">
        <f>Sales!$B1227-Sales!$J1227</f>
        <v>-19.25</v>
      </c>
      <c r="L1227" s="28">
        <f>(Sales!$J1227-Sales!$B1227)/Sales!$J1227</f>
        <v>0.18333333333333332</v>
      </c>
      <c r="M1227" s="28" t="str">
        <f t="shared" si="19"/>
        <v>15%-20%</v>
      </c>
      <c r="N1227" s="27" t="s">
        <v>79</v>
      </c>
      <c r="O1227" s="27" t="s">
        <v>12</v>
      </c>
      <c r="P1227" s="27" t="s">
        <v>13</v>
      </c>
      <c r="Q1227" s="27" t="s">
        <v>19</v>
      </c>
    </row>
    <row r="1228" spans="1:17" x14ac:dyDescent="0.3">
      <c r="A1228" s="22">
        <v>46</v>
      </c>
      <c r="B1228" s="19">
        <v>100</v>
      </c>
      <c r="C1228" s="20">
        <f>Sales!$B1228*Sales!$A1228</f>
        <v>4600</v>
      </c>
      <c r="D1228" s="21">
        <v>38115</v>
      </c>
      <c r="E1228" s="22" t="s">
        <v>9</v>
      </c>
      <c r="F1228" s="22">
        <v>2</v>
      </c>
      <c r="G1228" s="22">
        <v>5</v>
      </c>
      <c r="H1228" s="22">
        <v>2004</v>
      </c>
      <c r="I1228" s="22" t="s">
        <v>112</v>
      </c>
      <c r="J1228" s="20">
        <v>105</v>
      </c>
      <c r="K1228" s="20">
        <f>Sales!$B1228-Sales!$J1228</f>
        <v>-5</v>
      </c>
      <c r="L1228" s="23">
        <f>(Sales!$J1228-Sales!$B1228)/Sales!$J1228</f>
        <v>4.7619047619047616E-2</v>
      </c>
      <c r="M1228" s="23" t="str">
        <f t="shared" si="19"/>
        <v>0%-5%</v>
      </c>
      <c r="N1228" s="22" t="s">
        <v>32</v>
      </c>
      <c r="O1228" s="22" t="s">
        <v>12</v>
      </c>
      <c r="P1228" s="22" t="s">
        <v>13</v>
      </c>
      <c r="Q1228" s="22" t="s">
        <v>19</v>
      </c>
    </row>
    <row r="1229" spans="1:17" x14ac:dyDescent="0.3">
      <c r="A1229" s="27">
        <v>34</v>
      </c>
      <c r="B1229" s="24">
        <v>100</v>
      </c>
      <c r="C1229" s="25">
        <f>Sales!$B1229*Sales!$A1229</f>
        <v>3400</v>
      </c>
      <c r="D1229" s="26">
        <v>38162</v>
      </c>
      <c r="E1229" s="27" t="s">
        <v>75</v>
      </c>
      <c r="F1229" s="27">
        <v>2</v>
      </c>
      <c r="G1229" s="27">
        <v>6</v>
      </c>
      <c r="H1229" s="27">
        <v>2004</v>
      </c>
      <c r="I1229" s="27" t="s">
        <v>112</v>
      </c>
      <c r="J1229" s="25">
        <v>105</v>
      </c>
      <c r="K1229" s="25">
        <f>Sales!$B1229-Sales!$J1229</f>
        <v>-5</v>
      </c>
      <c r="L1229" s="28">
        <f>(Sales!$J1229-Sales!$B1229)/Sales!$J1229</f>
        <v>4.7619047619047616E-2</v>
      </c>
      <c r="M1229" s="28" t="str">
        <f t="shared" si="19"/>
        <v>0%-5%</v>
      </c>
      <c r="N1229" s="27" t="s">
        <v>45</v>
      </c>
      <c r="O1229" s="27" t="s">
        <v>46</v>
      </c>
      <c r="P1229" s="27" t="s">
        <v>17</v>
      </c>
      <c r="Q1229" s="27" t="s">
        <v>19</v>
      </c>
    </row>
    <row r="1230" spans="1:17" x14ac:dyDescent="0.3">
      <c r="A1230" s="22">
        <v>50</v>
      </c>
      <c r="B1230" s="19">
        <v>85.75</v>
      </c>
      <c r="C1230" s="20">
        <f>Sales!$B1230*Sales!$A1230</f>
        <v>4287.5</v>
      </c>
      <c r="D1230" s="21">
        <v>38189</v>
      </c>
      <c r="E1230" s="22" t="s">
        <v>9</v>
      </c>
      <c r="F1230" s="22">
        <v>3</v>
      </c>
      <c r="G1230" s="22">
        <v>7</v>
      </c>
      <c r="H1230" s="22">
        <v>2004</v>
      </c>
      <c r="I1230" s="22" t="s">
        <v>112</v>
      </c>
      <c r="J1230" s="20">
        <v>105</v>
      </c>
      <c r="K1230" s="20">
        <f>Sales!$B1230-Sales!$J1230</f>
        <v>-19.25</v>
      </c>
      <c r="L1230" s="23">
        <f>(Sales!$J1230-Sales!$B1230)/Sales!$J1230</f>
        <v>0.18333333333333332</v>
      </c>
      <c r="M1230" s="23" t="str">
        <f t="shared" si="19"/>
        <v>15%-20%</v>
      </c>
      <c r="N1230" s="22" t="s">
        <v>80</v>
      </c>
      <c r="O1230" s="22" t="s">
        <v>81</v>
      </c>
      <c r="P1230" s="22" t="s">
        <v>17</v>
      </c>
      <c r="Q1230" s="22" t="s">
        <v>19</v>
      </c>
    </row>
    <row r="1231" spans="1:17" x14ac:dyDescent="0.3">
      <c r="A1231" s="27">
        <v>46</v>
      </c>
      <c r="B1231" s="24">
        <v>100</v>
      </c>
      <c r="C1231" s="25">
        <f>Sales!$B1231*Sales!$A1231</f>
        <v>4600</v>
      </c>
      <c r="D1231" s="26">
        <v>38219</v>
      </c>
      <c r="E1231" s="27" t="s">
        <v>9</v>
      </c>
      <c r="F1231" s="27">
        <v>3</v>
      </c>
      <c r="G1231" s="27">
        <v>8</v>
      </c>
      <c r="H1231" s="27">
        <v>2004</v>
      </c>
      <c r="I1231" s="27" t="s">
        <v>112</v>
      </c>
      <c r="J1231" s="25">
        <v>105</v>
      </c>
      <c r="K1231" s="25">
        <f>Sales!$B1231-Sales!$J1231</f>
        <v>-5</v>
      </c>
      <c r="L1231" s="28">
        <f>(Sales!$J1231-Sales!$B1231)/Sales!$J1231</f>
        <v>4.7619047619047616E-2</v>
      </c>
      <c r="M1231" s="28" t="str">
        <f t="shared" si="19"/>
        <v>0%-5%</v>
      </c>
      <c r="N1231" s="27" t="s">
        <v>82</v>
      </c>
      <c r="O1231" s="27" t="s">
        <v>56</v>
      </c>
      <c r="P1231" s="27" t="s">
        <v>13</v>
      </c>
      <c r="Q1231" s="27" t="s">
        <v>19</v>
      </c>
    </row>
    <row r="1232" spans="1:17" x14ac:dyDescent="0.3">
      <c r="A1232" s="22">
        <v>22</v>
      </c>
      <c r="B1232" s="19">
        <v>84.7</v>
      </c>
      <c r="C1232" s="20">
        <f>Sales!$B1232*Sales!$A1232</f>
        <v>1863.4</v>
      </c>
      <c r="D1232" s="21">
        <v>38245</v>
      </c>
      <c r="E1232" s="22" t="s">
        <v>9</v>
      </c>
      <c r="F1232" s="22">
        <v>3</v>
      </c>
      <c r="G1232" s="22">
        <v>9</v>
      </c>
      <c r="H1232" s="22">
        <v>2004</v>
      </c>
      <c r="I1232" s="22" t="s">
        <v>112</v>
      </c>
      <c r="J1232" s="20">
        <v>105</v>
      </c>
      <c r="K1232" s="20">
        <f>Sales!$B1232-Sales!$J1232</f>
        <v>-20.299999999999997</v>
      </c>
      <c r="L1232" s="23">
        <f>(Sales!$J1232-Sales!$B1232)/Sales!$J1232</f>
        <v>0.1933333333333333</v>
      </c>
      <c r="M1232" s="23" t="str">
        <f t="shared" si="19"/>
        <v>15%-20%</v>
      </c>
      <c r="N1232" s="22" t="s">
        <v>116</v>
      </c>
      <c r="O1232" s="22" t="s">
        <v>94</v>
      </c>
      <c r="P1232" s="22" t="s">
        <v>17</v>
      </c>
      <c r="Q1232" s="22" t="s">
        <v>14</v>
      </c>
    </row>
    <row r="1233" spans="1:17" x14ac:dyDescent="0.3">
      <c r="A1233" s="27">
        <v>48</v>
      </c>
      <c r="B1233" s="24">
        <v>86.81</v>
      </c>
      <c r="C1233" s="25">
        <f>Sales!$B1233*Sales!$A1233</f>
        <v>4166.88</v>
      </c>
      <c r="D1233" s="26">
        <v>38274</v>
      </c>
      <c r="E1233" s="27" t="s">
        <v>9</v>
      </c>
      <c r="F1233" s="27">
        <v>4</v>
      </c>
      <c r="G1233" s="27">
        <v>10</v>
      </c>
      <c r="H1233" s="27">
        <v>2004</v>
      </c>
      <c r="I1233" s="27" t="s">
        <v>112</v>
      </c>
      <c r="J1233" s="25">
        <v>105</v>
      </c>
      <c r="K1233" s="25">
        <f>Sales!$B1233-Sales!$J1233</f>
        <v>-18.189999999999998</v>
      </c>
      <c r="L1233" s="28">
        <f>(Sales!$J1233-Sales!$B1233)/Sales!$J1233</f>
        <v>0.17323809523809522</v>
      </c>
      <c r="M1233" s="28" t="str">
        <f t="shared" si="19"/>
        <v>15%-20%</v>
      </c>
      <c r="N1233" s="27" t="s">
        <v>53</v>
      </c>
      <c r="O1233" s="27" t="s">
        <v>12</v>
      </c>
      <c r="P1233" s="27" t="s">
        <v>13</v>
      </c>
      <c r="Q1233" s="27" t="s">
        <v>19</v>
      </c>
    </row>
    <row r="1234" spans="1:17" x14ac:dyDescent="0.3">
      <c r="A1234" s="22">
        <v>47</v>
      </c>
      <c r="B1234" s="19">
        <v>86.81</v>
      </c>
      <c r="C1234" s="20">
        <f>Sales!$B1234*Sales!$A1234</f>
        <v>4080.07</v>
      </c>
      <c r="D1234" s="21">
        <v>38292</v>
      </c>
      <c r="E1234" s="22" t="s">
        <v>9</v>
      </c>
      <c r="F1234" s="22">
        <v>4</v>
      </c>
      <c r="G1234" s="22">
        <v>11</v>
      </c>
      <c r="H1234" s="22">
        <v>2004</v>
      </c>
      <c r="I1234" s="22" t="s">
        <v>112</v>
      </c>
      <c r="J1234" s="20">
        <v>105</v>
      </c>
      <c r="K1234" s="20">
        <f>Sales!$B1234-Sales!$J1234</f>
        <v>-18.189999999999998</v>
      </c>
      <c r="L1234" s="23">
        <f>(Sales!$J1234-Sales!$B1234)/Sales!$J1234</f>
        <v>0.17323809523809522</v>
      </c>
      <c r="M1234" s="23" t="str">
        <f t="shared" si="19"/>
        <v>15%-20%</v>
      </c>
      <c r="N1234" s="22" t="s">
        <v>84</v>
      </c>
      <c r="O1234" s="22" t="s">
        <v>43</v>
      </c>
      <c r="P1234" s="22" t="s">
        <v>17</v>
      </c>
      <c r="Q1234" s="22" t="s">
        <v>19</v>
      </c>
    </row>
    <row r="1235" spans="1:17" x14ac:dyDescent="0.3">
      <c r="A1235" s="27">
        <v>34</v>
      </c>
      <c r="B1235" s="24">
        <v>100</v>
      </c>
      <c r="C1235" s="25">
        <f>Sales!$B1235*Sales!$A1235</f>
        <v>3400</v>
      </c>
      <c r="D1235" s="26">
        <v>38303</v>
      </c>
      <c r="E1235" s="27" t="s">
        <v>9</v>
      </c>
      <c r="F1235" s="27">
        <v>4</v>
      </c>
      <c r="G1235" s="27">
        <v>11</v>
      </c>
      <c r="H1235" s="27">
        <v>2004</v>
      </c>
      <c r="I1235" s="27" t="s">
        <v>112</v>
      </c>
      <c r="J1235" s="25">
        <v>105</v>
      </c>
      <c r="K1235" s="25">
        <f>Sales!$B1235-Sales!$J1235</f>
        <v>-5</v>
      </c>
      <c r="L1235" s="28">
        <f>(Sales!$J1235-Sales!$B1235)/Sales!$J1235</f>
        <v>4.7619047619047616E-2</v>
      </c>
      <c r="M1235" s="28" t="str">
        <f t="shared" si="19"/>
        <v>0%-5%</v>
      </c>
      <c r="N1235" s="27" t="s">
        <v>113</v>
      </c>
      <c r="O1235" s="27" t="s">
        <v>61</v>
      </c>
      <c r="P1235" s="27" t="s">
        <v>17</v>
      </c>
      <c r="Q1235" s="27" t="s">
        <v>19</v>
      </c>
    </row>
    <row r="1236" spans="1:17" x14ac:dyDescent="0.3">
      <c r="A1236" s="22">
        <v>45</v>
      </c>
      <c r="B1236" s="19">
        <v>100</v>
      </c>
      <c r="C1236" s="20">
        <f>Sales!$B1236*Sales!$A1236</f>
        <v>4500</v>
      </c>
      <c r="D1236" s="21">
        <v>38313</v>
      </c>
      <c r="E1236" s="22" t="s">
        <v>9</v>
      </c>
      <c r="F1236" s="22">
        <v>4</v>
      </c>
      <c r="G1236" s="22">
        <v>11</v>
      </c>
      <c r="H1236" s="22">
        <v>2004</v>
      </c>
      <c r="I1236" s="22" t="s">
        <v>112</v>
      </c>
      <c r="J1236" s="20">
        <v>105</v>
      </c>
      <c r="K1236" s="20">
        <f>Sales!$B1236-Sales!$J1236</f>
        <v>-5</v>
      </c>
      <c r="L1236" s="23">
        <f>(Sales!$J1236-Sales!$B1236)/Sales!$J1236</f>
        <v>4.7619047619047616E-2</v>
      </c>
      <c r="M1236" s="23" t="str">
        <f t="shared" si="19"/>
        <v>0%-5%</v>
      </c>
      <c r="N1236" s="22" t="s">
        <v>117</v>
      </c>
      <c r="O1236" s="22" t="s">
        <v>81</v>
      </c>
      <c r="P1236" s="22" t="s">
        <v>17</v>
      </c>
      <c r="Q1236" s="22" t="s">
        <v>19</v>
      </c>
    </row>
    <row r="1237" spans="1:17" x14ac:dyDescent="0.3">
      <c r="A1237" s="27">
        <v>20</v>
      </c>
      <c r="B1237" s="24">
        <v>100</v>
      </c>
      <c r="C1237" s="25">
        <f>Sales!$B1237*Sales!$A1237</f>
        <v>2000</v>
      </c>
      <c r="D1237" s="26">
        <v>38324</v>
      </c>
      <c r="E1237" s="27" t="s">
        <v>9</v>
      </c>
      <c r="F1237" s="27">
        <v>4</v>
      </c>
      <c r="G1237" s="27">
        <v>12</v>
      </c>
      <c r="H1237" s="27">
        <v>2004</v>
      </c>
      <c r="I1237" s="27" t="s">
        <v>112</v>
      </c>
      <c r="J1237" s="25">
        <v>105</v>
      </c>
      <c r="K1237" s="25">
        <f>Sales!$B1237-Sales!$J1237</f>
        <v>-5</v>
      </c>
      <c r="L1237" s="28">
        <f>(Sales!$J1237-Sales!$B1237)/Sales!$J1237</f>
        <v>4.7619047619047616E-2</v>
      </c>
      <c r="M1237" s="28" t="str">
        <f t="shared" si="19"/>
        <v>0%-5%</v>
      </c>
      <c r="N1237" s="27" t="s">
        <v>74</v>
      </c>
      <c r="O1237" s="27" t="s">
        <v>43</v>
      </c>
      <c r="P1237" s="27" t="s">
        <v>17</v>
      </c>
      <c r="Q1237" s="27" t="s">
        <v>19</v>
      </c>
    </row>
    <row r="1238" spans="1:17" x14ac:dyDescent="0.3">
      <c r="A1238" s="22">
        <v>50</v>
      </c>
      <c r="B1238" s="19">
        <v>60.49</v>
      </c>
      <c r="C1238" s="20">
        <f>Sales!$B1238*Sales!$A1238</f>
        <v>3024.5</v>
      </c>
      <c r="D1238" s="21">
        <v>38383</v>
      </c>
      <c r="E1238" s="22" t="s">
        <v>9</v>
      </c>
      <c r="F1238" s="22">
        <v>1</v>
      </c>
      <c r="G1238" s="22">
        <v>1</v>
      </c>
      <c r="H1238" s="22">
        <v>2005</v>
      </c>
      <c r="I1238" s="22" t="s">
        <v>112</v>
      </c>
      <c r="J1238" s="20">
        <v>105</v>
      </c>
      <c r="K1238" s="20">
        <f>Sales!$B1238-Sales!$J1238</f>
        <v>-44.51</v>
      </c>
      <c r="L1238" s="23">
        <f>(Sales!$J1238-Sales!$B1238)/Sales!$J1238</f>
        <v>0.4239047619047619</v>
      </c>
      <c r="M1238" s="23" t="str">
        <f t="shared" si="19"/>
        <v>+20%</v>
      </c>
      <c r="N1238" s="22" t="s">
        <v>85</v>
      </c>
      <c r="O1238" s="22" t="s">
        <v>34</v>
      </c>
      <c r="P1238" s="22" t="s">
        <v>17</v>
      </c>
      <c r="Q1238" s="22" t="s">
        <v>19</v>
      </c>
    </row>
    <row r="1239" spans="1:17" x14ac:dyDescent="0.3">
      <c r="A1239" s="27">
        <v>22</v>
      </c>
      <c r="B1239" s="24">
        <v>57.55</v>
      </c>
      <c r="C1239" s="25">
        <f>Sales!$B1239*Sales!$A1239</f>
        <v>1266.0999999999999</v>
      </c>
      <c r="D1239" s="26">
        <v>38412</v>
      </c>
      <c r="E1239" s="27" t="s">
        <v>88</v>
      </c>
      <c r="F1239" s="27">
        <v>1</v>
      </c>
      <c r="G1239" s="27">
        <v>3</v>
      </c>
      <c r="H1239" s="27">
        <v>2005</v>
      </c>
      <c r="I1239" s="27" t="s">
        <v>112</v>
      </c>
      <c r="J1239" s="25">
        <v>105</v>
      </c>
      <c r="K1239" s="25">
        <f>Sales!$B1239-Sales!$J1239</f>
        <v>-47.45</v>
      </c>
      <c r="L1239" s="28">
        <f>(Sales!$J1239-Sales!$B1239)/Sales!$J1239</f>
        <v>0.45190476190476192</v>
      </c>
      <c r="M1239" s="28" t="str">
        <f t="shared" si="19"/>
        <v>+20%</v>
      </c>
      <c r="N1239" s="27" t="s">
        <v>45</v>
      </c>
      <c r="O1239" s="27" t="s">
        <v>46</v>
      </c>
      <c r="P1239" s="27" t="s">
        <v>17</v>
      </c>
      <c r="Q1239" s="27" t="s">
        <v>14</v>
      </c>
    </row>
    <row r="1240" spans="1:17" x14ac:dyDescent="0.3">
      <c r="A1240" s="22">
        <v>45</v>
      </c>
      <c r="B1240" s="19">
        <v>100</v>
      </c>
      <c r="C1240" s="20">
        <f>Sales!$B1240*Sales!$A1240</f>
        <v>4500</v>
      </c>
      <c r="D1240" s="21">
        <v>38441</v>
      </c>
      <c r="E1240" s="22" t="s">
        <v>9</v>
      </c>
      <c r="F1240" s="22">
        <v>1</v>
      </c>
      <c r="G1240" s="22">
        <v>3</v>
      </c>
      <c r="H1240" s="22">
        <v>2005</v>
      </c>
      <c r="I1240" s="22" t="s">
        <v>112</v>
      </c>
      <c r="J1240" s="20">
        <v>105</v>
      </c>
      <c r="K1240" s="20">
        <f>Sales!$B1240-Sales!$J1240</f>
        <v>-5</v>
      </c>
      <c r="L1240" s="23">
        <f>(Sales!$J1240-Sales!$B1240)/Sales!$J1240</f>
        <v>4.7619047619047616E-2</v>
      </c>
      <c r="M1240" s="23" t="str">
        <f t="shared" si="19"/>
        <v>0%-5%</v>
      </c>
      <c r="N1240" s="22" t="s">
        <v>15</v>
      </c>
      <c r="O1240" s="22" t="s">
        <v>16</v>
      </c>
      <c r="P1240" s="22" t="s">
        <v>17</v>
      </c>
      <c r="Q1240" s="22" t="s">
        <v>19</v>
      </c>
    </row>
    <row r="1241" spans="1:17" x14ac:dyDescent="0.3">
      <c r="A1241" s="27">
        <v>58</v>
      </c>
      <c r="B1241" s="24">
        <v>100</v>
      </c>
      <c r="C1241" s="25">
        <f>Sales!$B1241*Sales!$A1241</f>
        <v>5800</v>
      </c>
      <c r="D1241" s="26">
        <v>38443</v>
      </c>
      <c r="E1241" s="27" t="s">
        <v>9</v>
      </c>
      <c r="F1241" s="27">
        <v>2</v>
      </c>
      <c r="G1241" s="27">
        <v>4</v>
      </c>
      <c r="H1241" s="27">
        <v>2005</v>
      </c>
      <c r="I1241" s="27" t="s">
        <v>112</v>
      </c>
      <c r="J1241" s="25">
        <v>105</v>
      </c>
      <c r="K1241" s="25">
        <f>Sales!$B1241-Sales!$J1241</f>
        <v>-5</v>
      </c>
      <c r="L1241" s="28">
        <f>(Sales!$J1241-Sales!$B1241)/Sales!$J1241</f>
        <v>4.7619047619047616E-2</v>
      </c>
      <c r="M1241" s="28" t="str">
        <f t="shared" si="19"/>
        <v>0%-5%</v>
      </c>
      <c r="N1241" s="27" t="s">
        <v>86</v>
      </c>
      <c r="O1241" s="27" t="s">
        <v>12</v>
      </c>
      <c r="P1241" s="27" t="s">
        <v>13</v>
      </c>
      <c r="Q1241" s="27" t="s">
        <v>39</v>
      </c>
    </row>
    <row r="1242" spans="1:17" x14ac:dyDescent="0.3">
      <c r="A1242" s="22">
        <v>51</v>
      </c>
      <c r="B1242" s="19">
        <v>100</v>
      </c>
      <c r="C1242" s="20">
        <f>Sales!$B1242*Sales!$A1242</f>
        <v>5100</v>
      </c>
      <c r="D1242" s="21">
        <v>38481</v>
      </c>
      <c r="E1242" s="22" t="s">
        <v>44</v>
      </c>
      <c r="F1242" s="22">
        <v>2</v>
      </c>
      <c r="G1242" s="22">
        <v>5</v>
      </c>
      <c r="H1242" s="22">
        <v>2005</v>
      </c>
      <c r="I1242" s="22" t="s">
        <v>112</v>
      </c>
      <c r="J1242" s="20">
        <v>105</v>
      </c>
      <c r="K1242" s="20">
        <f>Sales!$B1242-Sales!$J1242</f>
        <v>-5</v>
      </c>
      <c r="L1242" s="23">
        <f>(Sales!$J1242-Sales!$B1242)/Sales!$J1242</f>
        <v>4.7619047619047616E-2</v>
      </c>
      <c r="M1242" s="23" t="str">
        <f t="shared" si="19"/>
        <v>0%-5%</v>
      </c>
      <c r="N1242" s="22" t="s">
        <v>114</v>
      </c>
      <c r="O1242" s="22" t="s">
        <v>27</v>
      </c>
      <c r="P1242" s="22" t="s">
        <v>28</v>
      </c>
      <c r="Q1242" s="22" t="s">
        <v>19</v>
      </c>
    </row>
    <row r="1243" spans="1:17" x14ac:dyDescent="0.3">
      <c r="A1243" s="27">
        <v>38</v>
      </c>
      <c r="B1243" s="24">
        <v>100</v>
      </c>
      <c r="C1243" s="25">
        <f>Sales!$B1243*Sales!$A1243</f>
        <v>3800</v>
      </c>
      <c r="D1243" s="26">
        <v>37652</v>
      </c>
      <c r="E1243" s="27" t="s">
        <v>9</v>
      </c>
      <c r="F1243" s="27">
        <v>1</v>
      </c>
      <c r="G1243" s="27">
        <v>1</v>
      </c>
      <c r="H1243" s="27">
        <v>2003</v>
      </c>
      <c r="I1243" s="27" t="s">
        <v>47</v>
      </c>
      <c r="J1243" s="25">
        <v>143</v>
      </c>
      <c r="K1243" s="25">
        <f>Sales!$B1243-Sales!$J1243</f>
        <v>-43</v>
      </c>
      <c r="L1243" s="28">
        <f>(Sales!$J1243-Sales!$B1243)/Sales!$J1243</f>
        <v>0.30069930069930068</v>
      </c>
      <c r="M1243" s="28" t="str">
        <f t="shared" si="19"/>
        <v>+20%</v>
      </c>
      <c r="N1243" s="27" t="s">
        <v>45</v>
      </c>
      <c r="O1243" s="27" t="s">
        <v>46</v>
      </c>
      <c r="P1243" s="27" t="s">
        <v>17</v>
      </c>
      <c r="Q1243" s="27" t="s">
        <v>19</v>
      </c>
    </row>
    <row r="1244" spans="1:17" x14ac:dyDescent="0.3">
      <c r="A1244" s="22">
        <v>22</v>
      </c>
      <c r="B1244" s="19">
        <v>100</v>
      </c>
      <c r="C1244" s="20">
        <f>Sales!$B1244*Sales!$A1244</f>
        <v>2200</v>
      </c>
      <c r="D1244" s="21">
        <v>37727</v>
      </c>
      <c r="E1244" s="22" t="s">
        <v>9</v>
      </c>
      <c r="F1244" s="22">
        <v>2</v>
      </c>
      <c r="G1244" s="22">
        <v>4</v>
      </c>
      <c r="H1244" s="22">
        <v>2003</v>
      </c>
      <c r="I1244" s="22" t="s">
        <v>47</v>
      </c>
      <c r="J1244" s="20">
        <v>143</v>
      </c>
      <c r="K1244" s="20">
        <f>Sales!$B1244-Sales!$J1244</f>
        <v>-43</v>
      </c>
      <c r="L1244" s="23">
        <f>(Sales!$J1244-Sales!$B1244)/Sales!$J1244</f>
        <v>0.30069930069930068</v>
      </c>
      <c r="M1244" s="23" t="str">
        <f t="shared" si="19"/>
        <v>+20%</v>
      </c>
      <c r="N1244" s="22" t="s">
        <v>50</v>
      </c>
      <c r="O1244" s="22" t="s">
        <v>50</v>
      </c>
      <c r="P1244" s="22" t="s">
        <v>28</v>
      </c>
      <c r="Q1244" s="22" t="s">
        <v>14</v>
      </c>
    </row>
    <row r="1245" spans="1:17" x14ac:dyDescent="0.3">
      <c r="A1245" s="27">
        <v>25</v>
      </c>
      <c r="B1245" s="24">
        <v>100</v>
      </c>
      <c r="C1245" s="25">
        <f>Sales!$B1245*Sales!$A1245</f>
        <v>2500</v>
      </c>
      <c r="D1245" s="26">
        <v>37775</v>
      </c>
      <c r="E1245" s="27" t="s">
        <v>9</v>
      </c>
      <c r="F1245" s="27">
        <v>2</v>
      </c>
      <c r="G1245" s="27">
        <v>6</v>
      </c>
      <c r="H1245" s="27">
        <v>2003</v>
      </c>
      <c r="I1245" s="27" t="s">
        <v>47</v>
      </c>
      <c r="J1245" s="25">
        <v>143</v>
      </c>
      <c r="K1245" s="25">
        <f>Sales!$B1245-Sales!$J1245</f>
        <v>-43</v>
      </c>
      <c r="L1245" s="28">
        <f>(Sales!$J1245-Sales!$B1245)/Sales!$J1245</f>
        <v>0.30069930069930068</v>
      </c>
      <c r="M1245" s="28" t="str">
        <f t="shared" si="19"/>
        <v>+20%</v>
      </c>
      <c r="N1245" s="27" t="s">
        <v>11</v>
      </c>
      <c r="O1245" s="27" t="s">
        <v>12</v>
      </c>
      <c r="P1245" s="27" t="s">
        <v>13</v>
      </c>
      <c r="Q1245" s="27" t="s">
        <v>19</v>
      </c>
    </row>
    <row r="1246" spans="1:17" x14ac:dyDescent="0.3">
      <c r="A1246" s="22">
        <v>24</v>
      </c>
      <c r="B1246" s="19">
        <v>100</v>
      </c>
      <c r="C1246" s="20">
        <f>Sales!$B1246*Sales!$A1246</f>
        <v>2400</v>
      </c>
      <c r="D1246" s="21">
        <v>37841</v>
      </c>
      <c r="E1246" s="22" t="s">
        <v>9</v>
      </c>
      <c r="F1246" s="22">
        <v>3</v>
      </c>
      <c r="G1246" s="22">
        <v>8</v>
      </c>
      <c r="H1246" s="22">
        <v>2003</v>
      </c>
      <c r="I1246" s="22" t="s">
        <v>47</v>
      </c>
      <c r="J1246" s="20">
        <v>143</v>
      </c>
      <c r="K1246" s="20">
        <f>Sales!$B1246-Sales!$J1246</f>
        <v>-43</v>
      </c>
      <c r="L1246" s="23">
        <f>(Sales!$J1246-Sales!$B1246)/Sales!$J1246</f>
        <v>0.30069930069930068</v>
      </c>
      <c r="M1246" s="23" t="str">
        <f t="shared" si="19"/>
        <v>+20%</v>
      </c>
      <c r="N1246" s="22" t="s">
        <v>64</v>
      </c>
      <c r="O1246" s="22" t="s">
        <v>12</v>
      </c>
      <c r="P1246" s="22" t="s">
        <v>13</v>
      </c>
      <c r="Q1246" s="22" t="s">
        <v>19</v>
      </c>
    </row>
    <row r="1247" spans="1:17" x14ac:dyDescent="0.3">
      <c r="A1247" s="27">
        <v>35</v>
      </c>
      <c r="B1247" s="24">
        <v>100</v>
      </c>
      <c r="C1247" s="25">
        <f>Sales!$B1247*Sales!$A1247</f>
        <v>3500</v>
      </c>
      <c r="D1247" s="26">
        <v>37889</v>
      </c>
      <c r="E1247" s="27" t="s">
        <v>9</v>
      </c>
      <c r="F1247" s="27">
        <v>3</v>
      </c>
      <c r="G1247" s="27">
        <v>9</v>
      </c>
      <c r="H1247" s="27">
        <v>2003</v>
      </c>
      <c r="I1247" s="27" t="s">
        <v>47</v>
      </c>
      <c r="J1247" s="25">
        <v>143</v>
      </c>
      <c r="K1247" s="25">
        <f>Sales!$B1247-Sales!$J1247</f>
        <v>-43</v>
      </c>
      <c r="L1247" s="28">
        <f>(Sales!$J1247-Sales!$B1247)/Sales!$J1247</f>
        <v>0.30069930069930068</v>
      </c>
      <c r="M1247" s="28" t="str">
        <f t="shared" si="19"/>
        <v>+20%</v>
      </c>
      <c r="N1247" s="27" t="s">
        <v>52</v>
      </c>
      <c r="O1247" s="27" t="s">
        <v>27</v>
      </c>
      <c r="P1247" s="27" t="s">
        <v>28</v>
      </c>
      <c r="Q1247" s="27" t="s">
        <v>19</v>
      </c>
    </row>
    <row r="1248" spans="1:17" x14ac:dyDescent="0.3">
      <c r="A1248" s="22">
        <v>28</v>
      </c>
      <c r="B1248" s="19">
        <v>100</v>
      </c>
      <c r="C1248" s="20">
        <f>Sales!$B1248*Sales!$A1248</f>
        <v>2800</v>
      </c>
      <c r="D1248" s="21">
        <v>37916</v>
      </c>
      <c r="E1248" s="22" t="s">
        <v>9</v>
      </c>
      <c r="F1248" s="22">
        <v>4</v>
      </c>
      <c r="G1248" s="22">
        <v>10</v>
      </c>
      <c r="H1248" s="22">
        <v>2003</v>
      </c>
      <c r="I1248" s="22" t="s">
        <v>47</v>
      </c>
      <c r="J1248" s="20">
        <v>143</v>
      </c>
      <c r="K1248" s="20">
        <f>Sales!$B1248-Sales!$J1248</f>
        <v>-43</v>
      </c>
      <c r="L1248" s="23">
        <f>(Sales!$J1248-Sales!$B1248)/Sales!$J1248</f>
        <v>0.30069930069930068</v>
      </c>
      <c r="M1248" s="23" t="str">
        <f t="shared" si="19"/>
        <v>+20%</v>
      </c>
      <c r="N1248" s="22" t="s">
        <v>50</v>
      </c>
      <c r="O1248" s="22" t="s">
        <v>50</v>
      </c>
      <c r="P1248" s="22" t="s">
        <v>28</v>
      </c>
      <c r="Q1248" s="22" t="s">
        <v>19</v>
      </c>
    </row>
    <row r="1249" spans="1:17" x14ac:dyDescent="0.3">
      <c r="A1249" s="27">
        <v>36</v>
      </c>
      <c r="B1249" s="24">
        <v>100</v>
      </c>
      <c r="C1249" s="25">
        <f>Sales!$B1249*Sales!$A1249</f>
        <v>3600</v>
      </c>
      <c r="D1249" s="26">
        <v>37931</v>
      </c>
      <c r="E1249" s="27" t="s">
        <v>9</v>
      </c>
      <c r="F1249" s="27">
        <v>4</v>
      </c>
      <c r="G1249" s="27">
        <v>11</v>
      </c>
      <c r="H1249" s="27">
        <v>2003</v>
      </c>
      <c r="I1249" s="27" t="s">
        <v>47</v>
      </c>
      <c r="J1249" s="25">
        <v>143</v>
      </c>
      <c r="K1249" s="25">
        <f>Sales!$B1249-Sales!$J1249</f>
        <v>-43</v>
      </c>
      <c r="L1249" s="28">
        <f>(Sales!$J1249-Sales!$B1249)/Sales!$J1249</f>
        <v>0.30069930069930068</v>
      </c>
      <c r="M1249" s="28" t="str">
        <f t="shared" si="19"/>
        <v>+20%</v>
      </c>
      <c r="N1249" s="27" t="s">
        <v>97</v>
      </c>
      <c r="O1249" s="27" t="s">
        <v>61</v>
      </c>
      <c r="P1249" s="27" t="s">
        <v>17</v>
      </c>
      <c r="Q1249" s="27" t="s">
        <v>19</v>
      </c>
    </row>
    <row r="1250" spans="1:17" x14ac:dyDescent="0.3">
      <c r="A1250" s="22">
        <v>39</v>
      </c>
      <c r="B1250" s="19">
        <v>100</v>
      </c>
      <c r="C1250" s="20">
        <f>Sales!$B1250*Sales!$A1250</f>
        <v>3900</v>
      </c>
      <c r="D1250" s="21">
        <v>37939</v>
      </c>
      <c r="E1250" s="22" t="s">
        <v>9</v>
      </c>
      <c r="F1250" s="22">
        <v>4</v>
      </c>
      <c r="G1250" s="22">
        <v>11</v>
      </c>
      <c r="H1250" s="22">
        <v>2003</v>
      </c>
      <c r="I1250" s="22" t="s">
        <v>47</v>
      </c>
      <c r="J1250" s="20">
        <v>143</v>
      </c>
      <c r="K1250" s="20">
        <f>Sales!$B1250-Sales!$J1250</f>
        <v>-43</v>
      </c>
      <c r="L1250" s="23">
        <f>(Sales!$J1250-Sales!$B1250)/Sales!$J1250</f>
        <v>0.30069930069930068</v>
      </c>
      <c r="M1250" s="23" t="str">
        <f t="shared" si="19"/>
        <v>+20%</v>
      </c>
      <c r="N1250" s="22" t="s">
        <v>41</v>
      </c>
      <c r="O1250" s="22" t="s">
        <v>12</v>
      </c>
      <c r="P1250" s="22" t="s">
        <v>13</v>
      </c>
      <c r="Q1250" s="22" t="s">
        <v>19</v>
      </c>
    </row>
    <row r="1251" spans="1:17" x14ac:dyDescent="0.3">
      <c r="A1251" s="27">
        <v>27</v>
      </c>
      <c r="B1251" s="24">
        <v>100</v>
      </c>
      <c r="C1251" s="25">
        <f>Sales!$B1251*Sales!$A1251</f>
        <v>2700</v>
      </c>
      <c r="D1251" s="26">
        <v>37951</v>
      </c>
      <c r="E1251" s="27" t="s">
        <v>9</v>
      </c>
      <c r="F1251" s="27">
        <v>4</v>
      </c>
      <c r="G1251" s="27">
        <v>11</v>
      </c>
      <c r="H1251" s="27">
        <v>2003</v>
      </c>
      <c r="I1251" s="27" t="s">
        <v>47</v>
      </c>
      <c r="J1251" s="25">
        <v>143</v>
      </c>
      <c r="K1251" s="25">
        <f>Sales!$B1251-Sales!$J1251</f>
        <v>-43</v>
      </c>
      <c r="L1251" s="28">
        <f>(Sales!$J1251-Sales!$B1251)/Sales!$J1251</f>
        <v>0.30069930069930068</v>
      </c>
      <c r="M1251" s="28" t="str">
        <f t="shared" si="19"/>
        <v>+20%</v>
      </c>
      <c r="N1251" s="27" t="s">
        <v>58</v>
      </c>
      <c r="O1251" s="27" t="s">
        <v>12</v>
      </c>
      <c r="P1251" s="27" t="s">
        <v>13</v>
      </c>
      <c r="Q1251" s="27" t="s">
        <v>19</v>
      </c>
    </row>
    <row r="1252" spans="1:17" x14ac:dyDescent="0.3">
      <c r="A1252" s="22">
        <v>40</v>
      </c>
      <c r="B1252" s="19">
        <v>100</v>
      </c>
      <c r="C1252" s="20">
        <f>Sales!$B1252*Sales!$A1252</f>
        <v>4000</v>
      </c>
      <c r="D1252" s="21">
        <v>37964</v>
      </c>
      <c r="E1252" s="22" t="s">
        <v>9</v>
      </c>
      <c r="F1252" s="22">
        <v>4</v>
      </c>
      <c r="G1252" s="22">
        <v>12</v>
      </c>
      <c r="H1252" s="22">
        <v>2003</v>
      </c>
      <c r="I1252" s="22" t="s">
        <v>47</v>
      </c>
      <c r="J1252" s="20">
        <v>143</v>
      </c>
      <c r="K1252" s="20">
        <f>Sales!$B1252-Sales!$J1252</f>
        <v>-43</v>
      </c>
      <c r="L1252" s="23">
        <f>(Sales!$J1252-Sales!$B1252)/Sales!$J1252</f>
        <v>0.30069930069930068</v>
      </c>
      <c r="M1252" s="23" t="str">
        <f t="shared" si="19"/>
        <v>+20%</v>
      </c>
      <c r="N1252" s="22" t="s">
        <v>83</v>
      </c>
      <c r="O1252" s="22" t="s">
        <v>12</v>
      </c>
      <c r="P1252" s="22" t="s">
        <v>13</v>
      </c>
      <c r="Q1252" s="22" t="s">
        <v>19</v>
      </c>
    </row>
    <row r="1253" spans="1:17" x14ac:dyDescent="0.3">
      <c r="A1253" s="27">
        <v>50</v>
      </c>
      <c r="B1253" s="24">
        <v>100</v>
      </c>
      <c r="C1253" s="25">
        <f>Sales!$B1253*Sales!$A1253</f>
        <v>5000</v>
      </c>
      <c r="D1253" s="26">
        <v>38029</v>
      </c>
      <c r="E1253" s="27" t="s">
        <v>9</v>
      </c>
      <c r="F1253" s="27">
        <v>1</v>
      </c>
      <c r="G1253" s="27">
        <v>2</v>
      </c>
      <c r="H1253" s="27">
        <v>2004</v>
      </c>
      <c r="I1253" s="27" t="s">
        <v>47</v>
      </c>
      <c r="J1253" s="25">
        <v>143</v>
      </c>
      <c r="K1253" s="25">
        <f>Sales!$B1253-Sales!$J1253</f>
        <v>-43</v>
      </c>
      <c r="L1253" s="28">
        <f>(Sales!$J1253-Sales!$B1253)/Sales!$J1253</f>
        <v>0.30069930069930068</v>
      </c>
      <c r="M1253" s="28" t="str">
        <f t="shared" si="19"/>
        <v>+20%</v>
      </c>
      <c r="N1253" s="27" t="s">
        <v>100</v>
      </c>
      <c r="O1253" s="27" t="s">
        <v>101</v>
      </c>
      <c r="P1253" s="27" t="s">
        <v>17</v>
      </c>
      <c r="Q1253" s="27" t="s">
        <v>39</v>
      </c>
    </row>
    <row r="1254" spans="1:17" x14ac:dyDescent="0.3">
      <c r="A1254" s="22">
        <v>42</v>
      </c>
      <c r="B1254" s="19">
        <v>100</v>
      </c>
      <c r="C1254" s="20">
        <f>Sales!$B1254*Sales!$A1254</f>
        <v>4200</v>
      </c>
      <c r="D1254" s="21">
        <v>38061</v>
      </c>
      <c r="E1254" s="22" t="s">
        <v>9</v>
      </c>
      <c r="F1254" s="22">
        <v>1</v>
      </c>
      <c r="G1254" s="22">
        <v>3</v>
      </c>
      <c r="H1254" s="22">
        <v>2004</v>
      </c>
      <c r="I1254" s="22" t="s">
        <v>47</v>
      </c>
      <c r="J1254" s="20">
        <v>143</v>
      </c>
      <c r="K1254" s="20">
        <f>Sales!$B1254-Sales!$J1254</f>
        <v>-43</v>
      </c>
      <c r="L1254" s="23">
        <f>(Sales!$J1254-Sales!$B1254)/Sales!$J1254</f>
        <v>0.30069930069930068</v>
      </c>
      <c r="M1254" s="23" t="str">
        <f t="shared" si="19"/>
        <v>+20%</v>
      </c>
      <c r="N1254" s="22" t="s">
        <v>98</v>
      </c>
      <c r="O1254" s="22" t="s">
        <v>94</v>
      </c>
      <c r="P1254" s="22" t="s">
        <v>17</v>
      </c>
      <c r="Q1254" s="22" t="s">
        <v>39</v>
      </c>
    </row>
    <row r="1255" spans="1:17" x14ac:dyDescent="0.3">
      <c r="A1255" s="27">
        <v>48</v>
      </c>
      <c r="B1255" s="24">
        <v>100</v>
      </c>
      <c r="C1255" s="25">
        <f>Sales!$B1255*Sales!$A1255</f>
        <v>4800</v>
      </c>
      <c r="D1255" s="26">
        <v>38112</v>
      </c>
      <c r="E1255" s="27" t="s">
        <v>9</v>
      </c>
      <c r="F1255" s="27">
        <v>2</v>
      </c>
      <c r="G1255" s="27">
        <v>5</v>
      </c>
      <c r="H1255" s="27">
        <v>2004</v>
      </c>
      <c r="I1255" s="27" t="s">
        <v>47</v>
      </c>
      <c r="J1255" s="25">
        <v>143</v>
      </c>
      <c r="K1255" s="25">
        <f>Sales!$B1255-Sales!$J1255</f>
        <v>-43</v>
      </c>
      <c r="L1255" s="28">
        <f>(Sales!$J1255-Sales!$B1255)/Sales!$J1255</f>
        <v>0.30069930069930068</v>
      </c>
      <c r="M1255" s="28" t="str">
        <f t="shared" si="19"/>
        <v>+20%</v>
      </c>
      <c r="N1255" s="27" t="s">
        <v>99</v>
      </c>
      <c r="O1255" s="27" t="s">
        <v>34</v>
      </c>
      <c r="P1255" s="27" t="s">
        <v>17</v>
      </c>
      <c r="Q1255" s="27" t="s">
        <v>19</v>
      </c>
    </row>
    <row r="1256" spans="1:17" x14ac:dyDescent="0.3">
      <c r="A1256" s="22">
        <v>25</v>
      </c>
      <c r="B1256" s="19">
        <v>100</v>
      </c>
      <c r="C1256" s="20">
        <f>Sales!$B1256*Sales!$A1256</f>
        <v>2500</v>
      </c>
      <c r="D1256" s="21">
        <v>38188</v>
      </c>
      <c r="E1256" s="22" t="s">
        <v>9</v>
      </c>
      <c r="F1256" s="22">
        <v>3</v>
      </c>
      <c r="G1256" s="22">
        <v>7</v>
      </c>
      <c r="H1256" s="22">
        <v>2004</v>
      </c>
      <c r="I1256" s="22" t="s">
        <v>47</v>
      </c>
      <c r="J1256" s="20">
        <v>143</v>
      </c>
      <c r="K1256" s="20">
        <f>Sales!$B1256-Sales!$J1256</f>
        <v>-43</v>
      </c>
      <c r="L1256" s="23">
        <f>(Sales!$J1256-Sales!$B1256)/Sales!$J1256</f>
        <v>0.30069930069930068</v>
      </c>
      <c r="M1256" s="23" t="str">
        <f t="shared" si="19"/>
        <v>+20%</v>
      </c>
      <c r="N1256" s="22" t="s">
        <v>36</v>
      </c>
      <c r="O1256" s="22" t="s">
        <v>12</v>
      </c>
      <c r="P1256" s="22" t="s">
        <v>13</v>
      </c>
      <c r="Q1256" s="22" t="s">
        <v>19</v>
      </c>
    </row>
    <row r="1257" spans="1:17" x14ac:dyDescent="0.3">
      <c r="A1257" s="27">
        <v>31</v>
      </c>
      <c r="B1257" s="24">
        <v>100</v>
      </c>
      <c r="C1257" s="25">
        <f>Sales!$B1257*Sales!$A1257</f>
        <v>3100</v>
      </c>
      <c r="D1257" s="26">
        <v>38219</v>
      </c>
      <c r="E1257" s="27" t="s">
        <v>9</v>
      </c>
      <c r="F1257" s="27">
        <v>3</v>
      </c>
      <c r="G1257" s="27">
        <v>8</v>
      </c>
      <c r="H1257" s="27">
        <v>2004</v>
      </c>
      <c r="I1257" s="27" t="s">
        <v>47</v>
      </c>
      <c r="J1257" s="25">
        <v>143</v>
      </c>
      <c r="K1257" s="25">
        <f>Sales!$B1257-Sales!$J1257</f>
        <v>-43</v>
      </c>
      <c r="L1257" s="28">
        <f>(Sales!$J1257-Sales!$B1257)/Sales!$J1257</f>
        <v>0.30069930069930068</v>
      </c>
      <c r="M1257" s="28" t="str">
        <f t="shared" si="19"/>
        <v>+20%</v>
      </c>
      <c r="N1257" s="27" t="s">
        <v>64</v>
      </c>
      <c r="O1257" s="27" t="s">
        <v>12</v>
      </c>
      <c r="P1257" s="27" t="s">
        <v>13</v>
      </c>
      <c r="Q1257" s="27" t="s">
        <v>19</v>
      </c>
    </row>
    <row r="1258" spans="1:17" x14ac:dyDescent="0.3">
      <c r="A1258" s="22">
        <v>44</v>
      </c>
      <c r="B1258" s="19">
        <v>100</v>
      </c>
      <c r="C1258" s="20">
        <f>Sales!$B1258*Sales!$A1258</f>
        <v>4400</v>
      </c>
      <c r="D1258" s="21">
        <v>38238</v>
      </c>
      <c r="E1258" s="22" t="s">
        <v>9</v>
      </c>
      <c r="F1258" s="22">
        <v>3</v>
      </c>
      <c r="G1258" s="22">
        <v>9</v>
      </c>
      <c r="H1258" s="22">
        <v>2004</v>
      </c>
      <c r="I1258" s="22" t="s">
        <v>47</v>
      </c>
      <c r="J1258" s="20">
        <v>143</v>
      </c>
      <c r="K1258" s="20">
        <f>Sales!$B1258-Sales!$J1258</f>
        <v>-43</v>
      </c>
      <c r="L1258" s="23">
        <f>(Sales!$J1258-Sales!$B1258)/Sales!$J1258</f>
        <v>0.30069930069930068</v>
      </c>
      <c r="M1258" s="23" t="str">
        <f t="shared" si="19"/>
        <v>+20%</v>
      </c>
      <c r="N1258" s="22" t="s">
        <v>11</v>
      </c>
      <c r="O1258" s="22" t="s">
        <v>12</v>
      </c>
      <c r="P1258" s="22" t="s">
        <v>13</v>
      </c>
      <c r="Q1258" s="22" t="s">
        <v>39</v>
      </c>
    </row>
    <row r="1259" spans="1:17" x14ac:dyDescent="0.3">
      <c r="A1259" s="27">
        <v>23</v>
      </c>
      <c r="B1259" s="24">
        <v>100</v>
      </c>
      <c r="C1259" s="25">
        <f>Sales!$B1259*Sales!$A1259</f>
        <v>2300</v>
      </c>
      <c r="D1259" s="26">
        <v>38274</v>
      </c>
      <c r="E1259" s="27" t="s">
        <v>9</v>
      </c>
      <c r="F1259" s="27">
        <v>4</v>
      </c>
      <c r="G1259" s="27">
        <v>10</v>
      </c>
      <c r="H1259" s="27">
        <v>2004</v>
      </c>
      <c r="I1259" s="27" t="s">
        <v>47</v>
      </c>
      <c r="J1259" s="25">
        <v>143</v>
      </c>
      <c r="K1259" s="25">
        <f>Sales!$B1259-Sales!$J1259</f>
        <v>-43</v>
      </c>
      <c r="L1259" s="28">
        <f>(Sales!$J1259-Sales!$B1259)/Sales!$J1259</f>
        <v>0.30069930069930068</v>
      </c>
      <c r="M1259" s="28" t="str">
        <f t="shared" si="19"/>
        <v>+20%</v>
      </c>
      <c r="N1259" s="27" t="s">
        <v>102</v>
      </c>
      <c r="O1259" s="27" t="s">
        <v>43</v>
      </c>
      <c r="P1259" s="27" t="s">
        <v>17</v>
      </c>
      <c r="Q1259" s="27" t="s">
        <v>19</v>
      </c>
    </row>
    <row r="1260" spans="1:17" x14ac:dyDescent="0.3">
      <c r="A1260" s="22">
        <v>29</v>
      </c>
      <c r="B1260" s="19">
        <v>100</v>
      </c>
      <c r="C1260" s="20">
        <f>Sales!$B1260*Sales!$A1260</f>
        <v>2900</v>
      </c>
      <c r="D1260" s="21">
        <v>38282</v>
      </c>
      <c r="E1260" s="22" t="s">
        <v>9</v>
      </c>
      <c r="F1260" s="22">
        <v>4</v>
      </c>
      <c r="G1260" s="22">
        <v>10</v>
      </c>
      <c r="H1260" s="22">
        <v>2004</v>
      </c>
      <c r="I1260" s="22" t="s">
        <v>47</v>
      </c>
      <c r="J1260" s="20">
        <v>143</v>
      </c>
      <c r="K1260" s="20">
        <f>Sales!$B1260-Sales!$J1260</f>
        <v>-43</v>
      </c>
      <c r="L1260" s="23">
        <f>(Sales!$J1260-Sales!$B1260)/Sales!$J1260</f>
        <v>0.30069930069930068</v>
      </c>
      <c r="M1260" s="23" t="str">
        <f t="shared" si="19"/>
        <v>+20%</v>
      </c>
      <c r="N1260" s="22" t="s">
        <v>103</v>
      </c>
      <c r="O1260" s="22" t="s">
        <v>73</v>
      </c>
      <c r="P1260" s="22" t="s">
        <v>17</v>
      </c>
      <c r="Q1260" s="22" t="s">
        <v>19</v>
      </c>
    </row>
    <row r="1261" spans="1:17" x14ac:dyDescent="0.3">
      <c r="A1261" s="27">
        <v>49</v>
      </c>
      <c r="B1261" s="24">
        <v>100</v>
      </c>
      <c r="C1261" s="25">
        <f>Sales!$B1261*Sales!$A1261</f>
        <v>4900</v>
      </c>
      <c r="D1261" s="26">
        <v>38296</v>
      </c>
      <c r="E1261" s="27" t="s">
        <v>9</v>
      </c>
      <c r="F1261" s="27">
        <v>4</v>
      </c>
      <c r="G1261" s="27">
        <v>11</v>
      </c>
      <c r="H1261" s="27">
        <v>2004</v>
      </c>
      <c r="I1261" s="27" t="s">
        <v>47</v>
      </c>
      <c r="J1261" s="25">
        <v>143</v>
      </c>
      <c r="K1261" s="25">
        <f>Sales!$B1261-Sales!$J1261</f>
        <v>-43</v>
      </c>
      <c r="L1261" s="28">
        <f>(Sales!$J1261-Sales!$B1261)/Sales!$J1261</f>
        <v>0.30069930069930068</v>
      </c>
      <c r="M1261" s="28" t="str">
        <f t="shared" si="19"/>
        <v>+20%</v>
      </c>
      <c r="N1261" s="27" t="s">
        <v>11</v>
      </c>
      <c r="O1261" s="27" t="s">
        <v>12</v>
      </c>
      <c r="P1261" s="27" t="s">
        <v>13</v>
      </c>
      <c r="Q1261" s="27" t="s">
        <v>19</v>
      </c>
    </row>
    <row r="1262" spans="1:17" x14ac:dyDescent="0.3">
      <c r="A1262" s="22">
        <v>36</v>
      </c>
      <c r="B1262" s="19">
        <v>100</v>
      </c>
      <c r="C1262" s="20">
        <f>Sales!$B1262*Sales!$A1262</f>
        <v>3600</v>
      </c>
      <c r="D1262" s="21">
        <v>38312</v>
      </c>
      <c r="E1262" s="22" t="s">
        <v>9</v>
      </c>
      <c r="F1262" s="22">
        <v>4</v>
      </c>
      <c r="G1262" s="22">
        <v>11</v>
      </c>
      <c r="H1262" s="22">
        <v>2004</v>
      </c>
      <c r="I1262" s="22" t="s">
        <v>47</v>
      </c>
      <c r="J1262" s="20">
        <v>143</v>
      </c>
      <c r="K1262" s="20">
        <f>Sales!$B1262-Sales!$J1262</f>
        <v>-43</v>
      </c>
      <c r="L1262" s="23">
        <f>(Sales!$J1262-Sales!$B1262)/Sales!$J1262</f>
        <v>0.30069930069930068</v>
      </c>
      <c r="M1262" s="23" t="str">
        <f t="shared" si="19"/>
        <v>+20%</v>
      </c>
      <c r="N1262" s="22" t="s">
        <v>11</v>
      </c>
      <c r="O1262" s="22" t="s">
        <v>12</v>
      </c>
      <c r="P1262" s="22" t="s">
        <v>13</v>
      </c>
      <c r="Q1262" s="22" t="s">
        <v>19</v>
      </c>
    </row>
    <row r="1263" spans="1:17" x14ac:dyDescent="0.3">
      <c r="A1263" s="27">
        <v>34</v>
      </c>
      <c r="B1263" s="24">
        <v>100</v>
      </c>
      <c r="C1263" s="25">
        <f>Sales!$B1263*Sales!$A1263</f>
        <v>3400</v>
      </c>
      <c r="D1263" s="26">
        <v>38322</v>
      </c>
      <c r="E1263" s="27" t="s">
        <v>9</v>
      </c>
      <c r="F1263" s="27">
        <v>4</v>
      </c>
      <c r="G1263" s="27">
        <v>12</v>
      </c>
      <c r="H1263" s="27">
        <v>2004</v>
      </c>
      <c r="I1263" s="27" t="s">
        <v>47</v>
      </c>
      <c r="J1263" s="25">
        <v>143</v>
      </c>
      <c r="K1263" s="25">
        <f>Sales!$B1263-Sales!$J1263</f>
        <v>-43</v>
      </c>
      <c r="L1263" s="28">
        <f>(Sales!$J1263-Sales!$B1263)/Sales!$J1263</f>
        <v>0.30069930069930068</v>
      </c>
      <c r="M1263" s="28" t="str">
        <f t="shared" si="19"/>
        <v>+20%</v>
      </c>
      <c r="N1263" s="27" t="s">
        <v>11</v>
      </c>
      <c r="O1263" s="27" t="s">
        <v>12</v>
      </c>
      <c r="P1263" s="27" t="s">
        <v>13</v>
      </c>
      <c r="Q1263" s="27" t="s">
        <v>19</v>
      </c>
    </row>
    <row r="1264" spans="1:17" x14ac:dyDescent="0.3">
      <c r="A1264" s="22">
        <v>25</v>
      </c>
      <c r="B1264" s="19">
        <v>100</v>
      </c>
      <c r="C1264" s="20">
        <f>Sales!$B1264*Sales!$A1264</f>
        <v>2500</v>
      </c>
      <c r="D1264" s="21">
        <v>38331</v>
      </c>
      <c r="E1264" s="22" t="s">
        <v>9</v>
      </c>
      <c r="F1264" s="22">
        <v>4</v>
      </c>
      <c r="G1264" s="22">
        <v>12</v>
      </c>
      <c r="H1264" s="22">
        <v>2004</v>
      </c>
      <c r="I1264" s="22" t="s">
        <v>47</v>
      </c>
      <c r="J1264" s="20">
        <v>143</v>
      </c>
      <c r="K1264" s="20">
        <f>Sales!$B1264-Sales!$J1264</f>
        <v>-43</v>
      </c>
      <c r="L1264" s="23">
        <f>(Sales!$J1264-Sales!$B1264)/Sales!$J1264</f>
        <v>0.30069930069930068</v>
      </c>
      <c r="M1264" s="23" t="str">
        <f t="shared" si="19"/>
        <v>+20%</v>
      </c>
      <c r="N1264" s="22" t="s">
        <v>45</v>
      </c>
      <c r="O1264" s="22" t="s">
        <v>46</v>
      </c>
      <c r="P1264" s="22" t="s">
        <v>17</v>
      </c>
      <c r="Q1264" s="22" t="s">
        <v>14</v>
      </c>
    </row>
    <row r="1265" spans="1:17" x14ac:dyDescent="0.3">
      <c r="A1265" s="27">
        <v>48</v>
      </c>
      <c r="B1265" s="24">
        <v>100</v>
      </c>
      <c r="C1265" s="25">
        <f>Sales!$B1265*Sales!$A1265</f>
        <v>4800</v>
      </c>
      <c r="D1265" s="26">
        <v>38378</v>
      </c>
      <c r="E1265" s="27" t="s">
        <v>9</v>
      </c>
      <c r="F1265" s="27">
        <v>1</v>
      </c>
      <c r="G1265" s="27">
        <v>1</v>
      </c>
      <c r="H1265" s="27">
        <v>2005</v>
      </c>
      <c r="I1265" s="27" t="s">
        <v>47</v>
      </c>
      <c r="J1265" s="25">
        <v>143</v>
      </c>
      <c r="K1265" s="25">
        <f>Sales!$B1265-Sales!$J1265</f>
        <v>-43</v>
      </c>
      <c r="L1265" s="28">
        <f>(Sales!$J1265-Sales!$B1265)/Sales!$J1265</f>
        <v>0.30069930069930068</v>
      </c>
      <c r="M1265" s="28" t="str">
        <f t="shared" si="19"/>
        <v>+20%</v>
      </c>
      <c r="N1265" s="27" t="s">
        <v>59</v>
      </c>
      <c r="O1265" s="27" t="s">
        <v>51</v>
      </c>
      <c r="P1265" s="27" t="s">
        <v>51</v>
      </c>
      <c r="Q1265" s="27" t="s">
        <v>39</v>
      </c>
    </row>
    <row r="1266" spans="1:17" x14ac:dyDescent="0.3">
      <c r="A1266" s="22">
        <v>38</v>
      </c>
      <c r="B1266" s="19">
        <v>100</v>
      </c>
      <c r="C1266" s="20">
        <f>Sales!$B1266*Sales!$A1266</f>
        <v>3800</v>
      </c>
      <c r="D1266" s="21">
        <v>38405</v>
      </c>
      <c r="E1266" s="22" t="s">
        <v>9</v>
      </c>
      <c r="F1266" s="22">
        <v>1</v>
      </c>
      <c r="G1266" s="22">
        <v>2</v>
      </c>
      <c r="H1266" s="22">
        <v>2005</v>
      </c>
      <c r="I1266" s="22" t="s">
        <v>47</v>
      </c>
      <c r="J1266" s="20">
        <v>143</v>
      </c>
      <c r="K1266" s="20">
        <f>Sales!$B1266-Sales!$J1266</f>
        <v>-43</v>
      </c>
      <c r="L1266" s="23">
        <f>(Sales!$J1266-Sales!$B1266)/Sales!$J1266</f>
        <v>0.30069930069930068</v>
      </c>
      <c r="M1266" s="23" t="str">
        <f t="shared" si="19"/>
        <v>+20%</v>
      </c>
      <c r="N1266" s="22" t="s">
        <v>45</v>
      </c>
      <c r="O1266" s="22" t="s">
        <v>46</v>
      </c>
      <c r="P1266" s="22" t="s">
        <v>17</v>
      </c>
      <c r="Q1266" s="22" t="s">
        <v>19</v>
      </c>
    </row>
    <row r="1267" spans="1:17" x14ac:dyDescent="0.3">
      <c r="A1267" s="27">
        <v>37</v>
      </c>
      <c r="B1267" s="24">
        <v>100</v>
      </c>
      <c r="C1267" s="25">
        <f>Sales!$B1267*Sales!$A1267</f>
        <v>3700</v>
      </c>
      <c r="D1267" s="26">
        <v>38426</v>
      </c>
      <c r="E1267" s="27" t="s">
        <v>9</v>
      </c>
      <c r="F1267" s="27">
        <v>1</v>
      </c>
      <c r="G1267" s="27">
        <v>3</v>
      </c>
      <c r="H1267" s="27">
        <v>2005</v>
      </c>
      <c r="I1267" s="27" t="s">
        <v>47</v>
      </c>
      <c r="J1267" s="25">
        <v>143</v>
      </c>
      <c r="K1267" s="25">
        <f>Sales!$B1267-Sales!$J1267</f>
        <v>-43</v>
      </c>
      <c r="L1267" s="28">
        <f>(Sales!$J1267-Sales!$B1267)/Sales!$J1267</f>
        <v>0.30069930069930068</v>
      </c>
      <c r="M1267" s="28" t="str">
        <f t="shared" si="19"/>
        <v>+20%</v>
      </c>
      <c r="N1267" s="27" t="s">
        <v>45</v>
      </c>
      <c r="O1267" s="27" t="s">
        <v>46</v>
      </c>
      <c r="P1267" s="27" t="s">
        <v>17</v>
      </c>
      <c r="Q1267" s="27" t="s">
        <v>19</v>
      </c>
    </row>
    <row r="1268" spans="1:17" x14ac:dyDescent="0.3">
      <c r="A1268" s="22">
        <v>49</v>
      </c>
      <c r="B1268" s="19">
        <v>100</v>
      </c>
      <c r="C1268" s="20">
        <f>Sales!$B1268*Sales!$A1268</f>
        <v>4900</v>
      </c>
      <c r="D1268" s="21">
        <v>38477</v>
      </c>
      <c r="E1268" s="22" t="s">
        <v>9</v>
      </c>
      <c r="F1268" s="22">
        <v>2</v>
      </c>
      <c r="G1268" s="22">
        <v>5</v>
      </c>
      <c r="H1268" s="22">
        <v>2005</v>
      </c>
      <c r="I1268" s="22" t="s">
        <v>47</v>
      </c>
      <c r="J1268" s="20">
        <v>143</v>
      </c>
      <c r="K1268" s="20">
        <f>Sales!$B1268-Sales!$J1268</f>
        <v>-43</v>
      </c>
      <c r="L1268" s="23">
        <f>(Sales!$J1268-Sales!$B1268)/Sales!$J1268</f>
        <v>0.30069930069930068</v>
      </c>
      <c r="M1268" s="23" t="str">
        <f t="shared" si="19"/>
        <v>+20%</v>
      </c>
      <c r="N1268" s="22" t="s">
        <v>30</v>
      </c>
      <c r="O1268" s="22" t="s">
        <v>12</v>
      </c>
      <c r="P1268" s="22" t="s">
        <v>13</v>
      </c>
      <c r="Q1268" s="22" t="s">
        <v>19</v>
      </c>
    </row>
    <row r="1269" spans="1:17" x14ac:dyDescent="0.3">
      <c r="A1269" s="27">
        <v>22</v>
      </c>
      <c r="B1269" s="24">
        <v>86.51</v>
      </c>
      <c r="C1269" s="25">
        <f>Sales!$B1269*Sales!$A1269</f>
        <v>1903.22</v>
      </c>
      <c r="D1269" s="26">
        <v>37627</v>
      </c>
      <c r="E1269" s="27" t="s">
        <v>9</v>
      </c>
      <c r="F1269" s="27">
        <v>1</v>
      </c>
      <c r="G1269" s="27">
        <v>1</v>
      </c>
      <c r="H1269" s="27">
        <v>2003</v>
      </c>
      <c r="I1269" s="27" t="s">
        <v>112</v>
      </c>
      <c r="J1269" s="25">
        <v>92</v>
      </c>
      <c r="K1269" s="25">
        <f>Sales!$B1269-Sales!$J1269</f>
        <v>-5.4899999999999949</v>
      </c>
      <c r="L1269" s="28">
        <f>(Sales!$J1269-Sales!$B1269)/Sales!$J1269</f>
        <v>5.9673913043478202E-2</v>
      </c>
      <c r="M1269" s="28" t="str">
        <f t="shared" si="19"/>
        <v>5%-10%</v>
      </c>
      <c r="N1269" s="27" t="s">
        <v>65</v>
      </c>
      <c r="O1269" s="27" t="s">
        <v>12</v>
      </c>
      <c r="P1269" s="27" t="s">
        <v>13</v>
      </c>
      <c r="Q1269" s="27" t="s">
        <v>14</v>
      </c>
    </row>
    <row r="1270" spans="1:17" x14ac:dyDescent="0.3">
      <c r="A1270" s="22">
        <v>28</v>
      </c>
      <c r="B1270" s="19">
        <v>89.27</v>
      </c>
      <c r="C1270" s="20">
        <f>Sales!$B1270*Sales!$A1270</f>
        <v>2499.56</v>
      </c>
      <c r="D1270" s="21">
        <v>37698</v>
      </c>
      <c r="E1270" s="22" t="s">
        <v>9</v>
      </c>
      <c r="F1270" s="22">
        <v>1</v>
      </c>
      <c r="G1270" s="22">
        <v>3</v>
      </c>
      <c r="H1270" s="22">
        <v>2003</v>
      </c>
      <c r="I1270" s="22" t="s">
        <v>112</v>
      </c>
      <c r="J1270" s="20">
        <v>92</v>
      </c>
      <c r="K1270" s="20">
        <f>Sales!$B1270-Sales!$J1270</f>
        <v>-2.730000000000004</v>
      </c>
      <c r="L1270" s="23">
        <f>(Sales!$J1270-Sales!$B1270)/Sales!$J1270</f>
        <v>2.9673913043478304E-2</v>
      </c>
      <c r="M1270" s="23" t="str">
        <f t="shared" si="19"/>
        <v>0%-5%</v>
      </c>
      <c r="N1270" s="22" t="s">
        <v>102</v>
      </c>
      <c r="O1270" s="22" t="s">
        <v>43</v>
      </c>
      <c r="P1270" s="22" t="s">
        <v>17</v>
      </c>
      <c r="Q1270" s="22" t="s">
        <v>14</v>
      </c>
    </row>
    <row r="1271" spans="1:17" x14ac:dyDescent="0.3">
      <c r="A1271" s="27">
        <v>36</v>
      </c>
      <c r="B1271" s="24">
        <v>85.59</v>
      </c>
      <c r="C1271" s="25">
        <f>Sales!$B1271*Sales!$A1271</f>
        <v>3081.2400000000002</v>
      </c>
      <c r="D1271" s="26">
        <v>37762</v>
      </c>
      <c r="E1271" s="27" t="s">
        <v>9</v>
      </c>
      <c r="F1271" s="27">
        <v>2</v>
      </c>
      <c r="G1271" s="27">
        <v>5</v>
      </c>
      <c r="H1271" s="27">
        <v>2003</v>
      </c>
      <c r="I1271" s="27" t="s">
        <v>112</v>
      </c>
      <c r="J1271" s="25">
        <v>92</v>
      </c>
      <c r="K1271" s="25">
        <f>Sales!$B1271-Sales!$J1271</f>
        <v>-6.4099999999999966</v>
      </c>
      <c r="L1271" s="28">
        <f>(Sales!$J1271-Sales!$B1271)/Sales!$J1271</f>
        <v>6.9673913043478225E-2</v>
      </c>
      <c r="M1271" s="28" t="str">
        <f t="shared" si="19"/>
        <v>5%-10%</v>
      </c>
      <c r="N1271" s="27" t="s">
        <v>109</v>
      </c>
      <c r="O1271" s="27" t="s">
        <v>12</v>
      </c>
      <c r="P1271" s="27" t="s">
        <v>13</v>
      </c>
      <c r="Q1271" s="27" t="s">
        <v>19</v>
      </c>
    </row>
    <row r="1272" spans="1:17" x14ac:dyDescent="0.3">
      <c r="A1272" s="22">
        <v>34</v>
      </c>
      <c r="B1272" s="19">
        <v>100</v>
      </c>
      <c r="C1272" s="20">
        <f>Sales!$B1272*Sales!$A1272</f>
        <v>3400</v>
      </c>
      <c r="D1272" s="21">
        <v>37875</v>
      </c>
      <c r="E1272" s="22" t="s">
        <v>9</v>
      </c>
      <c r="F1272" s="22">
        <v>3</v>
      </c>
      <c r="G1272" s="22">
        <v>9</v>
      </c>
      <c r="H1272" s="22">
        <v>2003</v>
      </c>
      <c r="I1272" s="22" t="s">
        <v>112</v>
      </c>
      <c r="J1272" s="20">
        <v>92</v>
      </c>
      <c r="K1272" s="20">
        <f>Sales!$B1272-Sales!$J1272</f>
        <v>8</v>
      </c>
      <c r="L1272" s="23">
        <f>(Sales!$J1272-Sales!$B1272)/Sales!$J1272</f>
        <v>-8.6956521739130432E-2</v>
      </c>
      <c r="M1272" s="23" t="str">
        <f t="shared" si="19"/>
        <v>Below 0%</v>
      </c>
      <c r="N1272" s="22" t="s">
        <v>67</v>
      </c>
      <c r="O1272" s="22" t="s">
        <v>27</v>
      </c>
      <c r="P1272" s="22" t="s">
        <v>28</v>
      </c>
      <c r="Q1272" s="22" t="s">
        <v>19</v>
      </c>
    </row>
    <row r="1273" spans="1:17" x14ac:dyDescent="0.3">
      <c r="A1273" s="27">
        <v>39</v>
      </c>
      <c r="B1273" s="24">
        <v>100</v>
      </c>
      <c r="C1273" s="25">
        <f>Sales!$B1273*Sales!$A1273</f>
        <v>3900</v>
      </c>
      <c r="D1273" s="26">
        <v>37912</v>
      </c>
      <c r="E1273" s="27" t="s">
        <v>9</v>
      </c>
      <c r="F1273" s="27">
        <v>4</v>
      </c>
      <c r="G1273" s="27">
        <v>10</v>
      </c>
      <c r="H1273" s="27">
        <v>2003</v>
      </c>
      <c r="I1273" s="27" t="s">
        <v>112</v>
      </c>
      <c r="J1273" s="25">
        <v>92</v>
      </c>
      <c r="K1273" s="25">
        <f>Sales!$B1273-Sales!$J1273</f>
        <v>8</v>
      </c>
      <c r="L1273" s="28">
        <f>(Sales!$J1273-Sales!$B1273)/Sales!$J1273</f>
        <v>-8.6956521739130432E-2</v>
      </c>
      <c r="M1273" s="28" t="str">
        <f t="shared" si="19"/>
        <v>Below 0%</v>
      </c>
      <c r="N1273" s="27" t="s">
        <v>21</v>
      </c>
      <c r="O1273" s="27" t="s">
        <v>12</v>
      </c>
      <c r="P1273" s="27" t="s">
        <v>13</v>
      </c>
      <c r="Q1273" s="27" t="s">
        <v>19</v>
      </c>
    </row>
    <row r="1274" spans="1:17" x14ac:dyDescent="0.3">
      <c r="A1274" s="22">
        <v>21</v>
      </c>
      <c r="B1274" s="19">
        <v>75.459999999999994</v>
      </c>
      <c r="C1274" s="20">
        <f>Sales!$B1274*Sales!$A1274</f>
        <v>1584.6599999999999</v>
      </c>
      <c r="D1274" s="21">
        <v>37930</v>
      </c>
      <c r="E1274" s="22" t="s">
        <v>9</v>
      </c>
      <c r="F1274" s="22">
        <v>4</v>
      </c>
      <c r="G1274" s="22">
        <v>11</v>
      </c>
      <c r="H1274" s="22">
        <v>2003</v>
      </c>
      <c r="I1274" s="22" t="s">
        <v>112</v>
      </c>
      <c r="J1274" s="20">
        <v>92</v>
      </c>
      <c r="K1274" s="20">
        <f>Sales!$B1274-Sales!$J1274</f>
        <v>-16.540000000000006</v>
      </c>
      <c r="L1274" s="23">
        <f>(Sales!$J1274-Sales!$B1274)/Sales!$J1274</f>
        <v>0.17978260869565224</v>
      </c>
      <c r="M1274" s="23" t="str">
        <f t="shared" si="19"/>
        <v>15%-20%</v>
      </c>
      <c r="N1274" s="22" t="s">
        <v>113</v>
      </c>
      <c r="O1274" s="22" t="s">
        <v>61</v>
      </c>
      <c r="P1274" s="22" t="s">
        <v>17</v>
      </c>
      <c r="Q1274" s="22" t="s">
        <v>14</v>
      </c>
    </row>
    <row r="1275" spans="1:17" x14ac:dyDescent="0.3">
      <c r="A1275" s="27">
        <v>36</v>
      </c>
      <c r="B1275" s="24">
        <v>100</v>
      </c>
      <c r="C1275" s="25">
        <f>Sales!$B1275*Sales!$A1275</f>
        <v>3600</v>
      </c>
      <c r="D1275" s="26">
        <v>37937</v>
      </c>
      <c r="E1275" s="27" t="s">
        <v>9</v>
      </c>
      <c r="F1275" s="27">
        <v>4</v>
      </c>
      <c r="G1275" s="27">
        <v>11</v>
      </c>
      <c r="H1275" s="27">
        <v>2003</v>
      </c>
      <c r="I1275" s="27" t="s">
        <v>112</v>
      </c>
      <c r="J1275" s="25">
        <v>92</v>
      </c>
      <c r="K1275" s="25">
        <f>Sales!$B1275-Sales!$J1275</f>
        <v>8</v>
      </c>
      <c r="L1275" s="28">
        <f>(Sales!$J1275-Sales!$B1275)/Sales!$J1275</f>
        <v>-8.6956521739130432E-2</v>
      </c>
      <c r="M1275" s="28" t="str">
        <f t="shared" si="19"/>
        <v>Below 0%</v>
      </c>
      <c r="N1275" s="27" t="s">
        <v>64</v>
      </c>
      <c r="O1275" s="27" t="s">
        <v>12</v>
      </c>
      <c r="P1275" s="27" t="s">
        <v>13</v>
      </c>
      <c r="Q1275" s="27" t="s">
        <v>19</v>
      </c>
    </row>
    <row r="1276" spans="1:17" x14ac:dyDescent="0.3">
      <c r="A1276" s="22">
        <v>24</v>
      </c>
      <c r="B1276" s="19">
        <v>97.55</v>
      </c>
      <c r="C1276" s="20">
        <f>Sales!$B1276*Sales!$A1276</f>
        <v>2341.1999999999998</v>
      </c>
      <c r="D1276" s="21">
        <v>37946</v>
      </c>
      <c r="E1276" s="22" t="s">
        <v>9</v>
      </c>
      <c r="F1276" s="22">
        <v>4</v>
      </c>
      <c r="G1276" s="22">
        <v>11</v>
      </c>
      <c r="H1276" s="22">
        <v>2003</v>
      </c>
      <c r="I1276" s="22" t="s">
        <v>112</v>
      </c>
      <c r="J1276" s="20">
        <v>92</v>
      </c>
      <c r="K1276" s="20">
        <f>Sales!$B1276-Sales!$J1276</f>
        <v>5.5499999999999972</v>
      </c>
      <c r="L1276" s="23">
        <f>(Sales!$J1276-Sales!$B1276)/Sales!$J1276</f>
        <v>-6.032608695652171E-2</v>
      </c>
      <c r="M1276" s="23" t="str">
        <f t="shared" si="19"/>
        <v>Below 0%</v>
      </c>
      <c r="N1276" s="22" t="s">
        <v>114</v>
      </c>
      <c r="O1276" s="22" t="s">
        <v>27</v>
      </c>
      <c r="P1276" s="22" t="s">
        <v>28</v>
      </c>
      <c r="Q1276" s="22" t="s">
        <v>14</v>
      </c>
    </row>
    <row r="1277" spans="1:17" x14ac:dyDescent="0.3">
      <c r="A1277" s="27">
        <v>29</v>
      </c>
      <c r="B1277" s="24">
        <v>85.59</v>
      </c>
      <c r="C1277" s="25">
        <f>Sales!$B1277*Sales!$A1277</f>
        <v>2482.11</v>
      </c>
      <c r="D1277" s="26">
        <v>37957</v>
      </c>
      <c r="E1277" s="27" t="s">
        <v>9</v>
      </c>
      <c r="F1277" s="27">
        <v>4</v>
      </c>
      <c r="G1277" s="27">
        <v>12</v>
      </c>
      <c r="H1277" s="27">
        <v>2003</v>
      </c>
      <c r="I1277" s="27" t="s">
        <v>112</v>
      </c>
      <c r="J1277" s="25">
        <v>92</v>
      </c>
      <c r="K1277" s="25">
        <f>Sales!$B1277-Sales!$J1277</f>
        <v>-6.4099999999999966</v>
      </c>
      <c r="L1277" s="28">
        <f>(Sales!$J1277-Sales!$B1277)/Sales!$J1277</f>
        <v>6.9673913043478225E-2</v>
      </c>
      <c r="M1277" s="28" t="str">
        <f t="shared" si="19"/>
        <v>5%-10%</v>
      </c>
      <c r="N1277" s="27" t="s">
        <v>11</v>
      </c>
      <c r="O1277" s="27" t="s">
        <v>12</v>
      </c>
      <c r="P1277" s="27" t="s">
        <v>13</v>
      </c>
      <c r="Q1277" s="27" t="s">
        <v>14</v>
      </c>
    </row>
    <row r="1278" spans="1:17" x14ac:dyDescent="0.3">
      <c r="A1278" s="22">
        <v>38</v>
      </c>
      <c r="B1278" s="19">
        <v>94.79</v>
      </c>
      <c r="C1278" s="20">
        <f>Sales!$B1278*Sales!$A1278</f>
        <v>3602.0200000000004</v>
      </c>
      <c r="D1278" s="21">
        <v>38008</v>
      </c>
      <c r="E1278" s="22" t="s">
        <v>9</v>
      </c>
      <c r="F1278" s="22">
        <v>1</v>
      </c>
      <c r="G1278" s="22">
        <v>1</v>
      </c>
      <c r="H1278" s="22">
        <v>2004</v>
      </c>
      <c r="I1278" s="22" t="s">
        <v>112</v>
      </c>
      <c r="J1278" s="20">
        <v>92</v>
      </c>
      <c r="K1278" s="20">
        <f>Sales!$B1278-Sales!$J1278</f>
        <v>2.7900000000000063</v>
      </c>
      <c r="L1278" s="23">
        <f>(Sales!$J1278-Sales!$B1278)/Sales!$J1278</f>
        <v>-3.0326086956521808E-2</v>
      </c>
      <c r="M1278" s="23" t="str">
        <f t="shared" si="19"/>
        <v>Below 0%</v>
      </c>
      <c r="N1278" s="22" t="s">
        <v>74</v>
      </c>
      <c r="O1278" s="22" t="s">
        <v>43</v>
      </c>
      <c r="P1278" s="22" t="s">
        <v>17</v>
      </c>
      <c r="Q1278" s="22" t="s">
        <v>19</v>
      </c>
    </row>
    <row r="1279" spans="1:17" x14ac:dyDescent="0.3">
      <c r="A1279" s="27">
        <v>34</v>
      </c>
      <c r="B1279" s="24">
        <v>100</v>
      </c>
      <c r="C1279" s="25">
        <f>Sales!$B1279*Sales!$A1279</f>
        <v>3400</v>
      </c>
      <c r="D1279" s="26">
        <v>38048</v>
      </c>
      <c r="E1279" s="27" t="s">
        <v>9</v>
      </c>
      <c r="F1279" s="27">
        <v>1</v>
      </c>
      <c r="G1279" s="27">
        <v>3</v>
      </c>
      <c r="H1279" s="27">
        <v>2004</v>
      </c>
      <c r="I1279" s="27" t="s">
        <v>112</v>
      </c>
      <c r="J1279" s="25">
        <v>92</v>
      </c>
      <c r="K1279" s="25">
        <f>Sales!$B1279-Sales!$J1279</f>
        <v>8</v>
      </c>
      <c r="L1279" s="28">
        <f>(Sales!$J1279-Sales!$B1279)/Sales!$J1279</f>
        <v>-8.6956521739130432E-2</v>
      </c>
      <c r="M1279" s="28" t="str">
        <f t="shared" si="19"/>
        <v>Below 0%</v>
      </c>
      <c r="N1279" s="27" t="s">
        <v>54</v>
      </c>
      <c r="O1279" s="27" t="s">
        <v>16</v>
      </c>
      <c r="P1279" s="27" t="s">
        <v>17</v>
      </c>
      <c r="Q1279" s="27" t="s">
        <v>19</v>
      </c>
    </row>
    <row r="1280" spans="1:17" x14ac:dyDescent="0.3">
      <c r="A1280" s="22">
        <v>42</v>
      </c>
      <c r="B1280" s="19">
        <v>90.19</v>
      </c>
      <c r="C1280" s="20">
        <f>Sales!$B1280*Sales!$A1280</f>
        <v>3787.98</v>
      </c>
      <c r="D1280" s="21">
        <v>38090</v>
      </c>
      <c r="E1280" s="22" t="s">
        <v>9</v>
      </c>
      <c r="F1280" s="22">
        <v>2</v>
      </c>
      <c r="G1280" s="22">
        <v>4</v>
      </c>
      <c r="H1280" s="22">
        <v>2004</v>
      </c>
      <c r="I1280" s="22" t="s">
        <v>112</v>
      </c>
      <c r="J1280" s="20">
        <v>92</v>
      </c>
      <c r="K1280" s="20">
        <f>Sales!$B1280-Sales!$J1280</f>
        <v>-1.8100000000000023</v>
      </c>
      <c r="L1280" s="23">
        <f>(Sales!$J1280-Sales!$B1280)/Sales!$J1280</f>
        <v>1.9673913043478285E-2</v>
      </c>
      <c r="M1280" s="23" t="str">
        <f t="shared" si="19"/>
        <v>0%-5%</v>
      </c>
      <c r="N1280" s="22" t="s">
        <v>108</v>
      </c>
      <c r="O1280" s="22" t="s">
        <v>16</v>
      </c>
      <c r="P1280" s="22" t="s">
        <v>17</v>
      </c>
      <c r="Q1280" s="22" t="s">
        <v>19</v>
      </c>
    </row>
    <row r="1281" spans="1:17" x14ac:dyDescent="0.3">
      <c r="A1281" s="27">
        <v>35</v>
      </c>
      <c r="B1281" s="24">
        <v>100</v>
      </c>
      <c r="C1281" s="25">
        <f>Sales!$B1281*Sales!$A1281</f>
        <v>3500</v>
      </c>
      <c r="D1281" s="26">
        <v>38216</v>
      </c>
      <c r="E1281" s="27" t="s">
        <v>9</v>
      </c>
      <c r="F1281" s="27">
        <v>3</v>
      </c>
      <c r="G1281" s="27">
        <v>8</v>
      </c>
      <c r="H1281" s="27">
        <v>2004</v>
      </c>
      <c r="I1281" s="27" t="s">
        <v>112</v>
      </c>
      <c r="J1281" s="25">
        <v>92</v>
      </c>
      <c r="K1281" s="25">
        <f>Sales!$B1281-Sales!$J1281</f>
        <v>8</v>
      </c>
      <c r="L1281" s="28">
        <f>(Sales!$J1281-Sales!$B1281)/Sales!$J1281</f>
        <v>-8.6956521739130432E-2</v>
      </c>
      <c r="M1281" s="28" t="str">
        <f t="shared" si="19"/>
        <v>Below 0%</v>
      </c>
      <c r="N1281" s="27" t="s">
        <v>60</v>
      </c>
      <c r="O1281" s="27" t="s">
        <v>61</v>
      </c>
      <c r="P1281" s="27" t="s">
        <v>17</v>
      </c>
      <c r="Q1281" s="27" t="s">
        <v>19</v>
      </c>
    </row>
    <row r="1282" spans="1:17" x14ac:dyDescent="0.3">
      <c r="A1282" s="22">
        <v>35</v>
      </c>
      <c r="B1282" s="19">
        <v>80.989999999999995</v>
      </c>
      <c r="C1282" s="20">
        <f>Sales!$B1282*Sales!$A1282</f>
        <v>2834.6499999999996</v>
      </c>
      <c r="D1282" s="21">
        <v>38231</v>
      </c>
      <c r="E1282" s="22" t="s">
        <v>9</v>
      </c>
      <c r="F1282" s="22">
        <v>3</v>
      </c>
      <c r="G1282" s="22">
        <v>9</v>
      </c>
      <c r="H1282" s="22">
        <v>2004</v>
      </c>
      <c r="I1282" s="22" t="s">
        <v>112</v>
      </c>
      <c r="J1282" s="20">
        <v>92</v>
      </c>
      <c r="K1282" s="20">
        <f>Sales!$B1282-Sales!$J1282</f>
        <v>-11.010000000000005</v>
      </c>
      <c r="L1282" s="23">
        <f>(Sales!$J1282-Sales!$B1282)/Sales!$J1282</f>
        <v>0.11967391304347831</v>
      </c>
      <c r="M1282" s="23" t="str">
        <f t="shared" si="19"/>
        <v>10%-15%</v>
      </c>
      <c r="N1282" s="22" t="s">
        <v>50</v>
      </c>
      <c r="O1282" s="22" t="s">
        <v>50</v>
      </c>
      <c r="P1282" s="22" t="s">
        <v>28</v>
      </c>
      <c r="Q1282" s="22" t="s">
        <v>14</v>
      </c>
    </row>
    <row r="1283" spans="1:17" x14ac:dyDescent="0.3">
      <c r="A1283" s="27">
        <v>38</v>
      </c>
      <c r="B1283" s="24">
        <v>89.27</v>
      </c>
      <c r="C1283" s="25">
        <f>Sales!$B1283*Sales!$A1283</f>
        <v>3392.2599999999998</v>
      </c>
      <c r="D1283" s="26">
        <v>37900</v>
      </c>
      <c r="E1283" s="27" t="s">
        <v>9</v>
      </c>
      <c r="F1283" s="27">
        <v>4</v>
      </c>
      <c r="G1283" s="27">
        <v>10</v>
      </c>
      <c r="H1283" s="27">
        <v>2003</v>
      </c>
      <c r="I1283" s="27" t="s">
        <v>112</v>
      </c>
      <c r="J1283" s="25">
        <v>92</v>
      </c>
      <c r="K1283" s="25">
        <f>Sales!$B1283-Sales!$J1283</f>
        <v>-2.730000000000004</v>
      </c>
      <c r="L1283" s="28">
        <f>(Sales!$J1283-Sales!$B1283)/Sales!$J1283</f>
        <v>2.9673913043478304E-2</v>
      </c>
      <c r="M1283" s="28" t="str">
        <f t="shared" ref="M1283:M1346" si="20">IF(L1283&lt;0%,"Below 0%",IF(L1283=0%,"0%",IF(AND(L1283&lt;=5%,L1283&gt;0%),"0%-5%",IF(AND(L1283&lt;=10%,L1283&gt;5%),"5%-10%",IF(AND(L1283&lt;=15%,L1283&gt;10%),"10%-15%",IF(AND(L1283&lt;=20%,L1283&gt;15%),"15%-20%","+20%"))))))</f>
        <v>0%-5%</v>
      </c>
      <c r="N1283" s="27" t="s">
        <v>42</v>
      </c>
      <c r="O1283" s="27" t="s">
        <v>43</v>
      </c>
      <c r="P1283" s="27" t="s">
        <v>17</v>
      </c>
      <c r="Q1283" s="27" t="s">
        <v>19</v>
      </c>
    </row>
    <row r="1284" spans="1:17" x14ac:dyDescent="0.3">
      <c r="A1284" s="22">
        <v>41</v>
      </c>
      <c r="B1284" s="19">
        <v>81.91</v>
      </c>
      <c r="C1284" s="20">
        <f>Sales!$B1284*Sales!$A1284</f>
        <v>3358.31</v>
      </c>
      <c r="D1284" s="21">
        <v>38276</v>
      </c>
      <c r="E1284" s="22" t="s">
        <v>9</v>
      </c>
      <c r="F1284" s="22">
        <v>4</v>
      </c>
      <c r="G1284" s="22">
        <v>10</v>
      </c>
      <c r="H1284" s="22">
        <v>2004</v>
      </c>
      <c r="I1284" s="22" t="s">
        <v>112</v>
      </c>
      <c r="J1284" s="20">
        <v>92</v>
      </c>
      <c r="K1284" s="20">
        <f>Sales!$B1284-Sales!$J1284</f>
        <v>-10.090000000000003</v>
      </c>
      <c r="L1284" s="23">
        <f>(Sales!$J1284-Sales!$B1284)/Sales!$J1284</f>
        <v>0.1096739130434783</v>
      </c>
      <c r="M1284" s="23" t="str">
        <f t="shared" si="20"/>
        <v>10%-15%</v>
      </c>
      <c r="N1284" s="22" t="s">
        <v>45</v>
      </c>
      <c r="O1284" s="22" t="s">
        <v>46</v>
      </c>
      <c r="P1284" s="22" t="s">
        <v>17</v>
      </c>
      <c r="Q1284" s="22" t="s">
        <v>19</v>
      </c>
    </row>
    <row r="1285" spans="1:17" x14ac:dyDescent="0.3">
      <c r="A1285" s="27">
        <v>50</v>
      </c>
      <c r="B1285" s="24">
        <v>100</v>
      </c>
      <c r="C1285" s="25">
        <f>Sales!$B1285*Sales!$A1285</f>
        <v>5000</v>
      </c>
      <c r="D1285" s="26">
        <v>38308</v>
      </c>
      <c r="E1285" s="27" t="s">
        <v>9</v>
      </c>
      <c r="F1285" s="27">
        <v>4</v>
      </c>
      <c r="G1285" s="27">
        <v>11</v>
      </c>
      <c r="H1285" s="27">
        <v>2004</v>
      </c>
      <c r="I1285" s="27" t="s">
        <v>112</v>
      </c>
      <c r="J1285" s="25">
        <v>92</v>
      </c>
      <c r="K1285" s="25">
        <f>Sales!$B1285-Sales!$J1285</f>
        <v>8</v>
      </c>
      <c r="L1285" s="28">
        <f>(Sales!$J1285-Sales!$B1285)/Sales!$J1285</f>
        <v>-8.6956521739130432E-2</v>
      </c>
      <c r="M1285" s="28" t="str">
        <f t="shared" si="20"/>
        <v>Below 0%</v>
      </c>
      <c r="N1285" s="27" t="s">
        <v>102</v>
      </c>
      <c r="O1285" s="27" t="s">
        <v>43</v>
      </c>
      <c r="P1285" s="27" t="s">
        <v>17</v>
      </c>
      <c r="Q1285" s="27" t="s">
        <v>39</v>
      </c>
    </row>
    <row r="1286" spans="1:17" x14ac:dyDescent="0.3">
      <c r="A1286" s="22">
        <v>21</v>
      </c>
      <c r="B1286" s="19">
        <v>100</v>
      </c>
      <c r="C1286" s="20">
        <f>Sales!$B1286*Sales!$A1286</f>
        <v>2100</v>
      </c>
      <c r="D1286" s="21">
        <v>38316</v>
      </c>
      <c r="E1286" s="22" t="s">
        <v>9</v>
      </c>
      <c r="F1286" s="22">
        <v>4</v>
      </c>
      <c r="G1286" s="22">
        <v>11</v>
      </c>
      <c r="H1286" s="22">
        <v>2004</v>
      </c>
      <c r="I1286" s="22" t="s">
        <v>112</v>
      </c>
      <c r="J1286" s="20">
        <v>92</v>
      </c>
      <c r="K1286" s="20">
        <f>Sales!$B1286-Sales!$J1286</f>
        <v>8</v>
      </c>
      <c r="L1286" s="23">
        <f>(Sales!$J1286-Sales!$B1286)/Sales!$J1286</f>
        <v>-8.6956521739130432E-2</v>
      </c>
      <c r="M1286" s="23" t="str">
        <f t="shared" si="20"/>
        <v>Below 0%</v>
      </c>
      <c r="N1286" s="22" t="s">
        <v>92</v>
      </c>
      <c r="O1286" s="22" t="s">
        <v>16</v>
      </c>
      <c r="P1286" s="22" t="s">
        <v>17</v>
      </c>
      <c r="Q1286" s="22" t="s">
        <v>14</v>
      </c>
    </row>
    <row r="1287" spans="1:17" x14ac:dyDescent="0.3">
      <c r="A1287" s="27">
        <v>43</v>
      </c>
      <c r="B1287" s="24">
        <v>62.72</v>
      </c>
      <c r="C1287" s="25">
        <f>Sales!$B1287*Sales!$A1287</f>
        <v>2696.96</v>
      </c>
      <c r="D1287" s="26">
        <v>38364</v>
      </c>
      <c r="E1287" s="27" t="s">
        <v>88</v>
      </c>
      <c r="F1287" s="27">
        <v>1</v>
      </c>
      <c r="G1287" s="27">
        <v>1</v>
      </c>
      <c r="H1287" s="27">
        <v>2005</v>
      </c>
      <c r="I1287" s="27" t="s">
        <v>112</v>
      </c>
      <c r="J1287" s="25">
        <v>92</v>
      </c>
      <c r="K1287" s="25">
        <f>Sales!$B1287-Sales!$J1287</f>
        <v>-29.28</v>
      </c>
      <c r="L1287" s="28">
        <f>(Sales!$J1287-Sales!$B1287)/Sales!$J1287</f>
        <v>0.31826086956521743</v>
      </c>
      <c r="M1287" s="28" t="str">
        <f t="shared" si="20"/>
        <v>+20%</v>
      </c>
      <c r="N1287" s="27" t="s">
        <v>20</v>
      </c>
      <c r="O1287" s="27" t="s">
        <v>12</v>
      </c>
      <c r="P1287" s="27" t="s">
        <v>13</v>
      </c>
      <c r="Q1287" s="27" t="s">
        <v>14</v>
      </c>
    </row>
    <row r="1288" spans="1:17" x14ac:dyDescent="0.3">
      <c r="A1288" s="22">
        <v>32</v>
      </c>
      <c r="B1288" s="19">
        <v>100</v>
      </c>
      <c r="C1288" s="20">
        <f>Sales!$B1288*Sales!$A1288</f>
        <v>3200</v>
      </c>
      <c r="D1288" s="21">
        <v>38399</v>
      </c>
      <c r="E1288" s="22" t="s">
        <v>9</v>
      </c>
      <c r="F1288" s="22">
        <v>1</v>
      </c>
      <c r="G1288" s="22">
        <v>2</v>
      </c>
      <c r="H1288" s="22">
        <v>2005</v>
      </c>
      <c r="I1288" s="22" t="s">
        <v>112</v>
      </c>
      <c r="J1288" s="20">
        <v>92</v>
      </c>
      <c r="K1288" s="20">
        <f>Sales!$B1288-Sales!$J1288</f>
        <v>8</v>
      </c>
      <c r="L1288" s="23">
        <f>(Sales!$J1288-Sales!$B1288)/Sales!$J1288</f>
        <v>-8.6956521739130432E-2</v>
      </c>
      <c r="M1288" s="23" t="str">
        <f t="shared" si="20"/>
        <v>Below 0%</v>
      </c>
      <c r="N1288" s="22" t="s">
        <v>45</v>
      </c>
      <c r="O1288" s="22" t="s">
        <v>46</v>
      </c>
      <c r="P1288" s="22" t="s">
        <v>17</v>
      </c>
      <c r="Q1288" s="22" t="s">
        <v>19</v>
      </c>
    </row>
    <row r="1289" spans="1:17" x14ac:dyDescent="0.3">
      <c r="A1289" s="27">
        <v>6</v>
      </c>
      <c r="B1289" s="24">
        <v>90.19</v>
      </c>
      <c r="C1289" s="25">
        <f>Sales!$B1289*Sales!$A1289</f>
        <v>541.14</v>
      </c>
      <c r="D1289" s="26">
        <v>38464</v>
      </c>
      <c r="E1289" s="27" t="s">
        <v>87</v>
      </c>
      <c r="F1289" s="27">
        <v>2</v>
      </c>
      <c r="G1289" s="27">
        <v>4</v>
      </c>
      <c r="H1289" s="27">
        <v>2005</v>
      </c>
      <c r="I1289" s="27" t="s">
        <v>112</v>
      </c>
      <c r="J1289" s="25">
        <v>92</v>
      </c>
      <c r="K1289" s="25">
        <f>Sales!$B1289-Sales!$J1289</f>
        <v>-1.8100000000000023</v>
      </c>
      <c r="L1289" s="28">
        <f>(Sales!$J1289-Sales!$B1289)/Sales!$J1289</f>
        <v>1.9673913043478285E-2</v>
      </c>
      <c r="M1289" s="28" t="str">
        <f t="shared" si="20"/>
        <v>0%-5%</v>
      </c>
      <c r="N1289" s="27" t="s">
        <v>86</v>
      </c>
      <c r="O1289" s="27" t="s">
        <v>12</v>
      </c>
      <c r="P1289" s="27" t="s">
        <v>13</v>
      </c>
      <c r="Q1289" s="27" t="s">
        <v>14</v>
      </c>
    </row>
    <row r="1290" spans="1:17" x14ac:dyDescent="0.3">
      <c r="A1290" s="22">
        <v>66</v>
      </c>
      <c r="B1290" s="19">
        <v>92.95</v>
      </c>
      <c r="C1290" s="20">
        <f>Sales!$B1290*Sales!$A1290</f>
        <v>6134.7</v>
      </c>
      <c r="D1290" s="21">
        <v>38501</v>
      </c>
      <c r="E1290" s="22" t="s">
        <v>69</v>
      </c>
      <c r="F1290" s="22">
        <v>2</v>
      </c>
      <c r="G1290" s="22">
        <v>5</v>
      </c>
      <c r="H1290" s="22">
        <v>2005</v>
      </c>
      <c r="I1290" s="22" t="s">
        <v>112</v>
      </c>
      <c r="J1290" s="20">
        <v>92</v>
      </c>
      <c r="K1290" s="20">
        <f>Sales!$B1290-Sales!$J1290</f>
        <v>0.95000000000000284</v>
      </c>
      <c r="L1290" s="23">
        <f>(Sales!$J1290-Sales!$B1290)/Sales!$J1290</f>
        <v>-1.032608695652177E-2</v>
      </c>
      <c r="M1290" s="23" t="str">
        <f t="shared" si="20"/>
        <v>Below 0%</v>
      </c>
      <c r="N1290" s="22" t="s">
        <v>40</v>
      </c>
      <c r="O1290" s="22" t="s">
        <v>27</v>
      </c>
      <c r="P1290" s="22" t="s">
        <v>28</v>
      </c>
      <c r="Q1290" s="22" t="s">
        <v>19</v>
      </c>
    </row>
    <row r="1291" spans="1:17" x14ac:dyDescent="0.3">
      <c r="A1291" s="27">
        <v>41</v>
      </c>
      <c r="B1291" s="24">
        <v>82.5</v>
      </c>
      <c r="C1291" s="25">
        <f>Sales!$B1291*Sales!$A1291</f>
        <v>3382.5</v>
      </c>
      <c r="D1291" s="26">
        <v>37663</v>
      </c>
      <c r="E1291" s="27" t="s">
        <v>9</v>
      </c>
      <c r="F1291" s="27">
        <v>1</v>
      </c>
      <c r="G1291" s="27">
        <v>2</v>
      </c>
      <c r="H1291" s="27">
        <v>2003</v>
      </c>
      <c r="I1291" s="27" t="s">
        <v>112</v>
      </c>
      <c r="J1291" s="25">
        <v>87</v>
      </c>
      <c r="K1291" s="25">
        <f>Sales!$B1291-Sales!$J1291</f>
        <v>-4.5</v>
      </c>
      <c r="L1291" s="28">
        <f>(Sales!$J1291-Sales!$B1291)/Sales!$J1291</f>
        <v>5.1724137931034482E-2</v>
      </c>
      <c r="M1291" s="28" t="s">
        <v>131</v>
      </c>
      <c r="N1291" s="27" t="s">
        <v>72</v>
      </c>
      <c r="O1291" s="27" t="s">
        <v>73</v>
      </c>
      <c r="P1291" s="27" t="s">
        <v>17</v>
      </c>
      <c r="Q1291" s="27" t="s">
        <v>19</v>
      </c>
    </row>
    <row r="1292" spans="1:17" x14ac:dyDescent="0.3">
      <c r="A1292" s="22">
        <v>23</v>
      </c>
      <c r="B1292" s="19">
        <v>97.42</v>
      </c>
      <c r="C1292" s="20">
        <f>Sales!$B1292*Sales!$A1292</f>
        <v>2240.66</v>
      </c>
      <c r="D1292" s="21">
        <v>37727</v>
      </c>
      <c r="E1292" s="22" t="s">
        <v>9</v>
      </c>
      <c r="F1292" s="22">
        <v>2</v>
      </c>
      <c r="G1292" s="22">
        <v>4</v>
      </c>
      <c r="H1292" s="22">
        <v>2003</v>
      </c>
      <c r="I1292" s="22" t="s">
        <v>112</v>
      </c>
      <c r="J1292" s="20">
        <v>87</v>
      </c>
      <c r="K1292" s="20">
        <f>Sales!$B1292-Sales!$J1292</f>
        <v>10.420000000000002</v>
      </c>
      <c r="L1292" s="23">
        <f>(Sales!$J1292-Sales!$B1292)/Sales!$J1292</f>
        <v>-0.11977011494252876</v>
      </c>
      <c r="M1292" s="23" t="str">
        <f t="shared" si="20"/>
        <v>Below 0%</v>
      </c>
      <c r="N1292" s="22" t="s">
        <v>50</v>
      </c>
      <c r="O1292" s="22" t="s">
        <v>50</v>
      </c>
      <c r="P1292" s="22" t="s">
        <v>28</v>
      </c>
      <c r="Q1292" s="22" t="s">
        <v>14</v>
      </c>
    </row>
    <row r="1293" spans="1:17" x14ac:dyDescent="0.3">
      <c r="A1293" s="27">
        <v>43</v>
      </c>
      <c r="B1293" s="24">
        <v>92.16</v>
      </c>
      <c r="C1293" s="25">
        <f>Sales!$B1293*Sales!$A1293</f>
        <v>3962.8799999999997</v>
      </c>
      <c r="D1293" s="26">
        <v>37778</v>
      </c>
      <c r="E1293" s="27" t="s">
        <v>9</v>
      </c>
      <c r="F1293" s="27">
        <v>2</v>
      </c>
      <c r="G1293" s="27">
        <v>6</v>
      </c>
      <c r="H1293" s="27">
        <v>2003</v>
      </c>
      <c r="I1293" s="27" t="s">
        <v>112</v>
      </c>
      <c r="J1293" s="25">
        <v>87</v>
      </c>
      <c r="K1293" s="25">
        <f>Sales!$B1293-Sales!$J1293</f>
        <v>5.1599999999999966</v>
      </c>
      <c r="L1293" s="28">
        <f>(Sales!$J1293-Sales!$B1293)/Sales!$J1293</f>
        <v>-5.9310344827586167E-2</v>
      </c>
      <c r="M1293" s="28" t="str">
        <f t="shared" si="20"/>
        <v>Below 0%</v>
      </c>
      <c r="N1293" s="27" t="s">
        <v>45</v>
      </c>
      <c r="O1293" s="27" t="s">
        <v>46</v>
      </c>
      <c r="P1293" s="27" t="s">
        <v>17</v>
      </c>
      <c r="Q1293" s="27" t="s">
        <v>19</v>
      </c>
    </row>
    <row r="1294" spans="1:17" x14ac:dyDescent="0.3">
      <c r="A1294" s="22">
        <v>24</v>
      </c>
      <c r="B1294" s="19">
        <v>70.22</v>
      </c>
      <c r="C1294" s="20">
        <f>Sales!$B1294*Sales!$A1294</f>
        <v>1685.28</v>
      </c>
      <c r="D1294" s="21">
        <v>37841</v>
      </c>
      <c r="E1294" s="22" t="s">
        <v>9</v>
      </c>
      <c r="F1294" s="22">
        <v>3</v>
      </c>
      <c r="G1294" s="22">
        <v>8</v>
      </c>
      <c r="H1294" s="22">
        <v>2003</v>
      </c>
      <c r="I1294" s="22" t="s">
        <v>112</v>
      </c>
      <c r="J1294" s="20">
        <v>87</v>
      </c>
      <c r="K1294" s="20">
        <f>Sales!$B1294-Sales!$J1294</f>
        <v>-16.78</v>
      </c>
      <c r="L1294" s="23">
        <f>(Sales!$J1294-Sales!$B1294)/Sales!$J1294</f>
        <v>0.19287356321839083</v>
      </c>
      <c r="M1294" s="23" t="str">
        <f t="shared" si="20"/>
        <v>15%-20%</v>
      </c>
      <c r="N1294" s="22" t="s">
        <v>64</v>
      </c>
      <c r="O1294" s="22" t="s">
        <v>12</v>
      </c>
      <c r="P1294" s="22" t="s">
        <v>13</v>
      </c>
      <c r="Q1294" s="22" t="s">
        <v>14</v>
      </c>
    </row>
    <row r="1295" spans="1:17" x14ac:dyDescent="0.3">
      <c r="A1295" s="27">
        <v>22</v>
      </c>
      <c r="B1295" s="24">
        <v>83.38</v>
      </c>
      <c r="C1295" s="25">
        <f>Sales!$B1295*Sales!$A1295</f>
        <v>1834.36</v>
      </c>
      <c r="D1295" s="26">
        <v>37892</v>
      </c>
      <c r="E1295" s="27" t="s">
        <v>9</v>
      </c>
      <c r="F1295" s="27">
        <v>3</v>
      </c>
      <c r="G1295" s="27">
        <v>9</v>
      </c>
      <c r="H1295" s="27">
        <v>2003</v>
      </c>
      <c r="I1295" s="27" t="s">
        <v>112</v>
      </c>
      <c r="J1295" s="25">
        <v>87</v>
      </c>
      <c r="K1295" s="25">
        <f>Sales!$B1295-Sales!$J1295</f>
        <v>-3.6200000000000045</v>
      </c>
      <c r="L1295" s="28">
        <f>(Sales!$J1295-Sales!$B1295)/Sales!$J1295</f>
        <v>4.1609195402298904E-2</v>
      </c>
      <c r="M1295" s="28" t="str">
        <f t="shared" si="20"/>
        <v>0%-5%</v>
      </c>
      <c r="N1295" s="27" t="s">
        <v>45</v>
      </c>
      <c r="O1295" s="27" t="s">
        <v>46</v>
      </c>
      <c r="P1295" s="27" t="s">
        <v>17</v>
      </c>
      <c r="Q1295" s="27" t="s">
        <v>14</v>
      </c>
    </row>
    <row r="1296" spans="1:17" x14ac:dyDescent="0.3">
      <c r="A1296" s="22">
        <v>26</v>
      </c>
      <c r="B1296" s="19">
        <v>73.73</v>
      </c>
      <c r="C1296" s="20">
        <f>Sales!$B1296*Sales!$A1296</f>
        <v>1916.98</v>
      </c>
      <c r="D1296" s="21">
        <v>37915</v>
      </c>
      <c r="E1296" s="22" t="s">
        <v>9</v>
      </c>
      <c r="F1296" s="22">
        <v>4</v>
      </c>
      <c r="G1296" s="22">
        <v>10</v>
      </c>
      <c r="H1296" s="22">
        <v>2003</v>
      </c>
      <c r="I1296" s="22" t="s">
        <v>112</v>
      </c>
      <c r="J1296" s="20">
        <v>87</v>
      </c>
      <c r="K1296" s="20">
        <f>Sales!$B1296-Sales!$J1296</f>
        <v>-13.269999999999996</v>
      </c>
      <c r="L1296" s="23">
        <f>(Sales!$J1296-Sales!$B1296)/Sales!$J1296</f>
        <v>0.15252873563218386</v>
      </c>
      <c r="M1296" s="23" t="s">
        <v>132</v>
      </c>
      <c r="N1296" s="22" t="s">
        <v>41</v>
      </c>
      <c r="O1296" s="22" t="s">
        <v>12</v>
      </c>
      <c r="P1296" s="22" t="s">
        <v>13</v>
      </c>
      <c r="Q1296" s="22" t="s">
        <v>14</v>
      </c>
    </row>
    <row r="1297" spans="1:17" x14ac:dyDescent="0.3">
      <c r="A1297" s="27">
        <v>35</v>
      </c>
      <c r="B1297" s="24">
        <v>74.599999999999994</v>
      </c>
      <c r="C1297" s="25">
        <f>Sales!$B1297*Sales!$A1297</f>
        <v>2611</v>
      </c>
      <c r="D1297" s="26">
        <v>37932</v>
      </c>
      <c r="E1297" s="27" t="s">
        <v>9</v>
      </c>
      <c r="F1297" s="27">
        <v>4</v>
      </c>
      <c r="G1297" s="27">
        <v>11</v>
      </c>
      <c r="H1297" s="27">
        <v>2003</v>
      </c>
      <c r="I1297" s="27" t="s">
        <v>112</v>
      </c>
      <c r="J1297" s="25">
        <v>87</v>
      </c>
      <c r="K1297" s="25">
        <f>Sales!$B1297-Sales!$J1297</f>
        <v>-12.400000000000006</v>
      </c>
      <c r="L1297" s="28">
        <f>(Sales!$J1297-Sales!$B1297)/Sales!$J1297</f>
        <v>0.14252873563218396</v>
      </c>
      <c r="M1297" s="28" t="str">
        <f t="shared" si="20"/>
        <v>10%-15%</v>
      </c>
      <c r="N1297" s="27" t="s">
        <v>45</v>
      </c>
      <c r="O1297" s="27" t="s">
        <v>46</v>
      </c>
      <c r="P1297" s="27" t="s">
        <v>17</v>
      </c>
      <c r="Q1297" s="27" t="s">
        <v>14</v>
      </c>
    </row>
    <row r="1298" spans="1:17" x14ac:dyDescent="0.3">
      <c r="A1298" s="22">
        <v>47</v>
      </c>
      <c r="B1298" s="19">
        <v>77.239999999999995</v>
      </c>
      <c r="C1298" s="20">
        <f>Sales!$B1298*Sales!$A1298</f>
        <v>3630.2799999999997</v>
      </c>
      <c r="D1298" s="21">
        <v>37939</v>
      </c>
      <c r="E1298" s="22" t="s">
        <v>9</v>
      </c>
      <c r="F1298" s="22">
        <v>4</v>
      </c>
      <c r="G1298" s="22">
        <v>11</v>
      </c>
      <c r="H1298" s="22">
        <v>2003</v>
      </c>
      <c r="I1298" s="22" t="s">
        <v>112</v>
      </c>
      <c r="J1298" s="20">
        <v>87</v>
      </c>
      <c r="K1298" s="20">
        <f>Sales!$B1298-Sales!$J1298</f>
        <v>-9.7600000000000051</v>
      </c>
      <c r="L1298" s="23">
        <f>(Sales!$J1298-Sales!$B1298)/Sales!$J1298</f>
        <v>0.11218390804597707</v>
      </c>
      <c r="M1298" s="23" t="str">
        <f t="shared" si="20"/>
        <v>10%-15%</v>
      </c>
      <c r="N1298" s="22" t="s">
        <v>41</v>
      </c>
      <c r="O1298" s="22" t="s">
        <v>12</v>
      </c>
      <c r="P1298" s="22" t="s">
        <v>13</v>
      </c>
      <c r="Q1298" s="22" t="s">
        <v>19</v>
      </c>
    </row>
    <row r="1299" spans="1:17" x14ac:dyDescent="0.3">
      <c r="A1299" s="27">
        <v>50</v>
      </c>
      <c r="B1299" s="24">
        <v>100</v>
      </c>
      <c r="C1299" s="25">
        <f>Sales!$B1299*Sales!$A1299</f>
        <v>5000</v>
      </c>
      <c r="D1299" s="26">
        <v>37951</v>
      </c>
      <c r="E1299" s="27" t="s">
        <v>9</v>
      </c>
      <c r="F1299" s="27">
        <v>4</v>
      </c>
      <c r="G1299" s="27">
        <v>11</v>
      </c>
      <c r="H1299" s="27">
        <v>2003</v>
      </c>
      <c r="I1299" s="27" t="s">
        <v>112</v>
      </c>
      <c r="J1299" s="25">
        <v>87</v>
      </c>
      <c r="K1299" s="25">
        <f>Sales!$B1299-Sales!$J1299</f>
        <v>13</v>
      </c>
      <c r="L1299" s="28">
        <f>(Sales!$J1299-Sales!$B1299)/Sales!$J1299</f>
        <v>-0.14942528735632185</v>
      </c>
      <c r="M1299" s="28" t="str">
        <f t="shared" si="20"/>
        <v>Below 0%</v>
      </c>
      <c r="N1299" s="27" t="s">
        <v>77</v>
      </c>
      <c r="O1299" s="27" t="s">
        <v>46</v>
      </c>
      <c r="P1299" s="27" t="s">
        <v>17</v>
      </c>
      <c r="Q1299" s="27" t="s">
        <v>19</v>
      </c>
    </row>
    <row r="1300" spans="1:17" x14ac:dyDescent="0.3">
      <c r="A1300" s="22">
        <v>45</v>
      </c>
      <c r="B1300" s="19">
        <v>87.77</v>
      </c>
      <c r="C1300" s="20">
        <f>Sales!$B1300*Sales!$A1300</f>
        <v>3949.6499999999996</v>
      </c>
      <c r="D1300" s="21">
        <v>37988</v>
      </c>
      <c r="E1300" s="22" t="s">
        <v>9</v>
      </c>
      <c r="F1300" s="22">
        <v>1</v>
      </c>
      <c r="G1300" s="22">
        <v>1</v>
      </c>
      <c r="H1300" s="22">
        <v>2004</v>
      </c>
      <c r="I1300" s="22" t="s">
        <v>112</v>
      </c>
      <c r="J1300" s="20">
        <v>87</v>
      </c>
      <c r="K1300" s="20">
        <f>Sales!$B1300-Sales!$J1300</f>
        <v>0.76999999999999602</v>
      </c>
      <c r="L1300" s="23">
        <f>(Sales!$J1300-Sales!$B1300)/Sales!$J1300</f>
        <v>-8.8505747126436333E-3</v>
      </c>
      <c r="M1300" s="23" t="str">
        <f t="shared" si="20"/>
        <v>Below 0%</v>
      </c>
      <c r="N1300" s="22" t="s">
        <v>54</v>
      </c>
      <c r="O1300" s="22" t="s">
        <v>16</v>
      </c>
      <c r="P1300" s="22" t="s">
        <v>17</v>
      </c>
      <c r="Q1300" s="22" t="s">
        <v>19</v>
      </c>
    </row>
    <row r="1301" spans="1:17" x14ac:dyDescent="0.3">
      <c r="A1301" s="27">
        <v>39</v>
      </c>
      <c r="B1301" s="24">
        <v>89.53</v>
      </c>
      <c r="C1301" s="25">
        <f>Sales!$B1301*Sales!$A1301</f>
        <v>3491.67</v>
      </c>
      <c r="D1301" s="26">
        <v>38035</v>
      </c>
      <c r="E1301" s="27" t="s">
        <v>9</v>
      </c>
      <c r="F1301" s="27">
        <v>1</v>
      </c>
      <c r="G1301" s="27">
        <v>2</v>
      </c>
      <c r="H1301" s="27">
        <v>2004</v>
      </c>
      <c r="I1301" s="27" t="s">
        <v>112</v>
      </c>
      <c r="J1301" s="25">
        <v>87</v>
      </c>
      <c r="K1301" s="25">
        <f>Sales!$B1301-Sales!$J1301</f>
        <v>2.5300000000000011</v>
      </c>
      <c r="L1301" s="28">
        <f>(Sales!$J1301-Sales!$B1301)/Sales!$J1301</f>
        <v>-2.9080459770114954E-2</v>
      </c>
      <c r="M1301" s="28" t="str">
        <f t="shared" si="20"/>
        <v>Below 0%</v>
      </c>
      <c r="N1301" s="27" t="s">
        <v>80</v>
      </c>
      <c r="O1301" s="27" t="s">
        <v>81</v>
      </c>
      <c r="P1301" s="27" t="s">
        <v>17</v>
      </c>
      <c r="Q1301" s="27" t="s">
        <v>19</v>
      </c>
    </row>
    <row r="1302" spans="1:17" x14ac:dyDescent="0.3">
      <c r="A1302" s="22">
        <v>23</v>
      </c>
      <c r="B1302" s="19">
        <v>89.53</v>
      </c>
      <c r="C1302" s="20">
        <f>Sales!$B1302*Sales!$A1302</f>
        <v>2059.19</v>
      </c>
      <c r="D1302" s="21">
        <v>38066</v>
      </c>
      <c r="E1302" s="22" t="s">
        <v>9</v>
      </c>
      <c r="F1302" s="22">
        <v>1</v>
      </c>
      <c r="G1302" s="22">
        <v>3</v>
      </c>
      <c r="H1302" s="22">
        <v>2004</v>
      </c>
      <c r="I1302" s="22" t="s">
        <v>112</v>
      </c>
      <c r="J1302" s="20">
        <v>87</v>
      </c>
      <c r="K1302" s="20">
        <f>Sales!$B1302-Sales!$J1302</f>
        <v>2.5300000000000011</v>
      </c>
      <c r="L1302" s="23">
        <f>(Sales!$J1302-Sales!$B1302)/Sales!$J1302</f>
        <v>-2.9080459770114954E-2</v>
      </c>
      <c r="M1302" s="23" t="str">
        <f t="shared" si="20"/>
        <v>Below 0%</v>
      </c>
      <c r="N1302" s="22" t="s">
        <v>84</v>
      </c>
      <c r="O1302" s="22" t="s">
        <v>43</v>
      </c>
      <c r="P1302" s="22" t="s">
        <v>17</v>
      </c>
      <c r="Q1302" s="22" t="s">
        <v>14</v>
      </c>
    </row>
    <row r="1303" spans="1:17" x14ac:dyDescent="0.3">
      <c r="A1303" s="27">
        <v>42</v>
      </c>
      <c r="B1303" s="24">
        <v>75.48</v>
      </c>
      <c r="C1303" s="25">
        <f>Sales!$B1303*Sales!$A1303</f>
        <v>3170.1600000000003</v>
      </c>
      <c r="D1303" s="26">
        <v>38114</v>
      </c>
      <c r="E1303" s="27" t="s">
        <v>75</v>
      </c>
      <c r="F1303" s="27">
        <v>2</v>
      </c>
      <c r="G1303" s="27">
        <v>5</v>
      </c>
      <c r="H1303" s="27">
        <v>2004</v>
      </c>
      <c r="I1303" s="27" t="s">
        <v>112</v>
      </c>
      <c r="J1303" s="25">
        <v>87</v>
      </c>
      <c r="K1303" s="25">
        <f>Sales!$B1303-Sales!$J1303</f>
        <v>-11.519999999999996</v>
      </c>
      <c r="L1303" s="28">
        <f>(Sales!$J1303-Sales!$B1303)/Sales!$J1303</f>
        <v>0.13241379310344822</v>
      </c>
      <c r="M1303" s="28" t="str">
        <f t="shared" si="20"/>
        <v>10%-15%</v>
      </c>
      <c r="N1303" s="27" t="s">
        <v>11</v>
      </c>
      <c r="O1303" s="27" t="s">
        <v>12</v>
      </c>
      <c r="P1303" s="27" t="s">
        <v>13</v>
      </c>
      <c r="Q1303" s="27" t="s">
        <v>19</v>
      </c>
    </row>
    <row r="1304" spans="1:17" x14ac:dyDescent="0.3">
      <c r="A1304" s="22">
        <v>20</v>
      </c>
      <c r="B1304" s="19">
        <v>89.53</v>
      </c>
      <c r="C1304" s="20">
        <f>Sales!$B1304*Sales!$A1304</f>
        <v>1790.6</v>
      </c>
      <c r="D1304" s="21">
        <v>38155</v>
      </c>
      <c r="E1304" s="22" t="s">
        <v>9</v>
      </c>
      <c r="F1304" s="22">
        <v>2</v>
      </c>
      <c r="G1304" s="22">
        <v>6</v>
      </c>
      <c r="H1304" s="22">
        <v>2004</v>
      </c>
      <c r="I1304" s="22" t="s">
        <v>112</v>
      </c>
      <c r="J1304" s="20">
        <v>87</v>
      </c>
      <c r="K1304" s="20">
        <f>Sales!$B1304-Sales!$J1304</f>
        <v>2.5300000000000011</v>
      </c>
      <c r="L1304" s="23">
        <f>(Sales!$J1304-Sales!$B1304)/Sales!$J1304</f>
        <v>-2.9080459770114954E-2</v>
      </c>
      <c r="M1304" s="23" t="str">
        <f t="shared" si="20"/>
        <v>Below 0%</v>
      </c>
      <c r="N1304" s="22" t="s">
        <v>68</v>
      </c>
      <c r="O1304" s="22" t="s">
        <v>56</v>
      </c>
      <c r="P1304" s="22" t="s">
        <v>13</v>
      </c>
      <c r="Q1304" s="22" t="s">
        <v>14</v>
      </c>
    </row>
    <row r="1305" spans="1:17" x14ac:dyDescent="0.3">
      <c r="A1305" s="27">
        <v>33</v>
      </c>
      <c r="B1305" s="24">
        <v>71.09</v>
      </c>
      <c r="C1305" s="25">
        <f>Sales!$B1305*Sales!$A1305</f>
        <v>2345.9700000000003</v>
      </c>
      <c r="D1305" s="26">
        <v>38189</v>
      </c>
      <c r="E1305" s="27" t="s">
        <v>9</v>
      </c>
      <c r="F1305" s="27">
        <v>3</v>
      </c>
      <c r="G1305" s="27">
        <v>7</v>
      </c>
      <c r="H1305" s="27">
        <v>2004</v>
      </c>
      <c r="I1305" s="27" t="s">
        <v>112</v>
      </c>
      <c r="J1305" s="25">
        <v>87</v>
      </c>
      <c r="K1305" s="25">
        <f>Sales!$B1305-Sales!$J1305</f>
        <v>-15.909999999999997</v>
      </c>
      <c r="L1305" s="28">
        <f>(Sales!$J1305-Sales!$B1305)/Sales!$J1305</f>
        <v>0.18287356321839077</v>
      </c>
      <c r="M1305" s="28" t="str">
        <f t="shared" si="20"/>
        <v>15%-20%</v>
      </c>
      <c r="N1305" s="27" t="s">
        <v>80</v>
      </c>
      <c r="O1305" s="27" t="s">
        <v>81</v>
      </c>
      <c r="P1305" s="27" t="s">
        <v>17</v>
      </c>
      <c r="Q1305" s="27" t="s">
        <v>14</v>
      </c>
    </row>
    <row r="1306" spans="1:17" x14ac:dyDescent="0.3">
      <c r="A1306" s="22">
        <v>34</v>
      </c>
      <c r="B1306" s="19">
        <v>100</v>
      </c>
      <c r="C1306" s="20">
        <f>Sales!$B1306*Sales!$A1306</f>
        <v>3400</v>
      </c>
      <c r="D1306" s="21">
        <v>38219</v>
      </c>
      <c r="E1306" s="22" t="s">
        <v>9</v>
      </c>
      <c r="F1306" s="22">
        <v>3</v>
      </c>
      <c r="G1306" s="22">
        <v>8</v>
      </c>
      <c r="H1306" s="22">
        <v>2004</v>
      </c>
      <c r="I1306" s="22" t="s">
        <v>112</v>
      </c>
      <c r="J1306" s="20">
        <v>87</v>
      </c>
      <c r="K1306" s="20">
        <f>Sales!$B1306-Sales!$J1306</f>
        <v>13</v>
      </c>
      <c r="L1306" s="23">
        <f>(Sales!$J1306-Sales!$B1306)/Sales!$J1306</f>
        <v>-0.14942528735632185</v>
      </c>
      <c r="M1306" s="23" t="str">
        <f t="shared" si="20"/>
        <v>Below 0%</v>
      </c>
      <c r="N1306" s="22" t="s">
        <v>82</v>
      </c>
      <c r="O1306" s="22" t="s">
        <v>56</v>
      </c>
      <c r="P1306" s="22" t="s">
        <v>13</v>
      </c>
      <c r="Q1306" s="22" t="s">
        <v>19</v>
      </c>
    </row>
    <row r="1307" spans="1:17" x14ac:dyDescent="0.3">
      <c r="A1307" s="27">
        <v>49</v>
      </c>
      <c r="B1307" s="24">
        <v>100</v>
      </c>
      <c r="C1307" s="25">
        <f>Sales!$B1307*Sales!$A1307</f>
        <v>4900</v>
      </c>
      <c r="D1307" s="26">
        <v>38239</v>
      </c>
      <c r="E1307" s="27" t="s">
        <v>9</v>
      </c>
      <c r="F1307" s="27">
        <v>3</v>
      </c>
      <c r="G1307" s="27">
        <v>9</v>
      </c>
      <c r="H1307" s="27">
        <v>2004</v>
      </c>
      <c r="I1307" s="27" t="s">
        <v>112</v>
      </c>
      <c r="J1307" s="25">
        <v>87</v>
      </c>
      <c r="K1307" s="25">
        <f>Sales!$B1307-Sales!$J1307</f>
        <v>13</v>
      </c>
      <c r="L1307" s="28">
        <f>(Sales!$J1307-Sales!$B1307)/Sales!$J1307</f>
        <v>-0.14942528735632185</v>
      </c>
      <c r="M1307" s="28" t="str">
        <f t="shared" si="20"/>
        <v>Below 0%</v>
      </c>
      <c r="N1307" s="27" t="s">
        <v>60</v>
      </c>
      <c r="O1307" s="27" t="s">
        <v>61</v>
      </c>
      <c r="P1307" s="27" t="s">
        <v>17</v>
      </c>
      <c r="Q1307" s="27" t="s">
        <v>19</v>
      </c>
    </row>
    <row r="1308" spans="1:17" x14ac:dyDescent="0.3">
      <c r="A1308" s="22">
        <v>39</v>
      </c>
      <c r="B1308" s="19">
        <v>90.4</v>
      </c>
      <c r="C1308" s="20">
        <f>Sales!$B1308*Sales!$A1308</f>
        <v>3525.6000000000004</v>
      </c>
      <c r="D1308" s="21">
        <v>38274</v>
      </c>
      <c r="E1308" s="22" t="s">
        <v>9</v>
      </c>
      <c r="F1308" s="22">
        <v>4</v>
      </c>
      <c r="G1308" s="22">
        <v>10</v>
      </c>
      <c r="H1308" s="22">
        <v>2004</v>
      </c>
      <c r="I1308" s="22" t="s">
        <v>112</v>
      </c>
      <c r="J1308" s="20">
        <v>87</v>
      </c>
      <c r="K1308" s="20">
        <f>Sales!$B1308-Sales!$J1308</f>
        <v>3.4000000000000057</v>
      </c>
      <c r="L1308" s="23">
        <f>(Sales!$J1308-Sales!$B1308)/Sales!$J1308</f>
        <v>-3.9080459770115004E-2</v>
      </c>
      <c r="M1308" s="23" t="str">
        <f t="shared" si="20"/>
        <v>Below 0%</v>
      </c>
      <c r="N1308" s="22" t="s">
        <v>102</v>
      </c>
      <c r="O1308" s="22" t="s">
        <v>43</v>
      </c>
      <c r="P1308" s="22" t="s">
        <v>17</v>
      </c>
      <c r="Q1308" s="22" t="s">
        <v>19</v>
      </c>
    </row>
    <row r="1309" spans="1:17" x14ac:dyDescent="0.3">
      <c r="A1309" s="27">
        <v>36</v>
      </c>
      <c r="B1309" s="24">
        <v>100</v>
      </c>
      <c r="C1309" s="25">
        <f>Sales!$B1309*Sales!$A1309</f>
        <v>3600</v>
      </c>
      <c r="D1309" s="26">
        <v>38289</v>
      </c>
      <c r="E1309" s="27" t="s">
        <v>9</v>
      </c>
      <c r="F1309" s="27">
        <v>4</v>
      </c>
      <c r="G1309" s="27">
        <v>10</v>
      </c>
      <c r="H1309" s="27">
        <v>2004</v>
      </c>
      <c r="I1309" s="27" t="s">
        <v>112</v>
      </c>
      <c r="J1309" s="25">
        <v>87</v>
      </c>
      <c r="K1309" s="25">
        <f>Sales!$B1309-Sales!$J1309</f>
        <v>13</v>
      </c>
      <c r="L1309" s="28">
        <f>(Sales!$J1309-Sales!$B1309)/Sales!$J1309</f>
        <v>-0.14942528735632185</v>
      </c>
      <c r="M1309" s="28" t="str">
        <f t="shared" si="20"/>
        <v>Below 0%</v>
      </c>
      <c r="N1309" s="27" t="s">
        <v>31</v>
      </c>
      <c r="O1309" s="27" t="s">
        <v>16</v>
      </c>
      <c r="P1309" s="27" t="s">
        <v>17</v>
      </c>
      <c r="Q1309" s="27" t="s">
        <v>19</v>
      </c>
    </row>
    <row r="1310" spans="1:17" x14ac:dyDescent="0.3">
      <c r="A1310" s="22">
        <v>50</v>
      </c>
      <c r="B1310" s="19">
        <v>86.01</v>
      </c>
      <c r="C1310" s="20">
        <f>Sales!$B1310*Sales!$A1310</f>
        <v>4300.5</v>
      </c>
      <c r="D1310" s="21">
        <v>38300</v>
      </c>
      <c r="E1310" s="22" t="s">
        <v>9</v>
      </c>
      <c r="F1310" s="22">
        <v>4</v>
      </c>
      <c r="G1310" s="22">
        <v>11</v>
      </c>
      <c r="H1310" s="22">
        <v>2004</v>
      </c>
      <c r="I1310" s="22" t="s">
        <v>112</v>
      </c>
      <c r="J1310" s="20">
        <v>87</v>
      </c>
      <c r="K1310" s="20">
        <f>Sales!$B1310-Sales!$J1310</f>
        <v>-0.98999999999999488</v>
      </c>
      <c r="L1310" s="23">
        <f>(Sales!$J1310-Sales!$B1310)/Sales!$J1310</f>
        <v>1.1379310344827528E-2</v>
      </c>
      <c r="M1310" s="23" t="str">
        <f t="shared" si="20"/>
        <v>0%-5%</v>
      </c>
      <c r="N1310" s="22" t="s">
        <v>48</v>
      </c>
      <c r="O1310" s="22" t="s">
        <v>49</v>
      </c>
      <c r="P1310" s="22" t="s">
        <v>17</v>
      </c>
      <c r="Q1310" s="22" t="s">
        <v>19</v>
      </c>
    </row>
    <row r="1311" spans="1:17" x14ac:dyDescent="0.3">
      <c r="A1311" s="27">
        <v>29</v>
      </c>
      <c r="B1311" s="24">
        <v>100</v>
      </c>
      <c r="C1311" s="25">
        <f>Sales!$B1311*Sales!$A1311</f>
        <v>2900</v>
      </c>
      <c r="D1311" s="26">
        <v>38312</v>
      </c>
      <c r="E1311" s="27" t="s">
        <v>9</v>
      </c>
      <c r="F1311" s="27">
        <v>4</v>
      </c>
      <c r="G1311" s="27">
        <v>11</v>
      </c>
      <c r="H1311" s="27">
        <v>2004</v>
      </c>
      <c r="I1311" s="27" t="s">
        <v>112</v>
      </c>
      <c r="J1311" s="25">
        <v>87</v>
      </c>
      <c r="K1311" s="25">
        <f>Sales!$B1311-Sales!$J1311</f>
        <v>13</v>
      </c>
      <c r="L1311" s="28">
        <f>(Sales!$J1311-Sales!$B1311)/Sales!$J1311</f>
        <v>-0.14942528735632185</v>
      </c>
      <c r="M1311" s="28" t="str">
        <f t="shared" si="20"/>
        <v>Below 0%</v>
      </c>
      <c r="N1311" s="27" t="s">
        <v>11</v>
      </c>
      <c r="O1311" s="27" t="s">
        <v>12</v>
      </c>
      <c r="P1311" s="27" t="s">
        <v>13</v>
      </c>
      <c r="Q1311" s="27" t="s">
        <v>19</v>
      </c>
    </row>
    <row r="1312" spans="1:17" x14ac:dyDescent="0.3">
      <c r="A1312" s="22">
        <v>30</v>
      </c>
      <c r="B1312" s="19">
        <v>100</v>
      </c>
      <c r="C1312" s="20">
        <f>Sales!$B1312*Sales!$A1312</f>
        <v>3000</v>
      </c>
      <c r="D1312" s="21">
        <v>38323</v>
      </c>
      <c r="E1312" s="22" t="s">
        <v>9</v>
      </c>
      <c r="F1312" s="22">
        <v>4</v>
      </c>
      <c r="G1312" s="22">
        <v>12</v>
      </c>
      <c r="H1312" s="22">
        <v>2004</v>
      </c>
      <c r="I1312" s="22" t="s">
        <v>112</v>
      </c>
      <c r="J1312" s="20">
        <v>87</v>
      </c>
      <c r="K1312" s="20">
        <f>Sales!$B1312-Sales!$J1312</f>
        <v>13</v>
      </c>
      <c r="L1312" s="23">
        <f>(Sales!$J1312-Sales!$B1312)/Sales!$J1312</f>
        <v>-0.14942528735632185</v>
      </c>
      <c r="M1312" s="23" t="str">
        <f t="shared" si="20"/>
        <v>Below 0%</v>
      </c>
      <c r="N1312" s="22" t="s">
        <v>45</v>
      </c>
      <c r="O1312" s="22" t="s">
        <v>46</v>
      </c>
      <c r="P1312" s="22" t="s">
        <v>17</v>
      </c>
      <c r="Q1312" s="22" t="s">
        <v>19</v>
      </c>
    </row>
    <row r="1313" spans="1:17" x14ac:dyDescent="0.3">
      <c r="A1313" s="27">
        <v>41</v>
      </c>
      <c r="B1313" s="24">
        <v>86.89</v>
      </c>
      <c r="C1313" s="25">
        <f>Sales!$B1313*Sales!$A1313</f>
        <v>3562.4900000000002</v>
      </c>
      <c r="D1313" s="26">
        <v>38378</v>
      </c>
      <c r="E1313" s="27" t="s">
        <v>9</v>
      </c>
      <c r="F1313" s="27">
        <v>1</v>
      </c>
      <c r="G1313" s="27">
        <v>1</v>
      </c>
      <c r="H1313" s="27">
        <v>2005</v>
      </c>
      <c r="I1313" s="27" t="s">
        <v>112</v>
      </c>
      <c r="J1313" s="25">
        <v>87</v>
      </c>
      <c r="K1313" s="25">
        <f>Sales!$B1313-Sales!$J1313</f>
        <v>-0.10999999999999943</v>
      </c>
      <c r="L1313" s="28">
        <f>(Sales!$J1313-Sales!$B1313)/Sales!$J1313</f>
        <v>1.2643678160919475E-3</v>
      </c>
      <c r="M1313" s="28" t="s">
        <v>130</v>
      </c>
      <c r="N1313" s="27" t="s">
        <v>59</v>
      </c>
      <c r="O1313" s="27" t="s">
        <v>51</v>
      </c>
      <c r="P1313" s="27" t="s">
        <v>51</v>
      </c>
      <c r="Q1313" s="27" t="s">
        <v>19</v>
      </c>
    </row>
    <row r="1314" spans="1:17" x14ac:dyDescent="0.3">
      <c r="A1314" s="22">
        <v>28</v>
      </c>
      <c r="B1314" s="19">
        <v>58.58</v>
      </c>
      <c r="C1314" s="20">
        <f>Sales!$B1314*Sales!$A1314</f>
        <v>1640.24</v>
      </c>
      <c r="D1314" s="21">
        <v>38405</v>
      </c>
      <c r="E1314" s="22" t="s">
        <v>9</v>
      </c>
      <c r="F1314" s="22">
        <v>1</v>
      </c>
      <c r="G1314" s="22">
        <v>2</v>
      </c>
      <c r="H1314" s="22">
        <v>2005</v>
      </c>
      <c r="I1314" s="22" t="s">
        <v>112</v>
      </c>
      <c r="J1314" s="20">
        <v>87</v>
      </c>
      <c r="K1314" s="20">
        <f>Sales!$B1314-Sales!$J1314</f>
        <v>-28.42</v>
      </c>
      <c r="L1314" s="23">
        <f>(Sales!$J1314-Sales!$B1314)/Sales!$J1314</f>
        <v>0.32666666666666666</v>
      </c>
      <c r="M1314" s="23" t="str">
        <f t="shared" si="20"/>
        <v>+20%</v>
      </c>
      <c r="N1314" s="22" t="s">
        <v>45</v>
      </c>
      <c r="O1314" s="22" t="s">
        <v>46</v>
      </c>
      <c r="P1314" s="22" t="s">
        <v>17</v>
      </c>
      <c r="Q1314" s="22" t="s">
        <v>14</v>
      </c>
    </row>
    <row r="1315" spans="1:17" x14ac:dyDescent="0.3">
      <c r="A1315" s="27">
        <v>45</v>
      </c>
      <c r="B1315" s="24">
        <v>100</v>
      </c>
      <c r="C1315" s="25">
        <f>Sales!$B1315*Sales!$A1315</f>
        <v>4500</v>
      </c>
      <c r="D1315" s="26">
        <v>38434</v>
      </c>
      <c r="E1315" s="27" t="s">
        <v>9</v>
      </c>
      <c r="F1315" s="27">
        <v>1</v>
      </c>
      <c r="G1315" s="27">
        <v>3</v>
      </c>
      <c r="H1315" s="27">
        <v>2005</v>
      </c>
      <c r="I1315" s="27" t="s">
        <v>112</v>
      </c>
      <c r="J1315" s="25">
        <v>87</v>
      </c>
      <c r="K1315" s="25">
        <f>Sales!$B1315-Sales!$J1315</f>
        <v>13</v>
      </c>
      <c r="L1315" s="28">
        <f>(Sales!$J1315-Sales!$B1315)/Sales!$J1315</f>
        <v>-0.14942528735632185</v>
      </c>
      <c r="M1315" s="28" t="str">
        <f t="shared" si="20"/>
        <v>Below 0%</v>
      </c>
      <c r="N1315" s="27" t="s">
        <v>64</v>
      </c>
      <c r="O1315" s="27" t="s">
        <v>12</v>
      </c>
      <c r="P1315" s="27" t="s">
        <v>13</v>
      </c>
      <c r="Q1315" s="27" t="s">
        <v>19</v>
      </c>
    </row>
    <row r="1316" spans="1:17" x14ac:dyDescent="0.3">
      <c r="A1316" s="22">
        <v>16</v>
      </c>
      <c r="B1316" s="19">
        <v>75.48</v>
      </c>
      <c r="C1316" s="20">
        <f>Sales!$B1316*Sales!$A1316</f>
        <v>1207.68</v>
      </c>
      <c r="D1316" s="21">
        <v>38478</v>
      </c>
      <c r="E1316" s="22" t="s">
        <v>87</v>
      </c>
      <c r="F1316" s="22">
        <v>2</v>
      </c>
      <c r="G1316" s="22">
        <v>5</v>
      </c>
      <c r="H1316" s="22">
        <v>2005</v>
      </c>
      <c r="I1316" s="22" t="s">
        <v>112</v>
      </c>
      <c r="J1316" s="20">
        <v>87</v>
      </c>
      <c r="K1316" s="20">
        <f>Sales!$B1316-Sales!$J1316</f>
        <v>-11.519999999999996</v>
      </c>
      <c r="L1316" s="23">
        <f>(Sales!$J1316-Sales!$B1316)/Sales!$J1316</f>
        <v>0.13241379310344822</v>
      </c>
      <c r="M1316" s="23" t="str">
        <f t="shared" si="20"/>
        <v>10%-15%</v>
      </c>
      <c r="N1316" s="22" t="s">
        <v>83</v>
      </c>
      <c r="O1316" s="22" t="s">
        <v>12</v>
      </c>
      <c r="P1316" s="22" t="s">
        <v>13</v>
      </c>
      <c r="Q1316" s="22" t="s">
        <v>14</v>
      </c>
    </row>
    <row r="1317" spans="1:17" x14ac:dyDescent="0.3">
      <c r="A1317" s="27">
        <v>36</v>
      </c>
      <c r="B1317" s="24">
        <v>100</v>
      </c>
      <c r="C1317" s="25">
        <f>Sales!$B1317*Sales!$A1317</f>
        <v>3600</v>
      </c>
      <c r="D1317" s="26">
        <v>37650</v>
      </c>
      <c r="E1317" s="27" t="s">
        <v>9</v>
      </c>
      <c r="F1317" s="27">
        <v>1</v>
      </c>
      <c r="G1317" s="27">
        <v>1</v>
      </c>
      <c r="H1317" s="27">
        <v>2003</v>
      </c>
      <c r="I1317" s="27" t="s">
        <v>104</v>
      </c>
      <c r="J1317" s="25">
        <v>121</v>
      </c>
      <c r="K1317" s="25">
        <f>Sales!$B1317-Sales!$J1317</f>
        <v>-21</v>
      </c>
      <c r="L1317" s="28">
        <f>(Sales!$J1317-Sales!$B1317)/Sales!$J1317</f>
        <v>0.17355371900826447</v>
      </c>
      <c r="M1317" s="28" t="str">
        <f t="shared" si="20"/>
        <v>15%-20%</v>
      </c>
      <c r="N1317" s="27" t="s">
        <v>35</v>
      </c>
      <c r="O1317" s="27" t="s">
        <v>25</v>
      </c>
      <c r="P1317" s="27" t="s">
        <v>17</v>
      </c>
      <c r="Q1317" s="27" t="s">
        <v>19</v>
      </c>
    </row>
    <row r="1318" spans="1:17" x14ac:dyDescent="0.3">
      <c r="A1318" s="22">
        <v>41</v>
      </c>
      <c r="B1318" s="19">
        <v>100</v>
      </c>
      <c r="C1318" s="20">
        <f>Sales!$B1318*Sales!$A1318</f>
        <v>4100</v>
      </c>
      <c r="D1318" s="21">
        <v>37712</v>
      </c>
      <c r="E1318" s="22" t="s">
        <v>9</v>
      </c>
      <c r="F1318" s="22">
        <v>2</v>
      </c>
      <c r="G1318" s="22">
        <v>4</v>
      </c>
      <c r="H1318" s="22">
        <v>2003</v>
      </c>
      <c r="I1318" s="22" t="s">
        <v>104</v>
      </c>
      <c r="J1318" s="20">
        <v>121</v>
      </c>
      <c r="K1318" s="20">
        <f>Sales!$B1318-Sales!$J1318</f>
        <v>-21</v>
      </c>
      <c r="L1318" s="23">
        <f>(Sales!$J1318-Sales!$B1318)/Sales!$J1318</f>
        <v>0.17355371900826447</v>
      </c>
      <c r="M1318" s="23" t="str">
        <f t="shared" si="20"/>
        <v>15%-20%</v>
      </c>
      <c r="N1318" s="22" t="s">
        <v>18</v>
      </c>
      <c r="O1318" s="22" t="s">
        <v>16</v>
      </c>
      <c r="P1318" s="22" t="s">
        <v>17</v>
      </c>
      <c r="Q1318" s="22" t="s">
        <v>19</v>
      </c>
    </row>
    <row r="1319" spans="1:17" x14ac:dyDescent="0.3">
      <c r="A1319" s="27">
        <v>50</v>
      </c>
      <c r="B1319" s="24">
        <v>100</v>
      </c>
      <c r="C1319" s="25">
        <f>Sales!$B1319*Sales!$A1319</f>
        <v>5000</v>
      </c>
      <c r="D1319" s="26">
        <v>37769</v>
      </c>
      <c r="E1319" s="27" t="s">
        <v>9</v>
      </c>
      <c r="F1319" s="27">
        <v>2</v>
      </c>
      <c r="G1319" s="27">
        <v>5</v>
      </c>
      <c r="H1319" s="27">
        <v>2003</v>
      </c>
      <c r="I1319" s="27" t="s">
        <v>104</v>
      </c>
      <c r="J1319" s="25">
        <v>121</v>
      </c>
      <c r="K1319" s="25">
        <f>Sales!$B1319-Sales!$J1319</f>
        <v>-21</v>
      </c>
      <c r="L1319" s="28">
        <f>(Sales!$J1319-Sales!$B1319)/Sales!$J1319</f>
        <v>0.17355371900826447</v>
      </c>
      <c r="M1319" s="28" t="str">
        <f t="shared" si="20"/>
        <v>15%-20%</v>
      </c>
      <c r="N1319" s="27" t="s">
        <v>45</v>
      </c>
      <c r="O1319" s="27" t="s">
        <v>46</v>
      </c>
      <c r="P1319" s="27" t="s">
        <v>17</v>
      </c>
      <c r="Q1319" s="27" t="s">
        <v>39</v>
      </c>
    </row>
    <row r="1320" spans="1:17" x14ac:dyDescent="0.3">
      <c r="A1320" s="22">
        <v>40</v>
      </c>
      <c r="B1320" s="19">
        <v>100</v>
      </c>
      <c r="C1320" s="20">
        <f>Sales!$B1320*Sales!$A1320</f>
        <v>4000</v>
      </c>
      <c r="D1320" s="21">
        <v>37826</v>
      </c>
      <c r="E1320" s="22" t="s">
        <v>9</v>
      </c>
      <c r="F1320" s="22">
        <v>3</v>
      </c>
      <c r="G1320" s="22">
        <v>7</v>
      </c>
      <c r="H1320" s="22">
        <v>2003</v>
      </c>
      <c r="I1320" s="22" t="s">
        <v>104</v>
      </c>
      <c r="J1320" s="20">
        <v>121</v>
      </c>
      <c r="K1320" s="20">
        <f>Sales!$B1320-Sales!$J1320</f>
        <v>-21</v>
      </c>
      <c r="L1320" s="23">
        <f>(Sales!$J1320-Sales!$B1320)/Sales!$J1320</f>
        <v>0.17355371900826447</v>
      </c>
      <c r="M1320" s="23" t="str">
        <f t="shared" si="20"/>
        <v>15%-20%</v>
      </c>
      <c r="N1320" s="22" t="s">
        <v>22</v>
      </c>
      <c r="O1320" s="22" t="s">
        <v>12</v>
      </c>
      <c r="P1320" s="22" t="s">
        <v>13</v>
      </c>
      <c r="Q1320" s="22" t="s">
        <v>19</v>
      </c>
    </row>
    <row r="1321" spans="1:17" x14ac:dyDescent="0.3">
      <c r="A1321" s="27">
        <v>49</v>
      </c>
      <c r="B1321" s="24">
        <v>100</v>
      </c>
      <c r="C1321" s="25">
        <f>Sales!$B1321*Sales!$A1321</f>
        <v>4900</v>
      </c>
      <c r="D1321" s="26">
        <v>37883</v>
      </c>
      <c r="E1321" s="27" t="s">
        <v>9</v>
      </c>
      <c r="F1321" s="27">
        <v>3</v>
      </c>
      <c r="G1321" s="27">
        <v>9</v>
      </c>
      <c r="H1321" s="27">
        <v>2003</v>
      </c>
      <c r="I1321" s="27" t="s">
        <v>104</v>
      </c>
      <c r="J1321" s="25">
        <v>121</v>
      </c>
      <c r="K1321" s="25">
        <f>Sales!$B1321-Sales!$J1321</f>
        <v>-21</v>
      </c>
      <c r="L1321" s="28">
        <f>(Sales!$J1321-Sales!$B1321)/Sales!$J1321</f>
        <v>0.17355371900826447</v>
      </c>
      <c r="M1321" s="28" t="str">
        <f t="shared" si="20"/>
        <v>15%-20%</v>
      </c>
      <c r="N1321" s="27" t="s">
        <v>50</v>
      </c>
      <c r="O1321" s="27" t="s">
        <v>50</v>
      </c>
      <c r="P1321" s="27" t="s">
        <v>28</v>
      </c>
      <c r="Q1321" s="27" t="s">
        <v>19</v>
      </c>
    </row>
    <row r="1322" spans="1:17" x14ac:dyDescent="0.3">
      <c r="A1322" s="22">
        <v>45</v>
      </c>
      <c r="B1322" s="19">
        <v>100</v>
      </c>
      <c r="C1322" s="20">
        <f>Sales!$B1322*Sales!$A1322</f>
        <v>4500</v>
      </c>
      <c r="D1322" s="21">
        <v>37915</v>
      </c>
      <c r="E1322" s="22" t="s">
        <v>88</v>
      </c>
      <c r="F1322" s="22">
        <v>4</v>
      </c>
      <c r="G1322" s="22">
        <v>10</v>
      </c>
      <c r="H1322" s="22">
        <v>2003</v>
      </c>
      <c r="I1322" s="22" t="s">
        <v>104</v>
      </c>
      <c r="J1322" s="20">
        <v>121</v>
      </c>
      <c r="K1322" s="20">
        <f>Sales!$B1322-Sales!$J1322</f>
        <v>-21</v>
      </c>
      <c r="L1322" s="23">
        <f>(Sales!$J1322-Sales!$B1322)/Sales!$J1322</f>
        <v>0.17355371900826447</v>
      </c>
      <c r="M1322" s="23" t="str">
        <f t="shared" si="20"/>
        <v>15%-20%</v>
      </c>
      <c r="N1322" s="22" t="s">
        <v>89</v>
      </c>
      <c r="O1322" s="22" t="s">
        <v>38</v>
      </c>
      <c r="P1322" s="22" t="s">
        <v>17</v>
      </c>
      <c r="Q1322" s="22" t="s">
        <v>19</v>
      </c>
    </row>
    <row r="1323" spans="1:17" x14ac:dyDescent="0.3">
      <c r="A1323" s="27">
        <v>47</v>
      </c>
      <c r="B1323" s="24">
        <v>100</v>
      </c>
      <c r="C1323" s="25">
        <f>Sales!$B1323*Sales!$A1323</f>
        <v>4700</v>
      </c>
      <c r="D1323" s="26">
        <v>37931</v>
      </c>
      <c r="E1323" s="27" t="s">
        <v>9</v>
      </c>
      <c r="F1323" s="27">
        <v>4</v>
      </c>
      <c r="G1323" s="27">
        <v>11</v>
      </c>
      <c r="H1323" s="27">
        <v>2003</v>
      </c>
      <c r="I1323" s="27" t="s">
        <v>104</v>
      </c>
      <c r="J1323" s="25">
        <v>121</v>
      </c>
      <c r="K1323" s="25">
        <f>Sales!$B1323-Sales!$J1323</f>
        <v>-21</v>
      </c>
      <c r="L1323" s="28">
        <f>(Sales!$J1323-Sales!$B1323)/Sales!$J1323</f>
        <v>0.17355371900826447</v>
      </c>
      <c r="M1323" s="28" t="str">
        <f t="shared" si="20"/>
        <v>15%-20%</v>
      </c>
      <c r="N1323" s="27" t="s">
        <v>74</v>
      </c>
      <c r="O1323" s="27" t="s">
        <v>43</v>
      </c>
      <c r="P1323" s="27" t="s">
        <v>17</v>
      </c>
      <c r="Q1323" s="27" t="s">
        <v>19</v>
      </c>
    </row>
    <row r="1324" spans="1:17" x14ac:dyDescent="0.3">
      <c r="A1324" s="22">
        <v>21</v>
      </c>
      <c r="B1324" s="19">
        <v>100</v>
      </c>
      <c r="C1324" s="20">
        <f>Sales!$B1324*Sales!$A1324</f>
        <v>2100</v>
      </c>
      <c r="D1324" s="21">
        <v>37938</v>
      </c>
      <c r="E1324" s="22" t="s">
        <v>9</v>
      </c>
      <c r="F1324" s="22">
        <v>4</v>
      </c>
      <c r="G1324" s="22">
        <v>11</v>
      </c>
      <c r="H1324" s="22">
        <v>2003</v>
      </c>
      <c r="I1324" s="22" t="s">
        <v>104</v>
      </c>
      <c r="J1324" s="20">
        <v>121</v>
      </c>
      <c r="K1324" s="20">
        <f>Sales!$B1324-Sales!$J1324</f>
        <v>-21</v>
      </c>
      <c r="L1324" s="23">
        <f>(Sales!$J1324-Sales!$B1324)/Sales!$J1324</f>
        <v>0.17355371900826447</v>
      </c>
      <c r="M1324" s="23" t="str">
        <f t="shared" si="20"/>
        <v>15%-20%</v>
      </c>
      <c r="N1324" s="22" t="s">
        <v>53</v>
      </c>
      <c r="O1324" s="22" t="s">
        <v>12</v>
      </c>
      <c r="P1324" s="22" t="s">
        <v>13</v>
      </c>
      <c r="Q1324" s="22" t="s">
        <v>14</v>
      </c>
    </row>
    <row r="1325" spans="1:17" x14ac:dyDescent="0.3">
      <c r="A1325" s="27">
        <v>32</v>
      </c>
      <c r="B1325" s="24">
        <v>100</v>
      </c>
      <c r="C1325" s="25">
        <f>Sales!$B1325*Sales!$A1325</f>
        <v>3200</v>
      </c>
      <c r="D1325" s="26">
        <v>37950</v>
      </c>
      <c r="E1325" s="27" t="s">
        <v>9</v>
      </c>
      <c r="F1325" s="27">
        <v>4</v>
      </c>
      <c r="G1325" s="27">
        <v>11</v>
      </c>
      <c r="H1325" s="27">
        <v>2003</v>
      </c>
      <c r="I1325" s="27" t="s">
        <v>104</v>
      </c>
      <c r="J1325" s="25">
        <v>121</v>
      </c>
      <c r="K1325" s="25">
        <f>Sales!$B1325-Sales!$J1325</f>
        <v>-21</v>
      </c>
      <c r="L1325" s="28">
        <f>(Sales!$J1325-Sales!$B1325)/Sales!$J1325</f>
        <v>0.17355371900826447</v>
      </c>
      <c r="M1325" s="28" t="str">
        <f t="shared" si="20"/>
        <v>15%-20%</v>
      </c>
      <c r="N1325" s="27" t="s">
        <v>54</v>
      </c>
      <c r="O1325" s="27" t="s">
        <v>16</v>
      </c>
      <c r="P1325" s="27" t="s">
        <v>17</v>
      </c>
      <c r="Q1325" s="27" t="s">
        <v>19</v>
      </c>
    </row>
    <row r="1326" spans="1:17" x14ac:dyDescent="0.3">
      <c r="A1326" s="22">
        <v>47</v>
      </c>
      <c r="B1326" s="19">
        <v>100</v>
      </c>
      <c r="C1326" s="20">
        <f>Sales!$B1326*Sales!$A1326</f>
        <v>4700</v>
      </c>
      <c r="D1326" s="21">
        <v>37964</v>
      </c>
      <c r="E1326" s="22" t="s">
        <v>9</v>
      </c>
      <c r="F1326" s="22">
        <v>4</v>
      </c>
      <c r="G1326" s="22">
        <v>12</v>
      </c>
      <c r="H1326" s="22">
        <v>2003</v>
      </c>
      <c r="I1326" s="22" t="s">
        <v>104</v>
      </c>
      <c r="J1326" s="20">
        <v>121</v>
      </c>
      <c r="K1326" s="20">
        <f>Sales!$B1326-Sales!$J1326</f>
        <v>-21</v>
      </c>
      <c r="L1326" s="23">
        <f>(Sales!$J1326-Sales!$B1326)/Sales!$J1326</f>
        <v>0.17355371900826447</v>
      </c>
      <c r="M1326" s="23" t="str">
        <f t="shared" si="20"/>
        <v>15%-20%</v>
      </c>
      <c r="N1326" s="22" t="s">
        <v>83</v>
      </c>
      <c r="O1326" s="22" t="s">
        <v>12</v>
      </c>
      <c r="P1326" s="22" t="s">
        <v>13</v>
      </c>
      <c r="Q1326" s="22" t="s">
        <v>19</v>
      </c>
    </row>
    <row r="1327" spans="1:17" x14ac:dyDescent="0.3">
      <c r="A1327" s="27">
        <v>38</v>
      </c>
      <c r="B1327" s="24">
        <v>100</v>
      </c>
      <c r="C1327" s="25">
        <f>Sales!$B1327*Sales!$A1327</f>
        <v>3800</v>
      </c>
      <c r="D1327" s="26">
        <v>38021</v>
      </c>
      <c r="E1327" s="27" t="s">
        <v>9</v>
      </c>
      <c r="F1327" s="27">
        <v>1</v>
      </c>
      <c r="G1327" s="27">
        <v>2</v>
      </c>
      <c r="H1327" s="27">
        <v>2004</v>
      </c>
      <c r="I1327" s="27" t="s">
        <v>104</v>
      </c>
      <c r="J1327" s="25">
        <v>121</v>
      </c>
      <c r="K1327" s="25">
        <f>Sales!$B1327-Sales!$J1327</f>
        <v>-21</v>
      </c>
      <c r="L1327" s="28">
        <f>(Sales!$J1327-Sales!$B1327)/Sales!$J1327</f>
        <v>0.17355371900826447</v>
      </c>
      <c r="M1327" s="28" t="str">
        <f t="shared" si="20"/>
        <v>15%-20%</v>
      </c>
      <c r="N1327" s="27" t="s">
        <v>50</v>
      </c>
      <c r="O1327" s="27" t="s">
        <v>50</v>
      </c>
      <c r="P1327" s="27" t="s">
        <v>28</v>
      </c>
      <c r="Q1327" s="27" t="s">
        <v>19</v>
      </c>
    </row>
    <row r="1328" spans="1:17" x14ac:dyDescent="0.3">
      <c r="A1328" s="22">
        <v>41</v>
      </c>
      <c r="B1328" s="19">
        <v>100</v>
      </c>
      <c r="C1328" s="20">
        <f>Sales!$B1328*Sales!$A1328</f>
        <v>4100</v>
      </c>
      <c r="D1328" s="21">
        <v>38057</v>
      </c>
      <c r="E1328" s="22" t="s">
        <v>9</v>
      </c>
      <c r="F1328" s="22">
        <v>1</v>
      </c>
      <c r="G1328" s="22">
        <v>3</v>
      </c>
      <c r="H1328" s="22">
        <v>2004</v>
      </c>
      <c r="I1328" s="22" t="s">
        <v>104</v>
      </c>
      <c r="J1328" s="20">
        <v>121</v>
      </c>
      <c r="K1328" s="20">
        <f>Sales!$B1328-Sales!$J1328</f>
        <v>-21</v>
      </c>
      <c r="L1328" s="23">
        <f>(Sales!$J1328-Sales!$B1328)/Sales!$J1328</f>
        <v>0.17355371900826447</v>
      </c>
      <c r="M1328" s="23" t="str">
        <f t="shared" si="20"/>
        <v>15%-20%</v>
      </c>
      <c r="N1328" s="22" t="s">
        <v>64</v>
      </c>
      <c r="O1328" s="22" t="s">
        <v>12</v>
      </c>
      <c r="P1328" s="22" t="s">
        <v>13</v>
      </c>
      <c r="Q1328" s="22" t="s">
        <v>19</v>
      </c>
    </row>
    <row r="1329" spans="1:17" x14ac:dyDescent="0.3">
      <c r="A1329" s="27">
        <v>21</v>
      </c>
      <c r="B1329" s="24">
        <v>100</v>
      </c>
      <c r="C1329" s="25">
        <f>Sales!$B1329*Sales!$A1329</f>
        <v>2100</v>
      </c>
      <c r="D1329" s="26">
        <v>38111</v>
      </c>
      <c r="E1329" s="27" t="s">
        <v>9</v>
      </c>
      <c r="F1329" s="27">
        <v>2</v>
      </c>
      <c r="G1329" s="27">
        <v>5</v>
      </c>
      <c r="H1329" s="27">
        <v>2004</v>
      </c>
      <c r="I1329" s="27" t="s">
        <v>104</v>
      </c>
      <c r="J1329" s="25">
        <v>121</v>
      </c>
      <c r="K1329" s="25">
        <f>Sales!$B1329-Sales!$J1329</f>
        <v>-21</v>
      </c>
      <c r="L1329" s="28">
        <f>(Sales!$J1329-Sales!$B1329)/Sales!$J1329</f>
        <v>0.17355371900826447</v>
      </c>
      <c r="M1329" s="28" t="str">
        <f t="shared" si="20"/>
        <v>15%-20%</v>
      </c>
      <c r="N1329" s="27" t="s">
        <v>58</v>
      </c>
      <c r="O1329" s="27" t="s">
        <v>12</v>
      </c>
      <c r="P1329" s="27" t="s">
        <v>13</v>
      </c>
      <c r="Q1329" s="27" t="s">
        <v>14</v>
      </c>
    </row>
    <row r="1330" spans="1:17" x14ac:dyDescent="0.3">
      <c r="A1330" s="22">
        <v>41</v>
      </c>
      <c r="B1330" s="19">
        <v>100</v>
      </c>
      <c r="C1330" s="20">
        <f>Sales!$B1330*Sales!$A1330</f>
        <v>4100</v>
      </c>
      <c r="D1330" s="21">
        <v>38153</v>
      </c>
      <c r="E1330" s="22" t="s">
        <v>9</v>
      </c>
      <c r="F1330" s="22">
        <v>2</v>
      </c>
      <c r="G1330" s="22">
        <v>6</v>
      </c>
      <c r="H1330" s="22">
        <v>2004</v>
      </c>
      <c r="I1330" s="22" t="s">
        <v>104</v>
      </c>
      <c r="J1330" s="20">
        <v>121</v>
      </c>
      <c r="K1330" s="20">
        <f>Sales!$B1330-Sales!$J1330</f>
        <v>-21</v>
      </c>
      <c r="L1330" s="23">
        <f>(Sales!$J1330-Sales!$B1330)/Sales!$J1330</f>
        <v>0.17355371900826447</v>
      </c>
      <c r="M1330" s="23" t="str">
        <f t="shared" si="20"/>
        <v>15%-20%</v>
      </c>
      <c r="N1330" s="22" t="s">
        <v>50</v>
      </c>
      <c r="O1330" s="22" t="s">
        <v>50</v>
      </c>
      <c r="P1330" s="22" t="s">
        <v>28</v>
      </c>
      <c r="Q1330" s="22" t="s">
        <v>19</v>
      </c>
    </row>
    <row r="1331" spans="1:17" x14ac:dyDescent="0.3">
      <c r="A1331" s="27">
        <v>38</v>
      </c>
      <c r="B1331" s="24">
        <v>100</v>
      </c>
      <c r="C1331" s="25">
        <f>Sales!$B1331*Sales!$A1331</f>
        <v>3800</v>
      </c>
      <c r="D1331" s="26">
        <v>38187</v>
      </c>
      <c r="E1331" s="27" t="s">
        <v>9</v>
      </c>
      <c r="F1331" s="27">
        <v>3</v>
      </c>
      <c r="G1331" s="27">
        <v>7</v>
      </c>
      <c r="H1331" s="27">
        <v>2004</v>
      </c>
      <c r="I1331" s="27" t="s">
        <v>104</v>
      </c>
      <c r="J1331" s="25">
        <v>121</v>
      </c>
      <c r="K1331" s="25">
        <f>Sales!$B1331-Sales!$J1331</f>
        <v>-21</v>
      </c>
      <c r="L1331" s="28">
        <f>(Sales!$J1331-Sales!$B1331)/Sales!$J1331</f>
        <v>0.17355371900826447</v>
      </c>
      <c r="M1331" s="28" t="str">
        <f t="shared" si="20"/>
        <v>15%-20%</v>
      </c>
      <c r="N1331" s="27" t="s">
        <v>40</v>
      </c>
      <c r="O1331" s="27" t="s">
        <v>27</v>
      </c>
      <c r="P1331" s="27" t="s">
        <v>28</v>
      </c>
      <c r="Q1331" s="27" t="s">
        <v>19</v>
      </c>
    </row>
    <row r="1332" spans="1:17" x14ac:dyDescent="0.3">
      <c r="A1332" s="22">
        <v>25</v>
      </c>
      <c r="B1332" s="19">
        <v>99.29</v>
      </c>
      <c r="C1332" s="20">
        <f>Sales!$B1332*Sales!$A1332</f>
        <v>2482.25</v>
      </c>
      <c r="D1332" s="21">
        <v>38218</v>
      </c>
      <c r="E1332" s="22" t="s">
        <v>9</v>
      </c>
      <c r="F1332" s="22">
        <v>3</v>
      </c>
      <c r="G1332" s="22">
        <v>8</v>
      </c>
      <c r="H1332" s="22">
        <v>2004</v>
      </c>
      <c r="I1332" s="22" t="s">
        <v>104</v>
      </c>
      <c r="J1332" s="20">
        <v>121</v>
      </c>
      <c r="K1332" s="20">
        <f>Sales!$B1332-Sales!$J1332</f>
        <v>-21.709999999999994</v>
      </c>
      <c r="L1332" s="23">
        <f>(Sales!$J1332-Sales!$B1332)/Sales!$J1332</f>
        <v>0.17942148760330573</v>
      </c>
      <c r="M1332" s="23" t="str">
        <f t="shared" si="20"/>
        <v>15%-20%</v>
      </c>
      <c r="N1332" s="22" t="s">
        <v>36</v>
      </c>
      <c r="O1332" s="22" t="s">
        <v>12</v>
      </c>
      <c r="P1332" s="22" t="s">
        <v>13</v>
      </c>
      <c r="Q1332" s="22" t="s">
        <v>14</v>
      </c>
    </row>
    <row r="1333" spans="1:17" x14ac:dyDescent="0.3">
      <c r="A1333" s="27">
        <v>48</v>
      </c>
      <c r="B1333" s="24">
        <v>100</v>
      </c>
      <c r="C1333" s="25">
        <f>Sales!$B1333*Sales!$A1333</f>
        <v>4800</v>
      </c>
      <c r="D1333" s="26">
        <v>38238</v>
      </c>
      <c r="E1333" s="27" t="s">
        <v>9</v>
      </c>
      <c r="F1333" s="27">
        <v>3</v>
      </c>
      <c r="G1333" s="27">
        <v>9</v>
      </c>
      <c r="H1333" s="27">
        <v>2004</v>
      </c>
      <c r="I1333" s="27" t="s">
        <v>104</v>
      </c>
      <c r="J1333" s="25">
        <v>121</v>
      </c>
      <c r="K1333" s="25">
        <f>Sales!$B1333-Sales!$J1333</f>
        <v>-21</v>
      </c>
      <c r="L1333" s="28">
        <f>(Sales!$J1333-Sales!$B1333)/Sales!$J1333</f>
        <v>0.17355371900826447</v>
      </c>
      <c r="M1333" s="28" t="str">
        <f t="shared" si="20"/>
        <v>15%-20%</v>
      </c>
      <c r="N1333" s="27" t="s">
        <v>62</v>
      </c>
      <c r="O1333" s="27" t="s">
        <v>49</v>
      </c>
      <c r="P1333" s="27" t="s">
        <v>17</v>
      </c>
      <c r="Q1333" s="27" t="s">
        <v>19</v>
      </c>
    </row>
    <row r="1334" spans="1:17" x14ac:dyDescent="0.3">
      <c r="A1334" s="22">
        <v>22</v>
      </c>
      <c r="B1334" s="19">
        <v>99.29</v>
      </c>
      <c r="C1334" s="20">
        <f>Sales!$B1334*Sales!$A1334</f>
        <v>2184.38</v>
      </c>
      <c r="D1334" s="21">
        <v>38273</v>
      </c>
      <c r="E1334" s="22" t="s">
        <v>9</v>
      </c>
      <c r="F1334" s="22">
        <v>4</v>
      </c>
      <c r="G1334" s="22">
        <v>10</v>
      </c>
      <c r="H1334" s="22">
        <v>2004</v>
      </c>
      <c r="I1334" s="22" t="s">
        <v>104</v>
      </c>
      <c r="J1334" s="20">
        <v>121</v>
      </c>
      <c r="K1334" s="20">
        <f>Sales!$B1334-Sales!$J1334</f>
        <v>-21.709999999999994</v>
      </c>
      <c r="L1334" s="23">
        <f>(Sales!$J1334-Sales!$B1334)/Sales!$J1334</f>
        <v>0.17942148760330573</v>
      </c>
      <c r="M1334" s="23" t="str">
        <f t="shared" si="20"/>
        <v>15%-20%</v>
      </c>
      <c r="N1334" s="22" t="s">
        <v>32</v>
      </c>
      <c r="O1334" s="22" t="s">
        <v>12</v>
      </c>
      <c r="P1334" s="22" t="s">
        <v>13</v>
      </c>
      <c r="Q1334" s="22" t="s">
        <v>14</v>
      </c>
    </row>
    <row r="1335" spans="1:17" x14ac:dyDescent="0.3">
      <c r="A1335" s="27">
        <v>28</v>
      </c>
      <c r="B1335" s="24">
        <v>100</v>
      </c>
      <c r="C1335" s="25">
        <f>Sales!$B1335*Sales!$A1335</f>
        <v>2800</v>
      </c>
      <c r="D1335" s="26">
        <v>38282</v>
      </c>
      <c r="E1335" s="27" t="s">
        <v>9</v>
      </c>
      <c r="F1335" s="27">
        <v>4</v>
      </c>
      <c r="G1335" s="27">
        <v>10</v>
      </c>
      <c r="H1335" s="27">
        <v>2004</v>
      </c>
      <c r="I1335" s="27" t="s">
        <v>104</v>
      </c>
      <c r="J1335" s="25">
        <v>121</v>
      </c>
      <c r="K1335" s="25">
        <f>Sales!$B1335-Sales!$J1335</f>
        <v>-21</v>
      </c>
      <c r="L1335" s="28">
        <f>(Sales!$J1335-Sales!$B1335)/Sales!$J1335</f>
        <v>0.17355371900826447</v>
      </c>
      <c r="M1335" s="28" t="str">
        <f t="shared" si="20"/>
        <v>15%-20%</v>
      </c>
      <c r="N1335" s="27" t="s">
        <v>55</v>
      </c>
      <c r="O1335" s="27" t="s">
        <v>56</v>
      </c>
      <c r="P1335" s="27" t="s">
        <v>13</v>
      </c>
      <c r="Q1335" s="27" t="s">
        <v>14</v>
      </c>
    </row>
    <row r="1336" spans="1:17" x14ac:dyDescent="0.3">
      <c r="A1336" s="22">
        <v>47</v>
      </c>
      <c r="B1336" s="19">
        <v>100</v>
      </c>
      <c r="C1336" s="20">
        <f>Sales!$B1336*Sales!$A1336</f>
        <v>4700</v>
      </c>
      <c r="D1336" s="21">
        <v>38296</v>
      </c>
      <c r="E1336" s="22" t="s">
        <v>9</v>
      </c>
      <c r="F1336" s="22">
        <v>4</v>
      </c>
      <c r="G1336" s="22">
        <v>11</v>
      </c>
      <c r="H1336" s="22">
        <v>2004</v>
      </c>
      <c r="I1336" s="22" t="s">
        <v>104</v>
      </c>
      <c r="J1336" s="20">
        <v>121</v>
      </c>
      <c r="K1336" s="20">
        <f>Sales!$B1336-Sales!$J1336</f>
        <v>-21</v>
      </c>
      <c r="L1336" s="23">
        <f>(Sales!$J1336-Sales!$B1336)/Sales!$J1336</f>
        <v>0.17355371900826447</v>
      </c>
      <c r="M1336" s="23" t="str">
        <f t="shared" si="20"/>
        <v>15%-20%</v>
      </c>
      <c r="N1336" s="22" t="s">
        <v>98</v>
      </c>
      <c r="O1336" s="22" t="s">
        <v>94</v>
      </c>
      <c r="P1336" s="22" t="s">
        <v>17</v>
      </c>
      <c r="Q1336" s="22" t="s">
        <v>19</v>
      </c>
    </row>
    <row r="1337" spans="1:17" x14ac:dyDescent="0.3">
      <c r="A1337" s="27">
        <v>49</v>
      </c>
      <c r="B1337" s="24">
        <v>100</v>
      </c>
      <c r="C1337" s="25">
        <f>Sales!$B1337*Sales!$A1337</f>
        <v>4900</v>
      </c>
      <c r="D1337" s="26">
        <v>38310</v>
      </c>
      <c r="E1337" s="27" t="s">
        <v>87</v>
      </c>
      <c r="F1337" s="27">
        <v>4</v>
      </c>
      <c r="G1337" s="27">
        <v>11</v>
      </c>
      <c r="H1337" s="27">
        <v>2004</v>
      </c>
      <c r="I1337" s="27" t="s">
        <v>104</v>
      </c>
      <c r="J1337" s="25">
        <v>121</v>
      </c>
      <c r="K1337" s="25">
        <f>Sales!$B1337-Sales!$J1337</f>
        <v>-21</v>
      </c>
      <c r="L1337" s="28">
        <f>(Sales!$J1337-Sales!$B1337)/Sales!$J1337</f>
        <v>0.17355371900826447</v>
      </c>
      <c r="M1337" s="28" t="str">
        <f t="shared" si="20"/>
        <v>15%-20%</v>
      </c>
      <c r="N1337" s="27" t="s">
        <v>48</v>
      </c>
      <c r="O1337" s="27" t="s">
        <v>49</v>
      </c>
      <c r="P1337" s="27" t="s">
        <v>17</v>
      </c>
      <c r="Q1337" s="27" t="s">
        <v>19</v>
      </c>
    </row>
    <row r="1338" spans="1:17" x14ac:dyDescent="0.3">
      <c r="A1338" s="22">
        <v>45</v>
      </c>
      <c r="B1338" s="19">
        <v>100</v>
      </c>
      <c r="C1338" s="20">
        <f>Sales!$B1338*Sales!$A1338</f>
        <v>4500</v>
      </c>
      <c r="D1338" s="21">
        <v>38320</v>
      </c>
      <c r="E1338" s="22" t="s">
        <v>9</v>
      </c>
      <c r="F1338" s="22">
        <v>4</v>
      </c>
      <c r="G1338" s="22">
        <v>11</v>
      </c>
      <c r="H1338" s="22">
        <v>2004</v>
      </c>
      <c r="I1338" s="22" t="s">
        <v>104</v>
      </c>
      <c r="J1338" s="20">
        <v>121</v>
      </c>
      <c r="K1338" s="20">
        <f>Sales!$B1338-Sales!$J1338</f>
        <v>-21</v>
      </c>
      <c r="L1338" s="23">
        <f>(Sales!$J1338-Sales!$B1338)/Sales!$J1338</f>
        <v>0.17355371900826447</v>
      </c>
      <c r="M1338" s="23" t="str">
        <f t="shared" si="20"/>
        <v>15%-20%</v>
      </c>
      <c r="N1338" s="22" t="s">
        <v>26</v>
      </c>
      <c r="O1338" s="22" t="s">
        <v>27</v>
      </c>
      <c r="P1338" s="22" t="s">
        <v>28</v>
      </c>
      <c r="Q1338" s="22" t="s">
        <v>19</v>
      </c>
    </row>
    <row r="1339" spans="1:17" x14ac:dyDescent="0.3">
      <c r="A1339" s="27">
        <v>28</v>
      </c>
      <c r="B1339" s="24">
        <v>100</v>
      </c>
      <c r="C1339" s="25">
        <f>Sales!$B1339*Sales!$A1339</f>
        <v>2800</v>
      </c>
      <c r="D1339" s="26">
        <v>38331</v>
      </c>
      <c r="E1339" s="27" t="s">
        <v>9</v>
      </c>
      <c r="F1339" s="27">
        <v>4</v>
      </c>
      <c r="G1339" s="27">
        <v>12</v>
      </c>
      <c r="H1339" s="27">
        <v>2004</v>
      </c>
      <c r="I1339" s="27" t="s">
        <v>104</v>
      </c>
      <c r="J1339" s="25">
        <v>121</v>
      </c>
      <c r="K1339" s="25">
        <f>Sales!$B1339-Sales!$J1339</f>
        <v>-21</v>
      </c>
      <c r="L1339" s="28">
        <f>(Sales!$J1339-Sales!$B1339)/Sales!$J1339</f>
        <v>0.17355371900826447</v>
      </c>
      <c r="M1339" s="28" t="str">
        <f t="shared" si="20"/>
        <v>15%-20%</v>
      </c>
      <c r="N1339" s="27" t="s">
        <v>64</v>
      </c>
      <c r="O1339" s="27" t="s">
        <v>12</v>
      </c>
      <c r="P1339" s="27" t="s">
        <v>13</v>
      </c>
      <c r="Q1339" s="27" t="s">
        <v>19</v>
      </c>
    </row>
    <row r="1340" spans="1:17" x14ac:dyDescent="0.3">
      <c r="A1340" s="22">
        <v>29</v>
      </c>
      <c r="B1340" s="19">
        <v>57.53</v>
      </c>
      <c r="C1340" s="20">
        <f>Sales!$B1340*Sales!$A1340</f>
        <v>1668.3700000000001</v>
      </c>
      <c r="D1340" s="21">
        <v>38372</v>
      </c>
      <c r="E1340" s="22" t="s">
        <v>9</v>
      </c>
      <c r="F1340" s="22">
        <v>1</v>
      </c>
      <c r="G1340" s="22">
        <v>1</v>
      </c>
      <c r="H1340" s="22">
        <v>2005</v>
      </c>
      <c r="I1340" s="22" t="s">
        <v>104</v>
      </c>
      <c r="J1340" s="20">
        <v>121</v>
      </c>
      <c r="K1340" s="20">
        <f>Sales!$B1340-Sales!$J1340</f>
        <v>-63.47</v>
      </c>
      <c r="L1340" s="23">
        <f>(Sales!$J1340-Sales!$B1340)/Sales!$J1340</f>
        <v>0.52454545454545454</v>
      </c>
      <c r="M1340" s="23" t="str">
        <f t="shared" si="20"/>
        <v>+20%</v>
      </c>
      <c r="N1340" s="22" t="s">
        <v>67</v>
      </c>
      <c r="O1340" s="22" t="s">
        <v>27</v>
      </c>
      <c r="P1340" s="22" t="s">
        <v>28</v>
      </c>
      <c r="Q1340" s="22" t="s">
        <v>14</v>
      </c>
    </row>
    <row r="1341" spans="1:17" x14ac:dyDescent="0.3">
      <c r="A1341" s="27">
        <v>39</v>
      </c>
      <c r="B1341" s="24">
        <v>100</v>
      </c>
      <c r="C1341" s="25">
        <f>Sales!$B1341*Sales!$A1341</f>
        <v>3900</v>
      </c>
      <c r="D1341" s="26">
        <v>38400</v>
      </c>
      <c r="E1341" s="27" t="s">
        <v>9</v>
      </c>
      <c r="F1341" s="27">
        <v>1</v>
      </c>
      <c r="G1341" s="27">
        <v>2</v>
      </c>
      <c r="H1341" s="27">
        <v>2005</v>
      </c>
      <c r="I1341" s="27" t="s">
        <v>104</v>
      </c>
      <c r="J1341" s="25">
        <v>121</v>
      </c>
      <c r="K1341" s="25">
        <f>Sales!$B1341-Sales!$J1341</f>
        <v>-21</v>
      </c>
      <c r="L1341" s="28">
        <f>(Sales!$J1341-Sales!$B1341)/Sales!$J1341</f>
        <v>0.17355371900826447</v>
      </c>
      <c r="M1341" s="28" t="str">
        <f t="shared" si="20"/>
        <v>15%-20%</v>
      </c>
      <c r="N1341" s="27" t="s">
        <v>64</v>
      </c>
      <c r="O1341" s="27" t="s">
        <v>12</v>
      </c>
      <c r="P1341" s="27" t="s">
        <v>13</v>
      </c>
      <c r="Q1341" s="27" t="s">
        <v>19</v>
      </c>
    </row>
    <row r="1342" spans="1:17" x14ac:dyDescent="0.3">
      <c r="A1342" s="22">
        <v>46</v>
      </c>
      <c r="B1342" s="19">
        <v>100</v>
      </c>
      <c r="C1342" s="20">
        <f>Sales!$B1342*Sales!$A1342</f>
        <v>4600</v>
      </c>
      <c r="D1342" s="21">
        <v>38473</v>
      </c>
      <c r="E1342" s="22" t="s">
        <v>9</v>
      </c>
      <c r="F1342" s="22">
        <v>2</v>
      </c>
      <c r="G1342" s="22">
        <v>5</v>
      </c>
      <c r="H1342" s="22">
        <v>2005</v>
      </c>
      <c r="I1342" s="22" t="s">
        <v>104</v>
      </c>
      <c r="J1342" s="20">
        <v>121</v>
      </c>
      <c r="K1342" s="20">
        <f>Sales!$B1342-Sales!$J1342</f>
        <v>-21</v>
      </c>
      <c r="L1342" s="23">
        <f>(Sales!$J1342-Sales!$B1342)/Sales!$J1342</f>
        <v>0.17355371900826447</v>
      </c>
      <c r="M1342" s="23" t="str">
        <f t="shared" si="20"/>
        <v>15%-20%</v>
      </c>
      <c r="N1342" s="22" t="s">
        <v>68</v>
      </c>
      <c r="O1342" s="22" t="s">
        <v>56</v>
      </c>
      <c r="P1342" s="22" t="s">
        <v>13</v>
      </c>
      <c r="Q1342" s="22" t="s">
        <v>19</v>
      </c>
    </row>
    <row r="1343" spans="1:17" x14ac:dyDescent="0.3">
      <c r="A1343" s="27">
        <v>38</v>
      </c>
      <c r="B1343" s="24">
        <v>100</v>
      </c>
      <c r="C1343" s="25">
        <f>Sales!$B1343*Sales!$A1343</f>
        <v>3800</v>
      </c>
      <c r="D1343" s="26">
        <v>38503</v>
      </c>
      <c r="E1343" s="27" t="s">
        <v>69</v>
      </c>
      <c r="F1343" s="27">
        <v>2</v>
      </c>
      <c r="G1343" s="27">
        <v>5</v>
      </c>
      <c r="H1343" s="27">
        <v>2005</v>
      </c>
      <c r="I1343" s="27" t="s">
        <v>104</v>
      </c>
      <c r="J1343" s="25">
        <v>121</v>
      </c>
      <c r="K1343" s="25">
        <f>Sales!$B1343-Sales!$J1343</f>
        <v>-21</v>
      </c>
      <c r="L1343" s="28">
        <f>(Sales!$J1343-Sales!$B1343)/Sales!$J1343</f>
        <v>0.17355371900826447</v>
      </c>
      <c r="M1343" s="28" t="str">
        <f t="shared" si="20"/>
        <v>15%-20%</v>
      </c>
      <c r="N1343" s="27" t="s">
        <v>31</v>
      </c>
      <c r="O1343" s="27" t="s">
        <v>16</v>
      </c>
      <c r="P1343" s="27" t="s">
        <v>17</v>
      </c>
      <c r="Q1343" s="27" t="s">
        <v>19</v>
      </c>
    </row>
    <row r="1344" spans="1:17" x14ac:dyDescent="0.3">
      <c r="A1344" s="22">
        <v>41</v>
      </c>
      <c r="B1344" s="19">
        <v>47.29</v>
      </c>
      <c r="C1344" s="20">
        <f>Sales!$B1344*Sales!$A1344</f>
        <v>1938.8899999999999</v>
      </c>
      <c r="D1344" s="21">
        <v>37650</v>
      </c>
      <c r="E1344" s="22" t="s">
        <v>9</v>
      </c>
      <c r="F1344" s="22">
        <v>1</v>
      </c>
      <c r="G1344" s="22">
        <v>1</v>
      </c>
      <c r="H1344" s="22">
        <v>2003</v>
      </c>
      <c r="I1344" s="22" t="s">
        <v>112</v>
      </c>
      <c r="J1344" s="20">
        <v>50</v>
      </c>
      <c r="K1344" s="20">
        <f>Sales!$B1344-Sales!$J1344</f>
        <v>-2.7100000000000009</v>
      </c>
      <c r="L1344" s="23">
        <f>(Sales!$J1344-Sales!$B1344)/Sales!$J1344</f>
        <v>5.4200000000000019E-2</v>
      </c>
      <c r="M1344" s="23" t="s">
        <v>131</v>
      </c>
      <c r="N1344" s="22" t="s">
        <v>35</v>
      </c>
      <c r="O1344" s="22" t="s">
        <v>25</v>
      </c>
      <c r="P1344" s="22" t="s">
        <v>17</v>
      </c>
      <c r="Q1344" s="22" t="s">
        <v>14</v>
      </c>
    </row>
    <row r="1345" spans="1:17" x14ac:dyDescent="0.3">
      <c r="A1345" s="27">
        <v>50</v>
      </c>
      <c r="B1345" s="24">
        <v>49.81</v>
      </c>
      <c r="C1345" s="25">
        <f>Sales!$B1345*Sales!$A1345</f>
        <v>2490.5</v>
      </c>
      <c r="D1345" s="26">
        <v>37706</v>
      </c>
      <c r="E1345" s="27" t="s">
        <v>9</v>
      </c>
      <c r="F1345" s="27">
        <v>1</v>
      </c>
      <c r="G1345" s="27">
        <v>3</v>
      </c>
      <c r="H1345" s="27">
        <v>2003</v>
      </c>
      <c r="I1345" s="27" t="s">
        <v>112</v>
      </c>
      <c r="J1345" s="25">
        <v>50</v>
      </c>
      <c r="K1345" s="25">
        <f>Sales!$B1345-Sales!$J1345</f>
        <v>-0.18999999999999773</v>
      </c>
      <c r="L1345" s="28">
        <f>(Sales!$J1345-Sales!$B1345)/Sales!$J1345</f>
        <v>3.7999999999999545E-3</v>
      </c>
      <c r="M1345" s="28" t="s">
        <v>130</v>
      </c>
      <c r="N1345" s="27" t="s">
        <v>64</v>
      </c>
      <c r="O1345" s="27" t="s">
        <v>12</v>
      </c>
      <c r="P1345" s="27" t="s">
        <v>13</v>
      </c>
      <c r="Q1345" s="27" t="s">
        <v>14</v>
      </c>
    </row>
    <row r="1346" spans="1:17" x14ac:dyDescent="0.3">
      <c r="A1346" s="22">
        <v>43</v>
      </c>
      <c r="B1346" s="19">
        <v>53.83</v>
      </c>
      <c r="C1346" s="20">
        <f>Sales!$B1346*Sales!$A1346</f>
        <v>2314.69</v>
      </c>
      <c r="D1346" s="21">
        <v>37769</v>
      </c>
      <c r="E1346" s="22" t="s">
        <v>9</v>
      </c>
      <c r="F1346" s="22">
        <v>2</v>
      </c>
      <c r="G1346" s="22">
        <v>5</v>
      </c>
      <c r="H1346" s="22">
        <v>2003</v>
      </c>
      <c r="I1346" s="22" t="s">
        <v>112</v>
      </c>
      <c r="J1346" s="20">
        <v>50</v>
      </c>
      <c r="K1346" s="20">
        <f>Sales!$B1346-Sales!$J1346</f>
        <v>3.8299999999999983</v>
      </c>
      <c r="L1346" s="23">
        <f>(Sales!$J1346-Sales!$B1346)/Sales!$J1346</f>
        <v>-7.659999999999996E-2</v>
      </c>
      <c r="M1346" s="23" t="str">
        <f t="shared" si="20"/>
        <v>Below 0%</v>
      </c>
      <c r="N1346" s="22" t="s">
        <v>45</v>
      </c>
      <c r="O1346" s="22" t="s">
        <v>46</v>
      </c>
      <c r="P1346" s="22" t="s">
        <v>17</v>
      </c>
      <c r="Q1346" s="22" t="s">
        <v>14</v>
      </c>
    </row>
    <row r="1347" spans="1:17" x14ac:dyDescent="0.3">
      <c r="A1347" s="27">
        <v>29</v>
      </c>
      <c r="B1347" s="24">
        <v>43.27</v>
      </c>
      <c r="C1347" s="25">
        <f>Sales!$B1347*Sales!$A1347</f>
        <v>1254.8300000000002</v>
      </c>
      <c r="D1347" s="26">
        <v>37826</v>
      </c>
      <c r="E1347" s="27" t="s">
        <v>9</v>
      </c>
      <c r="F1347" s="27">
        <v>3</v>
      </c>
      <c r="G1347" s="27">
        <v>7</v>
      </c>
      <c r="H1347" s="27">
        <v>2003</v>
      </c>
      <c r="I1347" s="27" t="s">
        <v>112</v>
      </c>
      <c r="J1347" s="25">
        <v>50</v>
      </c>
      <c r="K1347" s="25">
        <f>Sales!$B1347-Sales!$J1347</f>
        <v>-6.7299999999999969</v>
      </c>
      <c r="L1347" s="28">
        <f>(Sales!$J1347-Sales!$B1347)/Sales!$J1347</f>
        <v>0.13459999999999994</v>
      </c>
      <c r="M1347" s="28" t="str">
        <f t="shared" ref="M1347:M1410" si="21">IF(L1347&lt;0%,"Below 0%",IF(L1347=0%,"0%",IF(AND(L1347&lt;=5%,L1347&gt;0%),"0%-5%",IF(AND(L1347&lt;=10%,L1347&gt;5%),"5%-10%",IF(AND(L1347&lt;=15%,L1347&gt;10%),"10%-15%",IF(AND(L1347&lt;=20%,L1347&gt;15%),"15%-20%","+20%"))))))</f>
        <v>10%-15%</v>
      </c>
      <c r="N1347" s="27" t="s">
        <v>22</v>
      </c>
      <c r="O1347" s="27" t="s">
        <v>12</v>
      </c>
      <c r="P1347" s="27" t="s">
        <v>13</v>
      </c>
      <c r="Q1347" s="27" t="s">
        <v>14</v>
      </c>
    </row>
    <row r="1348" spans="1:17" x14ac:dyDescent="0.3">
      <c r="A1348" s="22">
        <v>30</v>
      </c>
      <c r="B1348" s="19">
        <v>42.76</v>
      </c>
      <c r="C1348" s="20">
        <f>Sales!$B1348*Sales!$A1348</f>
        <v>1282.8</v>
      </c>
      <c r="D1348" s="21">
        <v>37883</v>
      </c>
      <c r="E1348" s="22" t="s">
        <v>9</v>
      </c>
      <c r="F1348" s="22">
        <v>3</v>
      </c>
      <c r="G1348" s="22">
        <v>9</v>
      </c>
      <c r="H1348" s="22">
        <v>2003</v>
      </c>
      <c r="I1348" s="22" t="s">
        <v>112</v>
      </c>
      <c r="J1348" s="20">
        <v>50</v>
      </c>
      <c r="K1348" s="20">
        <f>Sales!$B1348-Sales!$J1348</f>
        <v>-7.240000000000002</v>
      </c>
      <c r="L1348" s="23">
        <f>(Sales!$J1348-Sales!$B1348)/Sales!$J1348</f>
        <v>0.14480000000000004</v>
      </c>
      <c r="M1348" s="23" t="str">
        <f t="shared" si="21"/>
        <v>10%-15%</v>
      </c>
      <c r="N1348" s="22" t="s">
        <v>50</v>
      </c>
      <c r="O1348" s="22" t="s">
        <v>50</v>
      </c>
      <c r="P1348" s="22" t="s">
        <v>28</v>
      </c>
      <c r="Q1348" s="22" t="s">
        <v>14</v>
      </c>
    </row>
    <row r="1349" spans="1:17" x14ac:dyDescent="0.3">
      <c r="A1349" s="27">
        <v>25</v>
      </c>
      <c r="B1349" s="24">
        <v>53.83</v>
      </c>
      <c r="C1349" s="25">
        <f>Sales!$B1349*Sales!$A1349</f>
        <v>1345.75</v>
      </c>
      <c r="D1349" s="26">
        <v>37915</v>
      </c>
      <c r="E1349" s="27" t="s">
        <v>88</v>
      </c>
      <c r="F1349" s="27">
        <v>4</v>
      </c>
      <c r="G1349" s="27">
        <v>10</v>
      </c>
      <c r="H1349" s="27">
        <v>2003</v>
      </c>
      <c r="I1349" s="27" t="s">
        <v>112</v>
      </c>
      <c r="J1349" s="25">
        <v>50</v>
      </c>
      <c r="K1349" s="25">
        <f>Sales!$B1349-Sales!$J1349</f>
        <v>3.8299999999999983</v>
      </c>
      <c r="L1349" s="28">
        <f>(Sales!$J1349-Sales!$B1349)/Sales!$J1349</f>
        <v>-7.659999999999996E-2</v>
      </c>
      <c r="M1349" s="28" t="str">
        <f t="shared" si="21"/>
        <v>Below 0%</v>
      </c>
      <c r="N1349" s="27" t="s">
        <v>89</v>
      </c>
      <c r="O1349" s="27" t="s">
        <v>38</v>
      </c>
      <c r="P1349" s="27" t="s">
        <v>17</v>
      </c>
      <c r="Q1349" s="27" t="s">
        <v>14</v>
      </c>
    </row>
    <row r="1350" spans="1:17" x14ac:dyDescent="0.3">
      <c r="A1350" s="22">
        <v>49</v>
      </c>
      <c r="B1350" s="19">
        <v>44.78</v>
      </c>
      <c r="C1350" s="20">
        <f>Sales!$B1350*Sales!$A1350</f>
        <v>2194.2200000000003</v>
      </c>
      <c r="D1350" s="21">
        <v>37931</v>
      </c>
      <c r="E1350" s="22" t="s">
        <v>9</v>
      </c>
      <c r="F1350" s="22">
        <v>4</v>
      </c>
      <c r="G1350" s="22">
        <v>11</v>
      </c>
      <c r="H1350" s="22">
        <v>2003</v>
      </c>
      <c r="I1350" s="22" t="s">
        <v>112</v>
      </c>
      <c r="J1350" s="20">
        <v>50</v>
      </c>
      <c r="K1350" s="20">
        <f>Sales!$B1350-Sales!$J1350</f>
        <v>-5.2199999999999989</v>
      </c>
      <c r="L1350" s="23">
        <f>(Sales!$J1350-Sales!$B1350)/Sales!$J1350</f>
        <v>0.10439999999999998</v>
      </c>
      <c r="M1350" s="23" t="s">
        <v>134</v>
      </c>
      <c r="N1350" s="22" t="s">
        <v>52</v>
      </c>
      <c r="O1350" s="22" t="s">
        <v>27</v>
      </c>
      <c r="P1350" s="22" t="s">
        <v>28</v>
      </c>
      <c r="Q1350" s="22" t="s">
        <v>14</v>
      </c>
    </row>
    <row r="1351" spans="1:17" x14ac:dyDescent="0.3">
      <c r="A1351" s="27">
        <v>40</v>
      </c>
      <c r="B1351" s="24">
        <v>49.3</v>
      </c>
      <c r="C1351" s="25">
        <f>Sales!$B1351*Sales!$A1351</f>
        <v>1972</v>
      </c>
      <c r="D1351" s="26">
        <v>37938</v>
      </c>
      <c r="E1351" s="27" t="s">
        <v>9</v>
      </c>
      <c r="F1351" s="27">
        <v>4</v>
      </c>
      <c r="G1351" s="27">
        <v>11</v>
      </c>
      <c r="H1351" s="27">
        <v>2003</v>
      </c>
      <c r="I1351" s="27" t="s">
        <v>112</v>
      </c>
      <c r="J1351" s="25">
        <v>50</v>
      </c>
      <c r="K1351" s="25">
        <f>Sales!$B1351-Sales!$J1351</f>
        <v>-0.70000000000000284</v>
      </c>
      <c r="L1351" s="28">
        <f>(Sales!$J1351-Sales!$B1351)/Sales!$J1351</f>
        <v>1.4000000000000058E-2</v>
      </c>
      <c r="M1351" s="28" t="str">
        <f t="shared" si="21"/>
        <v>0%-5%</v>
      </c>
      <c r="N1351" s="27" t="s">
        <v>53</v>
      </c>
      <c r="O1351" s="27" t="s">
        <v>12</v>
      </c>
      <c r="P1351" s="27" t="s">
        <v>13</v>
      </c>
      <c r="Q1351" s="27" t="s">
        <v>14</v>
      </c>
    </row>
    <row r="1352" spans="1:17" x14ac:dyDescent="0.3">
      <c r="A1352" s="22">
        <v>41</v>
      </c>
      <c r="B1352" s="19">
        <v>44.78</v>
      </c>
      <c r="C1352" s="20">
        <f>Sales!$B1352*Sales!$A1352</f>
        <v>1835.98</v>
      </c>
      <c r="D1352" s="21">
        <v>37950</v>
      </c>
      <c r="E1352" s="22" t="s">
        <v>9</v>
      </c>
      <c r="F1352" s="22">
        <v>4</v>
      </c>
      <c r="G1352" s="22">
        <v>11</v>
      </c>
      <c r="H1352" s="22">
        <v>2003</v>
      </c>
      <c r="I1352" s="22" t="s">
        <v>112</v>
      </c>
      <c r="J1352" s="20">
        <v>50</v>
      </c>
      <c r="K1352" s="20">
        <f>Sales!$B1352-Sales!$J1352</f>
        <v>-5.2199999999999989</v>
      </c>
      <c r="L1352" s="23">
        <f>(Sales!$J1352-Sales!$B1352)/Sales!$J1352</f>
        <v>0.10439999999999998</v>
      </c>
      <c r="M1352" s="23" t="s">
        <v>134</v>
      </c>
      <c r="N1352" s="22" t="s">
        <v>54</v>
      </c>
      <c r="O1352" s="22" t="s">
        <v>16</v>
      </c>
      <c r="P1352" s="22" t="s">
        <v>17</v>
      </c>
      <c r="Q1352" s="22" t="s">
        <v>14</v>
      </c>
    </row>
    <row r="1353" spans="1:17" x14ac:dyDescent="0.3">
      <c r="A1353" s="27">
        <v>21</v>
      </c>
      <c r="B1353" s="24">
        <v>53.33</v>
      </c>
      <c r="C1353" s="25">
        <f>Sales!$B1353*Sales!$A1353</f>
        <v>1119.93</v>
      </c>
      <c r="D1353" s="26">
        <v>37960</v>
      </c>
      <c r="E1353" s="27" t="s">
        <v>9</v>
      </c>
      <c r="F1353" s="27">
        <v>4</v>
      </c>
      <c r="G1353" s="27">
        <v>12</v>
      </c>
      <c r="H1353" s="27">
        <v>2003</v>
      </c>
      <c r="I1353" s="27" t="s">
        <v>112</v>
      </c>
      <c r="J1353" s="25">
        <v>50</v>
      </c>
      <c r="K1353" s="25">
        <f>Sales!$B1353-Sales!$J1353</f>
        <v>3.3299999999999983</v>
      </c>
      <c r="L1353" s="28">
        <f>(Sales!$J1353-Sales!$B1353)/Sales!$J1353</f>
        <v>-6.6599999999999965E-2</v>
      </c>
      <c r="M1353" s="28" t="str">
        <f t="shared" si="21"/>
        <v>Below 0%</v>
      </c>
      <c r="N1353" s="27" t="s">
        <v>55</v>
      </c>
      <c r="O1353" s="27" t="s">
        <v>56</v>
      </c>
      <c r="P1353" s="27" t="s">
        <v>13</v>
      </c>
      <c r="Q1353" s="27" t="s">
        <v>14</v>
      </c>
    </row>
    <row r="1354" spans="1:17" x14ac:dyDescent="0.3">
      <c r="A1354" s="22">
        <v>46</v>
      </c>
      <c r="B1354" s="19">
        <v>45.28</v>
      </c>
      <c r="C1354" s="20">
        <f>Sales!$B1354*Sales!$A1354</f>
        <v>2082.88</v>
      </c>
      <c r="D1354" s="21">
        <v>38015</v>
      </c>
      <c r="E1354" s="22" t="s">
        <v>9</v>
      </c>
      <c r="F1354" s="22">
        <v>1</v>
      </c>
      <c r="G1354" s="22">
        <v>1</v>
      </c>
      <c r="H1354" s="22">
        <v>2004</v>
      </c>
      <c r="I1354" s="22" t="s">
        <v>112</v>
      </c>
      <c r="J1354" s="20">
        <v>50</v>
      </c>
      <c r="K1354" s="20">
        <f>Sales!$B1354-Sales!$J1354</f>
        <v>-4.7199999999999989</v>
      </c>
      <c r="L1354" s="23">
        <f>(Sales!$J1354-Sales!$B1354)/Sales!$J1354</f>
        <v>9.4399999999999984E-2</v>
      </c>
      <c r="M1354" s="23" t="str">
        <f t="shared" si="21"/>
        <v>5%-10%</v>
      </c>
      <c r="N1354" s="22" t="s">
        <v>57</v>
      </c>
      <c r="O1354" s="22" t="s">
        <v>12</v>
      </c>
      <c r="P1354" s="22" t="s">
        <v>13</v>
      </c>
      <c r="Q1354" s="22" t="s">
        <v>14</v>
      </c>
    </row>
    <row r="1355" spans="1:17" x14ac:dyDescent="0.3">
      <c r="A1355" s="27">
        <v>39</v>
      </c>
      <c r="B1355" s="24">
        <v>40.25</v>
      </c>
      <c r="C1355" s="25">
        <f>Sales!$B1355*Sales!$A1355</f>
        <v>1569.75</v>
      </c>
      <c r="D1355" s="26">
        <v>38057</v>
      </c>
      <c r="E1355" s="27" t="s">
        <v>9</v>
      </c>
      <c r="F1355" s="27">
        <v>1</v>
      </c>
      <c r="G1355" s="27">
        <v>3</v>
      </c>
      <c r="H1355" s="27">
        <v>2004</v>
      </c>
      <c r="I1355" s="27" t="s">
        <v>112</v>
      </c>
      <c r="J1355" s="25">
        <v>50</v>
      </c>
      <c r="K1355" s="25">
        <f>Sales!$B1355-Sales!$J1355</f>
        <v>-9.75</v>
      </c>
      <c r="L1355" s="28">
        <f>(Sales!$J1355-Sales!$B1355)/Sales!$J1355</f>
        <v>0.19500000000000001</v>
      </c>
      <c r="M1355" s="28" t="str">
        <f t="shared" si="21"/>
        <v>15%-20%</v>
      </c>
      <c r="N1355" s="27" t="s">
        <v>64</v>
      </c>
      <c r="O1355" s="27" t="s">
        <v>12</v>
      </c>
      <c r="P1355" s="27" t="s">
        <v>13</v>
      </c>
      <c r="Q1355" s="27" t="s">
        <v>14</v>
      </c>
    </row>
    <row r="1356" spans="1:17" x14ac:dyDescent="0.3">
      <c r="A1356" s="22">
        <v>45</v>
      </c>
      <c r="B1356" s="19">
        <v>59.87</v>
      </c>
      <c r="C1356" s="20">
        <f>Sales!$B1356*Sales!$A1356</f>
        <v>2694.15</v>
      </c>
      <c r="D1356" s="21">
        <v>38111</v>
      </c>
      <c r="E1356" s="22" t="s">
        <v>9</v>
      </c>
      <c r="F1356" s="22">
        <v>2</v>
      </c>
      <c r="G1356" s="22">
        <v>5</v>
      </c>
      <c r="H1356" s="22">
        <v>2004</v>
      </c>
      <c r="I1356" s="22" t="s">
        <v>112</v>
      </c>
      <c r="J1356" s="20">
        <v>50</v>
      </c>
      <c r="K1356" s="20">
        <f>Sales!$B1356-Sales!$J1356</f>
        <v>9.8699999999999974</v>
      </c>
      <c r="L1356" s="23">
        <f>(Sales!$J1356-Sales!$B1356)/Sales!$J1356</f>
        <v>-0.19739999999999994</v>
      </c>
      <c r="M1356" s="23" t="str">
        <f t="shared" si="21"/>
        <v>Below 0%</v>
      </c>
      <c r="N1356" s="22" t="s">
        <v>58</v>
      </c>
      <c r="O1356" s="22" t="s">
        <v>12</v>
      </c>
      <c r="P1356" s="22" t="s">
        <v>13</v>
      </c>
      <c r="Q1356" s="22" t="s">
        <v>14</v>
      </c>
    </row>
    <row r="1357" spans="1:17" x14ac:dyDescent="0.3">
      <c r="A1357" s="27">
        <v>21</v>
      </c>
      <c r="B1357" s="24">
        <v>59.87</v>
      </c>
      <c r="C1357" s="25">
        <f>Sales!$B1357*Sales!$A1357</f>
        <v>1257.27</v>
      </c>
      <c r="D1357" s="26">
        <v>38153</v>
      </c>
      <c r="E1357" s="27" t="s">
        <v>9</v>
      </c>
      <c r="F1357" s="27">
        <v>2</v>
      </c>
      <c r="G1357" s="27">
        <v>6</v>
      </c>
      <c r="H1357" s="27">
        <v>2004</v>
      </c>
      <c r="I1357" s="27" t="s">
        <v>112</v>
      </c>
      <c r="J1357" s="25">
        <v>50</v>
      </c>
      <c r="K1357" s="25">
        <f>Sales!$B1357-Sales!$J1357</f>
        <v>9.8699999999999974</v>
      </c>
      <c r="L1357" s="28">
        <f>(Sales!$J1357-Sales!$B1357)/Sales!$J1357</f>
        <v>-0.19739999999999994</v>
      </c>
      <c r="M1357" s="28" t="str">
        <f t="shared" si="21"/>
        <v>Below 0%</v>
      </c>
      <c r="N1357" s="27" t="s">
        <v>59</v>
      </c>
      <c r="O1357" s="27" t="s">
        <v>51</v>
      </c>
      <c r="P1357" s="27" t="s">
        <v>51</v>
      </c>
      <c r="Q1357" s="27" t="s">
        <v>14</v>
      </c>
    </row>
    <row r="1358" spans="1:17" x14ac:dyDescent="0.3">
      <c r="A1358" s="22">
        <v>44</v>
      </c>
      <c r="B1358" s="19">
        <v>58.36</v>
      </c>
      <c r="C1358" s="20">
        <f>Sales!$B1358*Sales!$A1358</f>
        <v>2567.84</v>
      </c>
      <c r="D1358" s="21">
        <v>38187</v>
      </c>
      <c r="E1358" s="22" t="s">
        <v>9</v>
      </c>
      <c r="F1358" s="22">
        <v>3</v>
      </c>
      <c r="G1358" s="22">
        <v>7</v>
      </c>
      <c r="H1358" s="22">
        <v>2004</v>
      </c>
      <c r="I1358" s="22" t="s">
        <v>112</v>
      </c>
      <c r="J1358" s="20">
        <v>50</v>
      </c>
      <c r="K1358" s="20">
        <f>Sales!$B1358-Sales!$J1358</f>
        <v>8.36</v>
      </c>
      <c r="L1358" s="23">
        <f>(Sales!$J1358-Sales!$B1358)/Sales!$J1358</f>
        <v>-0.16719999999999999</v>
      </c>
      <c r="M1358" s="23" t="str">
        <f t="shared" si="21"/>
        <v>Below 0%</v>
      </c>
      <c r="N1358" s="22" t="s">
        <v>40</v>
      </c>
      <c r="O1358" s="22" t="s">
        <v>27</v>
      </c>
      <c r="P1358" s="22" t="s">
        <v>28</v>
      </c>
      <c r="Q1358" s="22" t="s">
        <v>14</v>
      </c>
    </row>
    <row r="1359" spans="1:17" x14ac:dyDescent="0.3">
      <c r="A1359" s="27">
        <v>44</v>
      </c>
      <c r="B1359" s="24">
        <v>59.87</v>
      </c>
      <c r="C1359" s="25">
        <f>Sales!$B1359*Sales!$A1359</f>
        <v>2634.2799999999997</v>
      </c>
      <c r="D1359" s="26">
        <v>38218</v>
      </c>
      <c r="E1359" s="27" t="s">
        <v>9</v>
      </c>
      <c r="F1359" s="27">
        <v>3</v>
      </c>
      <c r="G1359" s="27">
        <v>8</v>
      </c>
      <c r="H1359" s="27">
        <v>2004</v>
      </c>
      <c r="I1359" s="27" t="s">
        <v>112</v>
      </c>
      <c r="J1359" s="25">
        <v>50</v>
      </c>
      <c r="K1359" s="25">
        <f>Sales!$B1359-Sales!$J1359</f>
        <v>9.8699999999999974</v>
      </c>
      <c r="L1359" s="28">
        <f>(Sales!$J1359-Sales!$B1359)/Sales!$J1359</f>
        <v>-0.19739999999999994</v>
      </c>
      <c r="M1359" s="28" t="str">
        <f t="shared" si="21"/>
        <v>Below 0%</v>
      </c>
      <c r="N1359" s="27" t="s">
        <v>36</v>
      </c>
      <c r="O1359" s="27" t="s">
        <v>12</v>
      </c>
      <c r="P1359" s="27" t="s">
        <v>13</v>
      </c>
      <c r="Q1359" s="27" t="s">
        <v>14</v>
      </c>
    </row>
    <row r="1360" spans="1:17" x14ac:dyDescent="0.3">
      <c r="A1360" s="22">
        <v>29</v>
      </c>
      <c r="B1360" s="19">
        <v>51.82</v>
      </c>
      <c r="C1360" s="20">
        <f>Sales!$B1360*Sales!$A1360</f>
        <v>1502.78</v>
      </c>
      <c r="D1360" s="21">
        <v>38238</v>
      </c>
      <c r="E1360" s="22" t="s">
        <v>9</v>
      </c>
      <c r="F1360" s="22">
        <v>3</v>
      </c>
      <c r="G1360" s="22">
        <v>9</v>
      </c>
      <c r="H1360" s="22">
        <v>2004</v>
      </c>
      <c r="I1360" s="22" t="s">
        <v>112</v>
      </c>
      <c r="J1360" s="20">
        <v>50</v>
      </c>
      <c r="K1360" s="20">
        <f>Sales!$B1360-Sales!$J1360</f>
        <v>1.8200000000000003</v>
      </c>
      <c r="L1360" s="23">
        <f>(Sales!$J1360-Sales!$B1360)/Sales!$J1360</f>
        <v>-3.6400000000000009E-2</v>
      </c>
      <c r="M1360" s="23" t="str">
        <f t="shared" si="21"/>
        <v>Below 0%</v>
      </c>
      <c r="N1360" s="22" t="s">
        <v>62</v>
      </c>
      <c r="O1360" s="22" t="s">
        <v>49</v>
      </c>
      <c r="P1360" s="22" t="s">
        <v>17</v>
      </c>
      <c r="Q1360" s="22" t="s">
        <v>14</v>
      </c>
    </row>
    <row r="1361" spans="1:17" x14ac:dyDescent="0.3">
      <c r="A1361" s="27">
        <v>34</v>
      </c>
      <c r="B1361" s="24">
        <v>49.3</v>
      </c>
      <c r="C1361" s="25">
        <f>Sales!$B1361*Sales!$A1361</f>
        <v>1676.1999999999998</v>
      </c>
      <c r="D1361" s="26">
        <v>38271</v>
      </c>
      <c r="E1361" s="27" t="s">
        <v>9</v>
      </c>
      <c r="F1361" s="27">
        <v>4</v>
      </c>
      <c r="G1361" s="27">
        <v>10</v>
      </c>
      <c r="H1361" s="27">
        <v>2004</v>
      </c>
      <c r="I1361" s="27" t="s">
        <v>112</v>
      </c>
      <c r="J1361" s="25">
        <v>50</v>
      </c>
      <c r="K1361" s="25">
        <f>Sales!$B1361-Sales!$J1361</f>
        <v>-0.70000000000000284</v>
      </c>
      <c r="L1361" s="28">
        <f>(Sales!$J1361-Sales!$B1361)/Sales!$J1361</f>
        <v>1.4000000000000058E-2</v>
      </c>
      <c r="M1361" s="28" t="str">
        <f t="shared" si="21"/>
        <v>0%-5%</v>
      </c>
      <c r="N1361" s="27" t="s">
        <v>63</v>
      </c>
      <c r="O1361" s="27" t="s">
        <v>16</v>
      </c>
      <c r="P1361" s="27" t="s">
        <v>17</v>
      </c>
      <c r="Q1361" s="27" t="s">
        <v>14</v>
      </c>
    </row>
    <row r="1362" spans="1:17" x14ac:dyDescent="0.3">
      <c r="A1362" s="22">
        <v>39</v>
      </c>
      <c r="B1362" s="19">
        <v>56.85</v>
      </c>
      <c r="C1362" s="20">
        <f>Sales!$B1362*Sales!$A1362</f>
        <v>2217.15</v>
      </c>
      <c r="D1362" s="21">
        <v>38281</v>
      </c>
      <c r="E1362" s="22" t="s">
        <v>9</v>
      </c>
      <c r="F1362" s="22">
        <v>4</v>
      </c>
      <c r="G1362" s="22">
        <v>10</v>
      </c>
      <c r="H1362" s="22">
        <v>2004</v>
      </c>
      <c r="I1362" s="22" t="s">
        <v>112</v>
      </c>
      <c r="J1362" s="20">
        <v>50</v>
      </c>
      <c r="K1362" s="20">
        <f>Sales!$B1362-Sales!$J1362</f>
        <v>6.8500000000000014</v>
      </c>
      <c r="L1362" s="23">
        <f>(Sales!$J1362-Sales!$B1362)/Sales!$J1362</f>
        <v>-0.13700000000000004</v>
      </c>
      <c r="M1362" s="23" t="str">
        <f t="shared" si="21"/>
        <v>Below 0%</v>
      </c>
      <c r="N1362" s="22" t="s">
        <v>64</v>
      </c>
      <c r="O1362" s="22" t="s">
        <v>12</v>
      </c>
      <c r="P1362" s="22" t="s">
        <v>13</v>
      </c>
      <c r="Q1362" s="22" t="s">
        <v>14</v>
      </c>
    </row>
    <row r="1363" spans="1:17" x14ac:dyDescent="0.3">
      <c r="A1363" s="27">
        <v>38</v>
      </c>
      <c r="B1363" s="24">
        <v>100</v>
      </c>
      <c r="C1363" s="25">
        <f>Sales!$B1363*Sales!$A1363</f>
        <v>3800</v>
      </c>
      <c r="D1363" s="26">
        <v>38296</v>
      </c>
      <c r="E1363" s="27" t="s">
        <v>9</v>
      </c>
      <c r="F1363" s="27">
        <v>4</v>
      </c>
      <c r="G1363" s="27">
        <v>11</v>
      </c>
      <c r="H1363" s="27">
        <v>2004</v>
      </c>
      <c r="I1363" s="27" t="s">
        <v>112</v>
      </c>
      <c r="J1363" s="25">
        <v>50</v>
      </c>
      <c r="K1363" s="25">
        <f>Sales!$B1363-Sales!$J1363</f>
        <v>50</v>
      </c>
      <c r="L1363" s="28">
        <f>(Sales!$J1363-Sales!$B1363)/Sales!$J1363</f>
        <v>-1</v>
      </c>
      <c r="M1363" s="28" t="str">
        <f t="shared" si="21"/>
        <v>Below 0%</v>
      </c>
      <c r="N1363" s="27" t="s">
        <v>11</v>
      </c>
      <c r="O1363" s="27" t="s">
        <v>12</v>
      </c>
      <c r="P1363" s="27" t="s">
        <v>13</v>
      </c>
      <c r="Q1363" s="27" t="s">
        <v>19</v>
      </c>
    </row>
    <row r="1364" spans="1:17" x14ac:dyDescent="0.3">
      <c r="A1364" s="22">
        <v>24</v>
      </c>
      <c r="B1364" s="19">
        <v>79.86</v>
      </c>
      <c r="C1364" s="20">
        <f>Sales!$B1364*Sales!$A1364</f>
        <v>1916.6399999999999</v>
      </c>
      <c r="D1364" s="21">
        <v>38309</v>
      </c>
      <c r="E1364" s="22" t="s">
        <v>9</v>
      </c>
      <c r="F1364" s="22">
        <v>4</v>
      </c>
      <c r="G1364" s="22">
        <v>11</v>
      </c>
      <c r="H1364" s="22">
        <v>2004</v>
      </c>
      <c r="I1364" s="22" t="s">
        <v>112</v>
      </c>
      <c r="J1364" s="20">
        <v>50</v>
      </c>
      <c r="K1364" s="20">
        <f>Sales!$B1364-Sales!$J1364</f>
        <v>29.86</v>
      </c>
      <c r="L1364" s="23">
        <f>(Sales!$J1364-Sales!$B1364)/Sales!$J1364</f>
        <v>-0.59719999999999995</v>
      </c>
      <c r="M1364" s="23" t="str">
        <f t="shared" si="21"/>
        <v>Below 0%</v>
      </c>
      <c r="N1364" s="22" t="s">
        <v>21</v>
      </c>
      <c r="O1364" s="22" t="s">
        <v>12</v>
      </c>
      <c r="P1364" s="22" t="s">
        <v>13</v>
      </c>
      <c r="Q1364" s="22" t="s">
        <v>14</v>
      </c>
    </row>
    <row r="1365" spans="1:17" x14ac:dyDescent="0.3">
      <c r="A1365" s="27">
        <v>29</v>
      </c>
      <c r="B1365" s="24">
        <v>100</v>
      </c>
      <c r="C1365" s="25">
        <f>Sales!$B1365*Sales!$A1365</f>
        <v>2900</v>
      </c>
      <c r="D1365" s="26">
        <v>38292</v>
      </c>
      <c r="E1365" s="27" t="s">
        <v>9</v>
      </c>
      <c r="F1365" s="27">
        <v>4</v>
      </c>
      <c r="G1365" s="27">
        <v>11</v>
      </c>
      <c r="H1365" s="27">
        <v>2004</v>
      </c>
      <c r="I1365" s="27" t="s">
        <v>112</v>
      </c>
      <c r="J1365" s="25">
        <v>50</v>
      </c>
      <c r="K1365" s="25">
        <f>Sales!$B1365-Sales!$J1365</f>
        <v>50</v>
      </c>
      <c r="L1365" s="28">
        <f>(Sales!$J1365-Sales!$B1365)/Sales!$J1365</f>
        <v>-1</v>
      </c>
      <c r="M1365" s="28" t="str">
        <f t="shared" si="21"/>
        <v>Below 0%</v>
      </c>
      <c r="N1365" s="27" t="s">
        <v>45</v>
      </c>
      <c r="O1365" s="27" t="s">
        <v>46</v>
      </c>
      <c r="P1365" s="27" t="s">
        <v>17</v>
      </c>
      <c r="Q1365" s="27" t="s">
        <v>39</v>
      </c>
    </row>
    <row r="1366" spans="1:17" x14ac:dyDescent="0.3">
      <c r="A1366" s="22">
        <v>30</v>
      </c>
      <c r="B1366" s="19">
        <v>100</v>
      </c>
      <c r="C1366" s="20">
        <f>Sales!$B1366*Sales!$A1366</f>
        <v>3000</v>
      </c>
      <c r="D1366" s="21">
        <v>38331</v>
      </c>
      <c r="E1366" s="22" t="s">
        <v>9</v>
      </c>
      <c r="F1366" s="22">
        <v>4</v>
      </c>
      <c r="G1366" s="22">
        <v>12</v>
      </c>
      <c r="H1366" s="22">
        <v>2004</v>
      </c>
      <c r="I1366" s="22" t="s">
        <v>112</v>
      </c>
      <c r="J1366" s="20">
        <v>50</v>
      </c>
      <c r="K1366" s="20">
        <f>Sales!$B1366-Sales!$J1366</f>
        <v>50</v>
      </c>
      <c r="L1366" s="23">
        <f>(Sales!$J1366-Sales!$B1366)/Sales!$J1366</f>
        <v>-1</v>
      </c>
      <c r="M1366" s="23" t="str">
        <f t="shared" si="21"/>
        <v>Below 0%</v>
      </c>
      <c r="N1366" s="22" t="s">
        <v>45</v>
      </c>
      <c r="O1366" s="22" t="s">
        <v>46</v>
      </c>
      <c r="P1366" s="22" t="s">
        <v>17</v>
      </c>
      <c r="Q1366" s="22" t="s">
        <v>19</v>
      </c>
    </row>
    <row r="1367" spans="1:17" x14ac:dyDescent="0.3">
      <c r="A1367" s="27">
        <v>20</v>
      </c>
      <c r="B1367" s="24">
        <v>100</v>
      </c>
      <c r="C1367" s="25">
        <f>Sales!$B1367*Sales!$A1367</f>
        <v>2000</v>
      </c>
      <c r="D1367" s="26">
        <v>38372</v>
      </c>
      <c r="E1367" s="27" t="s">
        <v>9</v>
      </c>
      <c r="F1367" s="27">
        <v>1</v>
      </c>
      <c r="G1367" s="27">
        <v>1</v>
      </c>
      <c r="H1367" s="27">
        <v>2005</v>
      </c>
      <c r="I1367" s="27" t="s">
        <v>112</v>
      </c>
      <c r="J1367" s="25">
        <v>50</v>
      </c>
      <c r="K1367" s="25">
        <f>Sales!$B1367-Sales!$J1367</f>
        <v>50</v>
      </c>
      <c r="L1367" s="28">
        <f>(Sales!$J1367-Sales!$B1367)/Sales!$J1367</f>
        <v>-1</v>
      </c>
      <c r="M1367" s="28" t="str">
        <f t="shared" si="21"/>
        <v>Below 0%</v>
      </c>
      <c r="N1367" s="27" t="s">
        <v>67</v>
      </c>
      <c r="O1367" s="27" t="s">
        <v>27</v>
      </c>
      <c r="P1367" s="27" t="s">
        <v>28</v>
      </c>
      <c r="Q1367" s="27" t="s">
        <v>14</v>
      </c>
    </row>
    <row r="1368" spans="1:17" x14ac:dyDescent="0.3">
      <c r="A1368" s="22">
        <v>39</v>
      </c>
      <c r="B1368" s="19">
        <v>100</v>
      </c>
      <c r="C1368" s="20">
        <f>Sales!$B1368*Sales!$A1368</f>
        <v>3900</v>
      </c>
      <c r="D1368" s="21">
        <v>38400</v>
      </c>
      <c r="E1368" s="22" t="s">
        <v>9</v>
      </c>
      <c r="F1368" s="22">
        <v>1</v>
      </c>
      <c r="G1368" s="22">
        <v>2</v>
      </c>
      <c r="H1368" s="22">
        <v>2005</v>
      </c>
      <c r="I1368" s="22" t="s">
        <v>112</v>
      </c>
      <c r="J1368" s="20">
        <v>50</v>
      </c>
      <c r="K1368" s="20">
        <f>Sales!$B1368-Sales!$J1368</f>
        <v>50</v>
      </c>
      <c r="L1368" s="23">
        <f>(Sales!$J1368-Sales!$B1368)/Sales!$J1368</f>
        <v>-1</v>
      </c>
      <c r="M1368" s="23" t="str">
        <f t="shared" si="21"/>
        <v>Below 0%</v>
      </c>
      <c r="N1368" s="22" t="s">
        <v>64</v>
      </c>
      <c r="O1368" s="22" t="s">
        <v>12</v>
      </c>
      <c r="P1368" s="22" t="s">
        <v>13</v>
      </c>
      <c r="Q1368" s="22" t="s">
        <v>39</v>
      </c>
    </row>
    <row r="1369" spans="1:17" x14ac:dyDescent="0.3">
      <c r="A1369" s="27">
        <v>35</v>
      </c>
      <c r="B1369" s="24">
        <v>59.87</v>
      </c>
      <c r="C1369" s="25">
        <f>Sales!$B1369*Sales!$A1369</f>
        <v>2095.4499999999998</v>
      </c>
      <c r="D1369" s="26">
        <v>38473</v>
      </c>
      <c r="E1369" s="27" t="s">
        <v>9</v>
      </c>
      <c r="F1369" s="27">
        <v>2</v>
      </c>
      <c r="G1369" s="27">
        <v>5</v>
      </c>
      <c r="H1369" s="27">
        <v>2005</v>
      </c>
      <c r="I1369" s="27" t="s">
        <v>112</v>
      </c>
      <c r="J1369" s="25">
        <v>50</v>
      </c>
      <c r="K1369" s="25">
        <f>Sales!$B1369-Sales!$J1369</f>
        <v>9.8699999999999974</v>
      </c>
      <c r="L1369" s="28">
        <f>(Sales!$J1369-Sales!$B1369)/Sales!$J1369</f>
        <v>-0.19739999999999994</v>
      </c>
      <c r="M1369" s="28" t="str">
        <f t="shared" si="21"/>
        <v>Below 0%</v>
      </c>
      <c r="N1369" s="27" t="s">
        <v>68</v>
      </c>
      <c r="O1369" s="27" t="s">
        <v>56</v>
      </c>
      <c r="P1369" s="27" t="s">
        <v>13</v>
      </c>
      <c r="Q1369" s="27" t="s">
        <v>14</v>
      </c>
    </row>
    <row r="1370" spans="1:17" x14ac:dyDescent="0.3">
      <c r="A1370" s="22">
        <v>26</v>
      </c>
      <c r="B1370" s="19">
        <v>59.87</v>
      </c>
      <c r="C1370" s="20">
        <f>Sales!$B1370*Sales!$A1370</f>
        <v>1556.62</v>
      </c>
      <c r="D1370" s="21">
        <v>38503</v>
      </c>
      <c r="E1370" s="22" t="s">
        <v>69</v>
      </c>
      <c r="F1370" s="22">
        <v>2</v>
      </c>
      <c r="G1370" s="22">
        <v>5</v>
      </c>
      <c r="H1370" s="22">
        <v>2005</v>
      </c>
      <c r="I1370" s="22" t="s">
        <v>112</v>
      </c>
      <c r="J1370" s="20">
        <v>50</v>
      </c>
      <c r="K1370" s="20">
        <f>Sales!$B1370-Sales!$J1370</f>
        <v>9.8699999999999974</v>
      </c>
      <c r="L1370" s="23">
        <f>(Sales!$J1370-Sales!$B1370)/Sales!$J1370</f>
        <v>-0.19739999999999994</v>
      </c>
      <c r="M1370" s="23" t="str">
        <f t="shared" si="21"/>
        <v>Below 0%</v>
      </c>
      <c r="N1370" s="22" t="s">
        <v>45</v>
      </c>
      <c r="O1370" s="22" t="s">
        <v>46</v>
      </c>
      <c r="P1370" s="22" t="s">
        <v>17</v>
      </c>
      <c r="Q1370" s="22" t="s">
        <v>14</v>
      </c>
    </row>
    <row r="1371" spans="1:17" x14ac:dyDescent="0.3">
      <c r="A1371" s="27">
        <v>44</v>
      </c>
      <c r="B1371" s="24">
        <v>100</v>
      </c>
      <c r="C1371" s="25">
        <f>Sales!$B1371*Sales!$A1371</f>
        <v>4400</v>
      </c>
      <c r="D1371" s="26">
        <v>37683</v>
      </c>
      <c r="E1371" s="27" t="s">
        <v>9</v>
      </c>
      <c r="F1371" s="27">
        <v>1</v>
      </c>
      <c r="G1371" s="27">
        <v>3</v>
      </c>
      <c r="H1371" s="27">
        <v>2003</v>
      </c>
      <c r="I1371" s="27" t="s">
        <v>47</v>
      </c>
      <c r="J1371" s="25">
        <v>148</v>
      </c>
      <c r="K1371" s="25">
        <f>Sales!$B1371-Sales!$J1371</f>
        <v>-48</v>
      </c>
      <c r="L1371" s="28">
        <f>(Sales!$J1371-Sales!$B1371)/Sales!$J1371</f>
        <v>0.32432432432432434</v>
      </c>
      <c r="M1371" s="28" t="str">
        <f t="shared" si="21"/>
        <v>+20%</v>
      </c>
      <c r="N1371" s="27" t="s">
        <v>90</v>
      </c>
      <c r="O1371" s="27" t="s">
        <v>91</v>
      </c>
      <c r="P1371" s="27" t="s">
        <v>28</v>
      </c>
      <c r="Q1371" s="27" t="s">
        <v>19</v>
      </c>
    </row>
    <row r="1372" spans="1:17" x14ac:dyDescent="0.3">
      <c r="A1372" s="22">
        <v>28</v>
      </c>
      <c r="B1372" s="19">
        <v>100</v>
      </c>
      <c r="C1372" s="20">
        <f>Sales!$B1372*Sales!$A1372</f>
        <v>2800</v>
      </c>
      <c r="D1372" s="21">
        <v>37749</v>
      </c>
      <c r="E1372" s="22" t="s">
        <v>9</v>
      </c>
      <c r="F1372" s="22">
        <v>2</v>
      </c>
      <c r="G1372" s="22">
        <v>5</v>
      </c>
      <c r="H1372" s="22">
        <v>2003</v>
      </c>
      <c r="I1372" s="22" t="s">
        <v>47</v>
      </c>
      <c r="J1372" s="20">
        <v>148</v>
      </c>
      <c r="K1372" s="20">
        <f>Sales!$B1372-Sales!$J1372</f>
        <v>-48</v>
      </c>
      <c r="L1372" s="23">
        <f>(Sales!$J1372-Sales!$B1372)/Sales!$J1372</f>
        <v>0.32432432432432434</v>
      </c>
      <c r="M1372" s="23" t="str">
        <f t="shared" si="21"/>
        <v>+20%</v>
      </c>
      <c r="N1372" s="22" t="s">
        <v>92</v>
      </c>
      <c r="O1372" s="22" t="s">
        <v>16</v>
      </c>
      <c r="P1372" s="22" t="s">
        <v>17</v>
      </c>
      <c r="Q1372" s="22" t="s">
        <v>19</v>
      </c>
    </row>
    <row r="1373" spans="1:17" x14ac:dyDescent="0.3">
      <c r="A1373" s="27">
        <v>31</v>
      </c>
      <c r="B1373" s="24">
        <v>100</v>
      </c>
      <c r="C1373" s="25">
        <f>Sales!$B1373*Sales!$A1373</f>
        <v>3100</v>
      </c>
      <c r="D1373" s="26">
        <v>37804</v>
      </c>
      <c r="E1373" s="27" t="s">
        <v>9</v>
      </c>
      <c r="F1373" s="27">
        <v>3</v>
      </c>
      <c r="G1373" s="27">
        <v>7</v>
      </c>
      <c r="H1373" s="27">
        <v>2003</v>
      </c>
      <c r="I1373" s="27" t="s">
        <v>47</v>
      </c>
      <c r="J1373" s="25">
        <v>148</v>
      </c>
      <c r="K1373" s="25">
        <f>Sales!$B1373-Sales!$J1373</f>
        <v>-48</v>
      </c>
      <c r="L1373" s="28">
        <f>(Sales!$J1373-Sales!$B1373)/Sales!$J1373</f>
        <v>0.32432432432432434</v>
      </c>
      <c r="M1373" s="28" t="str">
        <f t="shared" si="21"/>
        <v>+20%</v>
      </c>
      <c r="N1373" s="27" t="s">
        <v>64</v>
      </c>
      <c r="O1373" s="27" t="s">
        <v>12</v>
      </c>
      <c r="P1373" s="27" t="s">
        <v>13</v>
      </c>
      <c r="Q1373" s="27" t="s">
        <v>19</v>
      </c>
    </row>
    <row r="1374" spans="1:17" x14ac:dyDescent="0.3">
      <c r="A1374" s="22">
        <v>29</v>
      </c>
      <c r="B1374" s="19">
        <v>100</v>
      </c>
      <c r="C1374" s="20">
        <f>Sales!$B1374*Sales!$A1374</f>
        <v>2900</v>
      </c>
      <c r="D1374" s="21">
        <v>37867</v>
      </c>
      <c r="E1374" s="22" t="s">
        <v>9</v>
      </c>
      <c r="F1374" s="22">
        <v>3</v>
      </c>
      <c r="G1374" s="22">
        <v>9</v>
      </c>
      <c r="H1374" s="22">
        <v>2003</v>
      </c>
      <c r="I1374" s="22" t="s">
        <v>47</v>
      </c>
      <c r="J1374" s="20">
        <v>148</v>
      </c>
      <c r="K1374" s="20">
        <f>Sales!$B1374-Sales!$J1374</f>
        <v>-48</v>
      </c>
      <c r="L1374" s="23">
        <f>(Sales!$J1374-Sales!$B1374)/Sales!$J1374</f>
        <v>0.32432432432432434</v>
      </c>
      <c r="M1374" s="23" t="str">
        <f t="shared" si="21"/>
        <v>+20%</v>
      </c>
      <c r="N1374" s="22" t="s">
        <v>105</v>
      </c>
      <c r="O1374" s="22" t="s">
        <v>12</v>
      </c>
      <c r="P1374" s="22" t="s">
        <v>13</v>
      </c>
      <c r="Q1374" s="22" t="s">
        <v>19</v>
      </c>
    </row>
    <row r="1375" spans="1:17" x14ac:dyDescent="0.3">
      <c r="A1375" s="27">
        <v>32</v>
      </c>
      <c r="B1375" s="24">
        <v>100</v>
      </c>
      <c r="C1375" s="25">
        <f>Sales!$B1375*Sales!$A1375</f>
        <v>3200</v>
      </c>
      <c r="D1375" s="26">
        <v>37904</v>
      </c>
      <c r="E1375" s="27" t="s">
        <v>9</v>
      </c>
      <c r="F1375" s="27">
        <v>4</v>
      </c>
      <c r="G1375" s="27">
        <v>10</v>
      </c>
      <c r="H1375" s="27">
        <v>2003</v>
      </c>
      <c r="I1375" s="27" t="s">
        <v>47</v>
      </c>
      <c r="J1375" s="25">
        <v>148</v>
      </c>
      <c r="K1375" s="25">
        <f>Sales!$B1375-Sales!$J1375</f>
        <v>-48</v>
      </c>
      <c r="L1375" s="28">
        <f>(Sales!$J1375-Sales!$B1375)/Sales!$J1375</f>
        <v>0.32432432432432434</v>
      </c>
      <c r="M1375" s="28" t="str">
        <f t="shared" si="21"/>
        <v>+20%</v>
      </c>
      <c r="N1375" s="27" t="s">
        <v>21</v>
      </c>
      <c r="O1375" s="27" t="s">
        <v>12</v>
      </c>
      <c r="P1375" s="27" t="s">
        <v>13</v>
      </c>
      <c r="Q1375" s="27" t="s">
        <v>19</v>
      </c>
    </row>
    <row r="1376" spans="1:17" x14ac:dyDescent="0.3">
      <c r="A1376" s="22">
        <v>33</v>
      </c>
      <c r="B1376" s="19">
        <v>100</v>
      </c>
      <c r="C1376" s="20">
        <f>Sales!$B1376*Sales!$A1376</f>
        <v>3300</v>
      </c>
      <c r="D1376" s="21">
        <v>37929</v>
      </c>
      <c r="E1376" s="22" t="s">
        <v>9</v>
      </c>
      <c r="F1376" s="22">
        <v>4</v>
      </c>
      <c r="G1376" s="22">
        <v>11</v>
      </c>
      <c r="H1376" s="22">
        <v>2003</v>
      </c>
      <c r="I1376" s="22" t="s">
        <v>47</v>
      </c>
      <c r="J1376" s="20">
        <v>148</v>
      </c>
      <c r="K1376" s="20">
        <f>Sales!$B1376-Sales!$J1376</f>
        <v>-48</v>
      </c>
      <c r="L1376" s="23">
        <f>(Sales!$J1376-Sales!$B1376)/Sales!$J1376</f>
        <v>0.32432432432432434</v>
      </c>
      <c r="M1376" s="23" t="str">
        <f t="shared" si="21"/>
        <v>+20%</v>
      </c>
      <c r="N1376" s="22" t="s">
        <v>67</v>
      </c>
      <c r="O1376" s="22" t="s">
        <v>27</v>
      </c>
      <c r="P1376" s="22" t="s">
        <v>28</v>
      </c>
      <c r="Q1376" s="22" t="s">
        <v>19</v>
      </c>
    </row>
    <row r="1377" spans="1:17" x14ac:dyDescent="0.3">
      <c r="A1377" s="27">
        <v>44</v>
      </c>
      <c r="B1377" s="24">
        <v>100</v>
      </c>
      <c r="C1377" s="25">
        <f>Sales!$B1377*Sales!$A1377</f>
        <v>4400</v>
      </c>
      <c r="D1377" s="26">
        <v>37936</v>
      </c>
      <c r="E1377" s="27" t="s">
        <v>9</v>
      </c>
      <c r="F1377" s="27">
        <v>4</v>
      </c>
      <c r="G1377" s="27">
        <v>11</v>
      </c>
      <c r="H1377" s="27">
        <v>2003</v>
      </c>
      <c r="I1377" s="27" t="s">
        <v>47</v>
      </c>
      <c r="J1377" s="25">
        <v>148</v>
      </c>
      <c r="K1377" s="25">
        <f>Sales!$B1377-Sales!$J1377</f>
        <v>-48</v>
      </c>
      <c r="L1377" s="28">
        <f>(Sales!$J1377-Sales!$B1377)/Sales!$J1377</f>
        <v>0.32432432432432434</v>
      </c>
      <c r="M1377" s="28" t="str">
        <f t="shared" si="21"/>
        <v>+20%</v>
      </c>
      <c r="N1377" s="27" t="s">
        <v>23</v>
      </c>
      <c r="O1377" s="27" t="s">
        <v>16</v>
      </c>
      <c r="P1377" s="27" t="s">
        <v>17</v>
      </c>
      <c r="Q1377" s="27" t="s">
        <v>19</v>
      </c>
    </row>
    <row r="1378" spans="1:17" x14ac:dyDescent="0.3">
      <c r="A1378" s="22">
        <v>32</v>
      </c>
      <c r="B1378" s="19">
        <v>100</v>
      </c>
      <c r="C1378" s="20">
        <f>Sales!$B1378*Sales!$A1378</f>
        <v>3200</v>
      </c>
      <c r="D1378" s="21">
        <v>37945</v>
      </c>
      <c r="E1378" s="22" t="s">
        <v>9</v>
      </c>
      <c r="F1378" s="22">
        <v>4</v>
      </c>
      <c r="G1378" s="22">
        <v>11</v>
      </c>
      <c r="H1378" s="22">
        <v>2003</v>
      </c>
      <c r="I1378" s="22" t="s">
        <v>47</v>
      </c>
      <c r="J1378" s="20">
        <v>148</v>
      </c>
      <c r="K1378" s="20">
        <f>Sales!$B1378-Sales!$J1378</f>
        <v>-48</v>
      </c>
      <c r="L1378" s="23">
        <f>(Sales!$J1378-Sales!$B1378)/Sales!$J1378</f>
        <v>0.32432432432432434</v>
      </c>
      <c r="M1378" s="23" t="str">
        <f t="shared" si="21"/>
        <v>+20%</v>
      </c>
      <c r="N1378" s="22" t="s">
        <v>93</v>
      </c>
      <c r="O1378" s="22" t="s">
        <v>94</v>
      </c>
      <c r="P1378" s="22" t="s">
        <v>17</v>
      </c>
      <c r="Q1378" s="22" t="s">
        <v>19</v>
      </c>
    </row>
    <row r="1379" spans="1:17" x14ac:dyDescent="0.3">
      <c r="A1379" s="27">
        <v>41</v>
      </c>
      <c r="B1379" s="24">
        <v>100</v>
      </c>
      <c r="C1379" s="25">
        <f>Sales!$B1379*Sales!$A1379</f>
        <v>4100</v>
      </c>
      <c r="D1379" s="26">
        <v>38001</v>
      </c>
      <c r="E1379" s="27" t="s">
        <v>9</v>
      </c>
      <c r="F1379" s="27">
        <v>1</v>
      </c>
      <c r="G1379" s="27">
        <v>1</v>
      </c>
      <c r="H1379" s="27">
        <v>2004</v>
      </c>
      <c r="I1379" s="27" t="s">
        <v>47</v>
      </c>
      <c r="J1379" s="25">
        <v>148</v>
      </c>
      <c r="K1379" s="25">
        <f>Sales!$B1379-Sales!$J1379</f>
        <v>-48</v>
      </c>
      <c r="L1379" s="28">
        <f>(Sales!$J1379-Sales!$B1379)/Sales!$J1379</f>
        <v>0.32432432432432434</v>
      </c>
      <c r="M1379" s="28" t="str">
        <f t="shared" si="21"/>
        <v>+20%</v>
      </c>
      <c r="N1379" s="27" t="s">
        <v>18</v>
      </c>
      <c r="O1379" s="27" t="s">
        <v>16</v>
      </c>
      <c r="P1379" s="27" t="s">
        <v>17</v>
      </c>
      <c r="Q1379" s="27" t="s">
        <v>19</v>
      </c>
    </row>
    <row r="1380" spans="1:17" x14ac:dyDescent="0.3">
      <c r="A1380" s="22">
        <v>35</v>
      </c>
      <c r="B1380" s="19">
        <v>100</v>
      </c>
      <c r="C1380" s="20">
        <f>Sales!$B1380*Sales!$A1380</f>
        <v>3500</v>
      </c>
      <c r="D1380" s="21">
        <v>38039</v>
      </c>
      <c r="E1380" s="22" t="s">
        <v>9</v>
      </c>
      <c r="F1380" s="22">
        <v>1</v>
      </c>
      <c r="G1380" s="22">
        <v>2</v>
      </c>
      <c r="H1380" s="22">
        <v>2004</v>
      </c>
      <c r="I1380" s="22" t="s">
        <v>47</v>
      </c>
      <c r="J1380" s="20">
        <v>148</v>
      </c>
      <c r="K1380" s="20">
        <f>Sales!$B1380-Sales!$J1380</f>
        <v>-48</v>
      </c>
      <c r="L1380" s="23">
        <f>(Sales!$J1380-Sales!$B1380)/Sales!$J1380</f>
        <v>0.32432432432432434</v>
      </c>
      <c r="M1380" s="23" t="str">
        <f t="shared" si="21"/>
        <v>+20%</v>
      </c>
      <c r="N1380" s="22" t="s">
        <v>95</v>
      </c>
      <c r="O1380" s="22" t="s">
        <v>96</v>
      </c>
      <c r="P1380" s="22" t="s">
        <v>17</v>
      </c>
      <c r="Q1380" s="22" t="s">
        <v>19</v>
      </c>
    </row>
    <row r="1381" spans="1:17" x14ac:dyDescent="0.3">
      <c r="A1381" s="27">
        <v>44</v>
      </c>
      <c r="B1381" s="24">
        <v>100</v>
      </c>
      <c r="C1381" s="25">
        <f>Sales!$B1381*Sales!$A1381</f>
        <v>4400</v>
      </c>
      <c r="D1381" s="26">
        <v>38086</v>
      </c>
      <c r="E1381" s="27" t="s">
        <v>9</v>
      </c>
      <c r="F1381" s="27">
        <v>2</v>
      </c>
      <c r="G1381" s="27">
        <v>4</v>
      </c>
      <c r="H1381" s="27">
        <v>2004</v>
      </c>
      <c r="I1381" s="27" t="s">
        <v>47</v>
      </c>
      <c r="J1381" s="25">
        <v>148</v>
      </c>
      <c r="K1381" s="25">
        <f>Sales!$B1381-Sales!$J1381</f>
        <v>-48</v>
      </c>
      <c r="L1381" s="28">
        <f>(Sales!$J1381-Sales!$B1381)/Sales!$J1381</f>
        <v>0.32432432432432434</v>
      </c>
      <c r="M1381" s="28" t="str">
        <f t="shared" si="21"/>
        <v>+20%</v>
      </c>
      <c r="N1381" s="27" t="s">
        <v>72</v>
      </c>
      <c r="O1381" s="27" t="s">
        <v>73</v>
      </c>
      <c r="P1381" s="27" t="s">
        <v>17</v>
      </c>
      <c r="Q1381" s="27" t="s">
        <v>19</v>
      </c>
    </row>
    <row r="1382" spans="1:17" x14ac:dyDescent="0.3">
      <c r="A1382" s="22">
        <v>26</v>
      </c>
      <c r="B1382" s="19">
        <v>100</v>
      </c>
      <c r="C1382" s="20">
        <f>Sales!$B1382*Sales!$A1382</f>
        <v>2600</v>
      </c>
      <c r="D1382" s="21">
        <v>38133</v>
      </c>
      <c r="E1382" s="22" t="s">
        <v>9</v>
      </c>
      <c r="F1382" s="22">
        <v>2</v>
      </c>
      <c r="G1382" s="22">
        <v>5</v>
      </c>
      <c r="H1382" s="22">
        <v>2004</v>
      </c>
      <c r="I1382" s="22" t="s">
        <v>47</v>
      </c>
      <c r="J1382" s="20">
        <v>148</v>
      </c>
      <c r="K1382" s="20">
        <f>Sales!$B1382-Sales!$J1382</f>
        <v>-48</v>
      </c>
      <c r="L1382" s="23">
        <f>(Sales!$J1382-Sales!$B1382)/Sales!$J1382</f>
        <v>0.32432432432432434</v>
      </c>
      <c r="M1382" s="23" t="str">
        <f t="shared" si="21"/>
        <v>+20%</v>
      </c>
      <c r="N1382" s="22" t="s">
        <v>18</v>
      </c>
      <c r="O1382" s="22" t="s">
        <v>16</v>
      </c>
      <c r="P1382" s="22" t="s">
        <v>17</v>
      </c>
      <c r="Q1382" s="22" t="s">
        <v>19</v>
      </c>
    </row>
    <row r="1383" spans="1:17" x14ac:dyDescent="0.3">
      <c r="A1383" s="27">
        <v>20</v>
      </c>
      <c r="B1383" s="24">
        <v>100</v>
      </c>
      <c r="C1383" s="25">
        <f>Sales!$B1383*Sales!$A1383</f>
        <v>2000</v>
      </c>
      <c r="D1383" s="26">
        <v>38168</v>
      </c>
      <c r="E1383" s="27" t="s">
        <v>9</v>
      </c>
      <c r="F1383" s="27">
        <v>2</v>
      </c>
      <c r="G1383" s="27">
        <v>6</v>
      </c>
      <c r="H1383" s="27">
        <v>2004</v>
      </c>
      <c r="I1383" s="27" t="s">
        <v>47</v>
      </c>
      <c r="J1383" s="25">
        <v>148</v>
      </c>
      <c r="K1383" s="25">
        <f>Sales!$B1383-Sales!$J1383</f>
        <v>-48</v>
      </c>
      <c r="L1383" s="28">
        <f>(Sales!$J1383-Sales!$B1383)/Sales!$J1383</f>
        <v>0.32432432432432434</v>
      </c>
      <c r="M1383" s="28" t="str">
        <f t="shared" si="21"/>
        <v>+20%</v>
      </c>
      <c r="N1383" s="27" t="s">
        <v>83</v>
      </c>
      <c r="O1383" s="27" t="s">
        <v>12</v>
      </c>
      <c r="P1383" s="27" t="s">
        <v>13</v>
      </c>
      <c r="Q1383" s="27" t="s">
        <v>14</v>
      </c>
    </row>
    <row r="1384" spans="1:17" x14ac:dyDescent="0.3">
      <c r="A1384" s="22">
        <v>48</v>
      </c>
      <c r="B1384" s="19">
        <v>100</v>
      </c>
      <c r="C1384" s="20">
        <f>Sales!$B1384*Sales!$A1384</f>
        <v>4800</v>
      </c>
      <c r="D1384" s="21">
        <v>38201</v>
      </c>
      <c r="E1384" s="22" t="s">
        <v>9</v>
      </c>
      <c r="F1384" s="22">
        <v>3</v>
      </c>
      <c r="G1384" s="22">
        <v>8</v>
      </c>
      <c r="H1384" s="22">
        <v>2004</v>
      </c>
      <c r="I1384" s="22" t="s">
        <v>47</v>
      </c>
      <c r="J1384" s="20">
        <v>148</v>
      </c>
      <c r="K1384" s="20">
        <f>Sales!$B1384-Sales!$J1384</f>
        <v>-48</v>
      </c>
      <c r="L1384" s="23">
        <f>(Sales!$J1384-Sales!$B1384)/Sales!$J1384</f>
        <v>0.32432432432432434</v>
      </c>
      <c r="M1384" s="23" t="str">
        <f t="shared" si="21"/>
        <v>+20%</v>
      </c>
      <c r="N1384" s="22" t="s">
        <v>66</v>
      </c>
      <c r="O1384" s="22" t="s">
        <v>12</v>
      </c>
      <c r="P1384" s="22" t="s">
        <v>13</v>
      </c>
      <c r="Q1384" s="22" t="s">
        <v>19</v>
      </c>
    </row>
    <row r="1385" spans="1:17" x14ac:dyDescent="0.3">
      <c r="A1385" s="27">
        <v>34</v>
      </c>
      <c r="B1385" s="24">
        <v>100</v>
      </c>
      <c r="C1385" s="25">
        <f>Sales!$B1385*Sales!$A1385</f>
        <v>3400</v>
      </c>
      <c r="D1385" s="26">
        <v>38229</v>
      </c>
      <c r="E1385" s="27" t="s">
        <v>9</v>
      </c>
      <c r="F1385" s="27">
        <v>3</v>
      </c>
      <c r="G1385" s="27">
        <v>8</v>
      </c>
      <c r="H1385" s="27">
        <v>2004</v>
      </c>
      <c r="I1385" s="27" t="s">
        <v>47</v>
      </c>
      <c r="J1385" s="25">
        <v>148</v>
      </c>
      <c r="K1385" s="25">
        <f>Sales!$B1385-Sales!$J1385</f>
        <v>-48</v>
      </c>
      <c r="L1385" s="28">
        <f>(Sales!$J1385-Sales!$B1385)/Sales!$J1385</f>
        <v>0.32432432432432434</v>
      </c>
      <c r="M1385" s="28" t="str">
        <f t="shared" si="21"/>
        <v>+20%</v>
      </c>
      <c r="N1385" s="27" t="s">
        <v>95</v>
      </c>
      <c r="O1385" s="27" t="s">
        <v>96</v>
      </c>
      <c r="P1385" s="27" t="s">
        <v>17</v>
      </c>
      <c r="Q1385" s="27" t="s">
        <v>19</v>
      </c>
    </row>
    <row r="1386" spans="1:17" x14ac:dyDescent="0.3">
      <c r="A1386" s="22">
        <v>49</v>
      </c>
      <c r="B1386" s="19">
        <v>100</v>
      </c>
      <c r="C1386" s="20">
        <f>Sales!$B1386*Sales!$A1386</f>
        <v>4900</v>
      </c>
      <c r="D1386" s="21">
        <v>38260</v>
      </c>
      <c r="E1386" s="22" t="s">
        <v>9</v>
      </c>
      <c r="F1386" s="22">
        <v>3</v>
      </c>
      <c r="G1386" s="22">
        <v>9</v>
      </c>
      <c r="H1386" s="22">
        <v>2004</v>
      </c>
      <c r="I1386" s="22" t="s">
        <v>47</v>
      </c>
      <c r="J1386" s="20">
        <v>148</v>
      </c>
      <c r="K1386" s="20">
        <f>Sales!$B1386-Sales!$J1386</f>
        <v>-48</v>
      </c>
      <c r="L1386" s="23">
        <f>(Sales!$J1386-Sales!$B1386)/Sales!$J1386</f>
        <v>0.32432432432432434</v>
      </c>
      <c r="M1386" s="23" t="str">
        <f t="shared" si="21"/>
        <v>+20%</v>
      </c>
      <c r="N1386" s="22" t="s">
        <v>33</v>
      </c>
      <c r="O1386" s="22" t="s">
        <v>34</v>
      </c>
      <c r="P1386" s="22" t="s">
        <v>17</v>
      </c>
      <c r="Q1386" s="22" t="s">
        <v>39</v>
      </c>
    </row>
    <row r="1387" spans="1:17" x14ac:dyDescent="0.3">
      <c r="A1387" s="27">
        <v>40</v>
      </c>
      <c r="B1387" s="24">
        <v>100</v>
      </c>
      <c r="C1387" s="25">
        <f>Sales!$B1387*Sales!$A1387</f>
        <v>4000</v>
      </c>
      <c r="D1387" s="26">
        <v>38276</v>
      </c>
      <c r="E1387" s="27" t="s">
        <v>9</v>
      </c>
      <c r="F1387" s="27">
        <v>4</v>
      </c>
      <c r="G1387" s="27">
        <v>10</v>
      </c>
      <c r="H1387" s="27">
        <v>2004</v>
      </c>
      <c r="I1387" s="27" t="s">
        <v>47</v>
      </c>
      <c r="J1387" s="25">
        <v>148</v>
      </c>
      <c r="K1387" s="25">
        <f>Sales!$B1387-Sales!$J1387</f>
        <v>-48</v>
      </c>
      <c r="L1387" s="28">
        <f>(Sales!$J1387-Sales!$B1387)/Sales!$J1387</f>
        <v>0.32432432432432434</v>
      </c>
      <c r="M1387" s="28" t="str">
        <f t="shared" si="21"/>
        <v>+20%</v>
      </c>
      <c r="N1387" s="27" t="s">
        <v>93</v>
      </c>
      <c r="O1387" s="27" t="s">
        <v>94</v>
      </c>
      <c r="P1387" s="27" t="s">
        <v>17</v>
      </c>
      <c r="Q1387" s="27" t="s">
        <v>19</v>
      </c>
    </row>
    <row r="1388" spans="1:17" x14ac:dyDescent="0.3">
      <c r="A1388" s="22">
        <v>45</v>
      </c>
      <c r="B1388" s="19">
        <v>100</v>
      </c>
      <c r="C1388" s="20">
        <f>Sales!$B1388*Sales!$A1388</f>
        <v>4500</v>
      </c>
      <c r="D1388" s="21">
        <v>38294</v>
      </c>
      <c r="E1388" s="22" t="s">
        <v>9</v>
      </c>
      <c r="F1388" s="22">
        <v>4</v>
      </c>
      <c r="G1388" s="22">
        <v>11</v>
      </c>
      <c r="H1388" s="22">
        <v>2004</v>
      </c>
      <c r="I1388" s="22" t="s">
        <v>47</v>
      </c>
      <c r="J1388" s="20">
        <v>148</v>
      </c>
      <c r="K1388" s="20">
        <f>Sales!$B1388-Sales!$J1388</f>
        <v>-48</v>
      </c>
      <c r="L1388" s="23">
        <f>(Sales!$J1388-Sales!$B1388)/Sales!$J1388</f>
        <v>0.32432432432432434</v>
      </c>
      <c r="M1388" s="23" t="str">
        <f t="shared" si="21"/>
        <v>+20%</v>
      </c>
      <c r="N1388" s="22" t="s">
        <v>11</v>
      </c>
      <c r="O1388" s="22" t="s">
        <v>12</v>
      </c>
      <c r="P1388" s="22" t="s">
        <v>13</v>
      </c>
      <c r="Q1388" s="22" t="s">
        <v>39</v>
      </c>
    </row>
    <row r="1389" spans="1:17" x14ac:dyDescent="0.3">
      <c r="A1389" s="27">
        <v>50</v>
      </c>
      <c r="B1389" s="24">
        <v>100</v>
      </c>
      <c r="C1389" s="25">
        <f>Sales!$B1389*Sales!$A1389</f>
        <v>5000</v>
      </c>
      <c r="D1389" s="26">
        <v>38307</v>
      </c>
      <c r="E1389" s="27" t="s">
        <v>9</v>
      </c>
      <c r="F1389" s="27">
        <v>4</v>
      </c>
      <c r="G1389" s="27">
        <v>11</v>
      </c>
      <c r="H1389" s="27">
        <v>2004</v>
      </c>
      <c r="I1389" s="27" t="s">
        <v>47</v>
      </c>
      <c r="J1389" s="25">
        <v>148</v>
      </c>
      <c r="K1389" s="25">
        <f>Sales!$B1389-Sales!$J1389</f>
        <v>-48</v>
      </c>
      <c r="L1389" s="28">
        <f>(Sales!$J1389-Sales!$B1389)/Sales!$J1389</f>
        <v>0.32432432432432434</v>
      </c>
      <c r="M1389" s="28" t="str">
        <f t="shared" si="21"/>
        <v>+20%</v>
      </c>
      <c r="N1389" s="27" t="s">
        <v>90</v>
      </c>
      <c r="O1389" s="27" t="s">
        <v>91</v>
      </c>
      <c r="P1389" s="27" t="s">
        <v>28</v>
      </c>
      <c r="Q1389" s="27" t="s">
        <v>19</v>
      </c>
    </row>
    <row r="1390" spans="1:17" x14ac:dyDescent="0.3">
      <c r="A1390" s="22">
        <v>38</v>
      </c>
      <c r="B1390" s="19">
        <v>100</v>
      </c>
      <c r="C1390" s="20">
        <f>Sales!$B1390*Sales!$A1390</f>
        <v>3800</v>
      </c>
      <c r="D1390" s="21">
        <v>38315</v>
      </c>
      <c r="E1390" s="22" t="s">
        <v>9</v>
      </c>
      <c r="F1390" s="22">
        <v>4</v>
      </c>
      <c r="G1390" s="22">
        <v>11</v>
      </c>
      <c r="H1390" s="22">
        <v>2004</v>
      </c>
      <c r="I1390" s="22" t="s">
        <v>47</v>
      </c>
      <c r="J1390" s="20">
        <v>148</v>
      </c>
      <c r="K1390" s="20">
        <f>Sales!$B1390-Sales!$J1390</f>
        <v>-48</v>
      </c>
      <c r="L1390" s="23">
        <f>(Sales!$J1390-Sales!$B1390)/Sales!$J1390</f>
        <v>0.32432432432432434</v>
      </c>
      <c r="M1390" s="23" t="str">
        <f t="shared" si="21"/>
        <v>+20%</v>
      </c>
      <c r="N1390" s="22" t="s">
        <v>26</v>
      </c>
      <c r="O1390" s="22" t="s">
        <v>27</v>
      </c>
      <c r="P1390" s="22" t="s">
        <v>28</v>
      </c>
      <c r="Q1390" s="22" t="s">
        <v>19</v>
      </c>
    </row>
    <row r="1391" spans="1:17" x14ac:dyDescent="0.3">
      <c r="A1391" s="27">
        <v>25</v>
      </c>
      <c r="B1391" s="24">
        <v>100</v>
      </c>
      <c r="C1391" s="25">
        <f>Sales!$B1391*Sales!$A1391</f>
        <v>2500</v>
      </c>
      <c r="D1391" s="26">
        <v>38328</v>
      </c>
      <c r="E1391" s="27" t="s">
        <v>9</v>
      </c>
      <c r="F1391" s="27">
        <v>4</v>
      </c>
      <c r="G1391" s="27">
        <v>12</v>
      </c>
      <c r="H1391" s="27">
        <v>2004</v>
      </c>
      <c r="I1391" s="27" t="s">
        <v>47</v>
      </c>
      <c r="J1391" s="25">
        <v>148</v>
      </c>
      <c r="K1391" s="25">
        <f>Sales!$B1391-Sales!$J1391</f>
        <v>-48</v>
      </c>
      <c r="L1391" s="28">
        <f>(Sales!$J1391-Sales!$B1391)/Sales!$J1391</f>
        <v>0.32432432432432434</v>
      </c>
      <c r="M1391" s="28" t="str">
        <f t="shared" si="21"/>
        <v>+20%</v>
      </c>
      <c r="N1391" s="27" t="s">
        <v>45</v>
      </c>
      <c r="O1391" s="27" t="s">
        <v>46</v>
      </c>
      <c r="P1391" s="27" t="s">
        <v>17</v>
      </c>
      <c r="Q1391" s="27" t="s">
        <v>19</v>
      </c>
    </row>
    <row r="1392" spans="1:17" x14ac:dyDescent="0.3">
      <c r="A1392" s="22">
        <v>28</v>
      </c>
      <c r="B1392" s="19">
        <v>58.18</v>
      </c>
      <c r="C1392" s="20">
        <f>Sales!$B1392*Sales!$A1392</f>
        <v>1629.04</v>
      </c>
      <c r="D1392" s="21">
        <v>38358</v>
      </c>
      <c r="E1392" s="22" t="s">
        <v>9</v>
      </c>
      <c r="F1392" s="22">
        <v>1</v>
      </c>
      <c r="G1392" s="22">
        <v>1</v>
      </c>
      <c r="H1392" s="22">
        <v>2005</v>
      </c>
      <c r="I1392" s="22" t="s">
        <v>47</v>
      </c>
      <c r="J1392" s="20">
        <v>148</v>
      </c>
      <c r="K1392" s="20">
        <f>Sales!$B1392-Sales!$J1392</f>
        <v>-89.82</v>
      </c>
      <c r="L1392" s="23">
        <f>(Sales!$J1392-Sales!$B1392)/Sales!$J1392</f>
        <v>0.60689189189189185</v>
      </c>
      <c r="M1392" s="23" t="str">
        <f t="shared" si="21"/>
        <v>+20%</v>
      </c>
      <c r="N1392" s="22" t="s">
        <v>99</v>
      </c>
      <c r="O1392" s="22" t="s">
        <v>34</v>
      </c>
      <c r="P1392" s="22" t="s">
        <v>17</v>
      </c>
      <c r="Q1392" s="22" t="s">
        <v>14</v>
      </c>
    </row>
    <row r="1393" spans="1:17" x14ac:dyDescent="0.3">
      <c r="A1393" s="27">
        <v>49</v>
      </c>
      <c r="B1393" s="24">
        <v>67.14</v>
      </c>
      <c r="C1393" s="25">
        <f>Sales!$B1393*Sales!$A1393</f>
        <v>3289.86</v>
      </c>
      <c r="D1393" s="26">
        <v>38393</v>
      </c>
      <c r="E1393" s="27" t="s">
        <v>9</v>
      </c>
      <c r="F1393" s="27">
        <v>1</v>
      </c>
      <c r="G1393" s="27">
        <v>2</v>
      </c>
      <c r="H1393" s="27">
        <v>2005</v>
      </c>
      <c r="I1393" s="27" t="s">
        <v>47</v>
      </c>
      <c r="J1393" s="25">
        <v>148</v>
      </c>
      <c r="K1393" s="25">
        <f>Sales!$B1393-Sales!$J1393</f>
        <v>-80.86</v>
      </c>
      <c r="L1393" s="28">
        <f>(Sales!$J1393-Sales!$B1393)/Sales!$J1393</f>
        <v>0.54635135135135138</v>
      </c>
      <c r="M1393" s="28" t="str">
        <f t="shared" si="21"/>
        <v>+20%</v>
      </c>
      <c r="N1393" s="27" t="s">
        <v>45</v>
      </c>
      <c r="O1393" s="27" t="s">
        <v>46</v>
      </c>
      <c r="P1393" s="27" t="s">
        <v>17</v>
      </c>
      <c r="Q1393" s="27" t="s">
        <v>19</v>
      </c>
    </row>
    <row r="1394" spans="1:17" x14ac:dyDescent="0.3">
      <c r="A1394" s="22">
        <v>49</v>
      </c>
      <c r="B1394" s="19">
        <v>100</v>
      </c>
      <c r="C1394" s="20">
        <f>Sales!$B1394*Sales!$A1394</f>
        <v>4900</v>
      </c>
      <c r="D1394" s="21">
        <v>38415</v>
      </c>
      <c r="E1394" s="22" t="s">
        <v>9</v>
      </c>
      <c r="F1394" s="22">
        <v>1</v>
      </c>
      <c r="G1394" s="22">
        <v>3</v>
      </c>
      <c r="H1394" s="22">
        <v>2005</v>
      </c>
      <c r="I1394" s="22" t="s">
        <v>47</v>
      </c>
      <c r="J1394" s="20">
        <v>148</v>
      </c>
      <c r="K1394" s="20">
        <f>Sales!$B1394-Sales!$J1394</f>
        <v>-48</v>
      </c>
      <c r="L1394" s="23">
        <f>(Sales!$J1394-Sales!$B1394)/Sales!$J1394</f>
        <v>0.32432432432432434</v>
      </c>
      <c r="M1394" s="23" t="str">
        <f t="shared" si="21"/>
        <v>+20%</v>
      </c>
      <c r="N1394" s="22" t="s">
        <v>64</v>
      </c>
      <c r="O1394" s="22" t="s">
        <v>12</v>
      </c>
      <c r="P1394" s="22" t="s">
        <v>13</v>
      </c>
      <c r="Q1394" s="22" t="s">
        <v>19</v>
      </c>
    </row>
    <row r="1395" spans="1:17" x14ac:dyDescent="0.3">
      <c r="A1395" s="27">
        <v>42</v>
      </c>
      <c r="B1395" s="24">
        <v>61.29</v>
      </c>
      <c r="C1395" s="25">
        <f>Sales!$B1395*Sales!$A1395</f>
        <v>2574.1799999999998</v>
      </c>
      <c r="D1395" s="26">
        <v>37698</v>
      </c>
      <c r="E1395" s="27" t="s">
        <v>9</v>
      </c>
      <c r="F1395" s="27">
        <v>1</v>
      </c>
      <c r="G1395" s="27">
        <v>3</v>
      </c>
      <c r="H1395" s="27">
        <v>2003</v>
      </c>
      <c r="I1395" s="27" t="s">
        <v>47</v>
      </c>
      <c r="J1395" s="25">
        <v>71</v>
      </c>
      <c r="K1395" s="25">
        <f>Sales!$B1395-Sales!$J1395</f>
        <v>-9.7100000000000009</v>
      </c>
      <c r="L1395" s="28">
        <f>(Sales!$J1395-Sales!$B1395)/Sales!$J1395</f>
        <v>0.1367605633802817</v>
      </c>
      <c r="M1395" s="28" t="str">
        <f t="shared" si="21"/>
        <v>10%-15%</v>
      </c>
      <c r="N1395" s="27" t="s">
        <v>102</v>
      </c>
      <c r="O1395" s="27" t="s">
        <v>43</v>
      </c>
      <c r="P1395" s="27" t="s">
        <v>17</v>
      </c>
      <c r="Q1395" s="27" t="s">
        <v>14</v>
      </c>
    </row>
    <row r="1396" spans="1:17" x14ac:dyDescent="0.3">
      <c r="A1396" s="22">
        <v>23</v>
      </c>
      <c r="B1396" s="19">
        <v>57.73</v>
      </c>
      <c r="C1396" s="20">
        <f>Sales!$B1396*Sales!$A1396</f>
        <v>1327.79</v>
      </c>
      <c r="D1396" s="21">
        <v>37762</v>
      </c>
      <c r="E1396" s="22" t="s">
        <v>9</v>
      </c>
      <c r="F1396" s="22">
        <v>2</v>
      </c>
      <c r="G1396" s="22">
        <v>5</v>
      </c>
      <c r="H1396" s="22">
        <v>2003</v>
      </c>
      <c r="I1396" s="22" t="s">
        <v>47</v>
      </c>
      <c r="J1396" s="20">
        <v>71</v>
      </c>
      <c r="K1396" s="20">
        <f>Sales!$B1396-Sales!$J1396</f>
        <v>-13.270000000000003</v>
      </c>
      <c r="L1396" s="23">
        <f>(Sales!$J1396-Sales!$B1396)/Sales!$J1396</f>
        <v>0.18690140845070427</v>
      </c>
      <c r="M1396" s="23" t="str">
        <f t="shared" si="21"/>
        <v>15%-20%</v>
      </c>
      <c r="N1396" s="22" t="s">
        <v>109</v>
      </c>
      <c r="O1396" s="22" t="s">
        <v>12</v>
      </c>
      <c r="P1396" s="22" t="s">
        <v>13</v>
      </c>
      <c r="Q1396" s="22" t="s">
        <v>14</v>
      </c>
    </row>
    <row r="1397" spans="1:17" x14ac:dyDescent="0.3">
      <c r="A1397" s="27">
        <v>29</v>
      </c>
      <c r="B1397" s="24">
        <v>81.25</v>
      </c>
      <c r="C1397" s="25">
        <f>Sales!$B1397*Sales!$A1397</f>
        <v>2356.25</v>
      </c>
      <c r="D1397" s="26">
        <v>37875</v>
      </c>
      <c r="E1397" s="27" t="s">
        <v>9</v>
      </c>
      <c r="F1397" s="27">
        <v>3</v>
      </c>
      <c r="G1397" s="27">
        <v>9</v>
      </c>
      <c r="H1397" s="27">
        <v>2003</v>
      </c>
      <c r="I1397" s="27" t="s">
        <v>47</v>
      </c>
      <c r="J1397" s="25">
        <v>71</v>
      </c>
      <c r="K1397" s="25">
        <f>Sales!$B1397-Sales!$J1397</f>
        <v>10.25</v>
      </c>
      <c r="L1397" s="28">
        <f>(Sales!$J1397-Sales!$B1397)/Sales!$J1397</f>
        <v>-0.14436619718309859</v>
      </c>
      <c r="M1397" s="28" t="str">
        <f t="shared" si="21"/>
        <v>Below 0%</v>
      </c>
      <c r="N1397" s="27" t="s">
        <v>67</v>
      </c>
      <c r="O1397" s="27" t="s">
        <v>27</v>
      </c>
      <c r="P1397" s="27" t="s">
        <v>28</v>
      </c>
      <c r="Q1397" s="27" t="s">
        <v>14</v>
      </c>
    </row>
    <row r="1398" spans="1:17" x14ac:dyDescent="0.3">
      <c r="A1398" s="22">
        <v>25</v>
      </c>
      <c r="B1398" s="19">
        <v>80.540000000000006</v>
      </c>
      <c r="C1398" s="20">
        <f>Sales!$B1398*Sales!$A1398</f>
        <v>2013.5000000000002</v>
      </c>
      <c r="D1398" s="21">
        <v>37911</v>
      </c>
      <c r="E1398" s="22" t="s">
        <v>9</v>
      </c>
      <c r="F1398" s="22">
        <v>4</v>
      </c>
      <c r="G1398" s="22">
        <v>10</v>
      </c>
      <c r="H1398" s="22">
        <v>2003</v>
      </c>
      <c r="I1398" s="22" t="s">
        <v>47</v>
      </c>
      <c r="J1398" s="20">
        <v>71</v>
      </c>
      <c r="K1398" s="20">
        <f>Sales!$B1398-Sales!$J1398</f>
        <v>9.5400000000000063</v>
      </c>
      <c r="L1398" s="23">
        <f>(Sales!$J1398-Sales!$B1398)/Sales!$J1398</f>
        <v>-0.13436619718309867</v>
      </c>
      <c r="M1398" s="23" t="str">
        <f t="shared" si="21"/>
        <v>Below 0%</v>
      </c>
      <c r="N1398" s="22" t="s">
        <v>103</v>
      </c>
      <c r="O1398" s="22" t="s">
        <v>73</v>
      </c>
      <c r="P1398" s="22" t="s">
        <v>17</v>
      </c>
      <c r="Q1398" s="22" t="s">
        <v>14</v>
      </c>
    </row>
    <row r="1399" spans="1:17" x14ac:dyDescent="0.3">
      <c r="A1399" s="27">
        <v>39</v>
      </c>
      <c r="B1399" s="24">
        <v>71.98</v>
      </c>
      <c r="C1399" s="25">
        <f>Sales!$B1399*Sales!$A1399</f>
        <v>2807.2200000000003</v>
      </c>
      <c r="D1399" s="26">
        <v>37930</v>
      </c>
      <c r="E1399" s="27" t="s">
        <v>9</v>
      </c>
      <c r="F1399" s="27">
        <v>4</v>
      </c>
      <c r="G1399" s="27">
        <v>11</v>
      </c>
      <c r="H1399" s="27">
        <v>2003</v>
      </c>
      <c r="I1399" s="27" t="s">
        <v>47</v>
      </c>
      <c r="J1399" s="25">
        <v>71</v>
      </c>
      <c r="K1399" s="25">
        <f>Sales!$B1399-Sales!$J1399</f>
        <v>0.98000000000000398</v>
      </c>
      <c r="L1399" s="28">
        <f>(Sales!$J1399-Sales!$B1399)/Sales!$J1399</f>
        <v>-1.3802816901408508E-2</v>
      </c>
      <c r="M1399" s="28" t="str">
        <f t="shared" si="21"/>
        <v>Below 0%</v>
      </c>
      <c r="N1399" s="27" t="s">
        <v>113</v>
      </c>
      <c r="O1399" s="27" t="s">
        <v>61</v>
      </c>
      <c r="P1399" s="27" t="s">
        <v>17</v>
      </c>
      <c r="Q1399" s="27" t="s">
        <v>14</v>
      </c>
    </row>
    <row r="1400" spans="1:17" x14ac:dyDescent="0.3">
      <c r="A1400" s="22">
        <v>44</v>
      </c>
      <c r="B1400" s="19">
        <v>69.84</v>
      </c>
      <c r="C1400" s="20">
        <f>Sales!$B1400*Sales!$A1400</f>
        <v>3072.96</v>
      </c>
      <c r="D1400" s="21">
        <v>37937</v>
      </c>
      <c r="E1400" s="22" t="s">
        <v>9</v>
      </c>
      <c r="F1400" s="22">
        <v>4</v>
      </c>
      <c r="G1400" s="22">
        <v>11</v>
      </c>
      <c r="H1400" s="22">
        <v>2003</v>
      </c>
      <c r="I1400" s="22" t="s">
        <v>47</v>
      </c>
      <c r="J1400" s="20">
        <v>71</v>
      </c>
      <c r="K1400" s="20">
        <f>Sales!$B1400-Sales!$J1400</f>
        <v>-1.1599999999999966</v>
      </c>
      <c r="L1400" s="23">
        <f>(Sales!$J1400-Sales!$B1400)/Sales!$J1400</f>
        <v>1.6338028169014036E-2</v>
      </c>
      <c r="M1400" s="23" t="str">
        <f t="shared" si="21"/>
        <v>0%-5%</v>
      </c>
      <c r="N1400" s="22" t="s">
        <v>64</v>
      </c>
      <c r="O1400" s="22" t="s">
        <v>12</v>
      </c>
      <c r="P1400" s="22" t="s">
        <v>13</v>
      </c>
      <c r="Q1400" s="22" t="s">
        <v>19</v>
      </c>
    </row>
    <row r="1401" spans="1:17" x14ac:dyDescent="0.3">
      <c r="A1401" s="27">
        <v>25</v>
      </c>
      <c r="B1401" s="24">
        <v>76.260000000000005</v>
      </c>
      <c r="C1401" s="25">
        <f>Sales!$B1401*Sales!$A1401</f>
        <v>1906.5000000000002</v>
      </c>
      <c r="D1401" s="26">
        <v>37946</v>
      </c>
      <c r="E1401" s="27" t="s">
        <v>9</v>
      </c>
      <c r="F1401" s="27">
        <v>4</v>
      </c>
      <c r="G1401" s="27">
        <v>11</v>
      </c>
      <c r="H1401" s="27">
        <v>2003</v>
      </c>
      <c r="I1401" s="27" t="s">
        <v>47</v>
      </c>
      <c r="J1401" s="25">
        <v>71</v>
      </c>
      <c r="K1401" s="25">
        <f>Sales!$B1401-Sales!$J1401</f>
        <v>5.2600000000000051</v>
      </c>
      <c r="L1401" s="28">
        <f>(Sales!$J1401-Sales!$B1401)/Sales!$J1401</f>
        <v>-7.4084507042253597E-2</v>
      </c>
      <c r="M1401" s="28" t="str">
        <f t="shared" si="21"/>
        <v>Below 0%</v>
      </c>
      <c r="N1401" s="27" t="s">
        <v>114</v>
      </c>
      <c r="O1401" s="27" t="s">
        <v>27</v>
      </c>
      <c r="P1401" s="27" t="s">
        <v>28</v>
      </c>
      <c r="Q1401" s="27" t="s">
        <v>14</v>
      </c>
    </row>
    <row r="1402" spans="1:17" x14ac:dyDescent="0.3">
      <c r="A1402" s="22">
        <v>45</v>
      </c>
      <c r="B1402" s="19">
        <v>76.260000000000005</v>
      </c>
      <c r="C1402" s="20">
        <f>Sales!$B1402*Sales!$A1402</f>
        <v>3431.7000000000003</v>
      </c>
      <c r="D1402" s="21">
        <v>37957</v>
      </c>
      <c r="E1402" s="22" t="s">
        <v>9</v>
      </c>
      <c r="F1402" s="22">
        <v>4</v>
      </c>
      <c r="G1402" s="22">
        <v>12</v>
      </c>
      <c r="H1402" s="22">
        <v>2003</v>
      </c>
      <c r="I1402" s="22" t="s">
        <v>47</v>
      </c>
      <c r="J1402" s="20">
        <v>71</v>
      </c>
      <c r="K1402" s="20">
        <f>Sales!$B1402-Sales!$J1402</f>
        <v>5.2600000000000051</v>
      </c>
      <c r="L1402" s="23">
        <f>(Sales!$J1402-Sales!$B1402)/Sales!$J1402</f>
        <v>-7.4084507042253597E-2</v>
      </c>
      <c r="M1402" s="23" t="str">
        <f t="shared" si="21"/>
        <v>Below 0%</v>
      </c>
      <c r="N1402" s="22" t="s">
        <v>11</v>
      </c>
      <c r="O1402" s="22" t="s">
        <v>12</v>
      </c>
      <c r="P1402" s="22" t="s">
        <v>13</v>
      </c>
      <c r="Q1402" s="22" t="s">
        <v>19</v>
      </c>
    </row>
    <row r="1403" spans="1:17" x14ac:dyDescent="0.3">
      <c r="A1403" s="27">
        <v>25</v>
      </c>
      <c r="B1403" s="24">
        <v>83.39</v>
      </c>
      <c r="C1403" s="25">
        <f>Sales!$B1403*Sales!$A1403</f>
        <v>2084.75</v>
      </c>
      <c r="D1403" s="26">
        <v>38008</v>
      </c>
      <c r="E1403" s="27" t="s">
        <v>9</v>
      </c>
      <c r="F1403" s="27">
        <v>1</v>
      </c>
      <c r="G1403" s="27">
        <v>1</v>
      </c>
      <c r="H1403" s="27">
        <v>2004</v>
      </c>
      <c r="I1403" s="27" t="s">
        <v>47</v>
      </c>
      <c r="J1403" s="25">
        <v>71</v>
      </c>
      <c r="K1403" s="25">
        <f>Sales!$B1403-Sales!$J1403</f>
        <v>12.39</v>
      </c>
      <c r="L1403" s="28">
        <f>(Sales!$J1403-Sales!$B1403)/Sales!$J1403</f>
        <v>-0.17450704225352112</v>
      </c>
      <c r="M1403" s="28" t="str">
        <f t="shared" si="21"/>
        <v>Below 0%</v>
      </c>
      <c r="N1403" s="27" t="s">
        <v>74</v>
      </c>
      <c r="O1403" s="27" t="s">
        <v>43</v>
      </c>
      <c r="P1403" s="27" t="s">
        <v>17</v>
      </c>
      <c r="Q1403" s="27" t="s">
        <v>14</v>
      </c>
    </row>
    <row r="1404" spans="1:17" x14ac:dyDescent="0.3">
      <c r="A1404" s="22">
        <v>37</v>
      </c>
      <c r="B1404" s="19">
        <v>57.73</v>
      </c>
      <c r="C1404" s="20">
        <f>Sales!$B1404*Sales!$A1404</f>
        <v>2136.0099999999998</v>
      </c>
      <c r="D1404" s="21">
        <v>38048</v>
      </c>
      <c r="E1404" s="22" t="s">
        <v>9</v>
      </c>
      <c r="F1404" s="22">
        <v>1</v>
      </c>
      <c r="G1404" s="22">
        <v>3</v>
      </c>
      <c r="H1404" s="22">
        <v>2004</v>
      </c>
      <c r="I1404" s="22" t="s">
        <v>47</v>
      </c>
      <c r="J1404" s="20">
        <v>71</v>
      </c>
      <c r="K1404" s="20">
        <f>Sales!$B1404-Sales!$J1404</f>
        <v>-13.270000000000003</v>
      </c>
      <c r="L1404" s="23">
        <f>(Sales!$J1404-Sales!$B1404)/Sales!$J1404</f>
        <v>0.18690140845070427</v>
      </c>
      <c r="M1404" s="23" t="str">
        <f t="shared" si="21"/>
        <v>15%-20%</v>
      </c>
      <c r="N1404" s="22" t="s">
        <v>54</v>
      </c>
      <c r="O1404" s="22" t="s">
        <v>16</v>
      </c>
      <c r="P1404" s="22" t="s">
        <v>17</v>
      </c>
      <c r="Q1404" s="22" t="s">
        <v>14</v>
      </c>
    </row>
    <row r="1405" spans="1:17" x14ac:dyDescent="0.3">
      <c r="A1405" s="27">
        <v>30</v>
      </c>
      <c r="B1405" s="24">
        <v>66.989999999999995</v>
      </c>
      <c r="C1405" s="25">
        <f>Sales!$B1405*Sales!$A1405</f>
        <v>2009.6999999999998</v>
      </c>
      <c r="D1405" s="26">
        <v>38090</v>
      </c>
      <c r="E1405" s="27" t="s">
        <v>9</v>
      </c>
      <c r="F1405" s="27">
        <v>2</v>
      </c>
      <c r="G1405" s="27">
        <v>4</v>
      </c>
      <c r="H1405" s="27">
        <v>2004</v>
      </c>
      <c r="I1405" s="27" t="s">
        <v>47</v>
      </c>
      <c r="J1405" s="25">
        <v>71</v>
      </c>
      <c r="K1405" s="25">
        <f>Sales!$B1405-Sales!$J1405</f>
        <v>-4.0100000000000051</v>
      </c>
      <c r="L1405" s="28">
        <f>(Sales!$J1405-Sales!$B1405)/Sales!$J1405</f>
        <v>5.6478873239436692E-2</v>
      </c>
      <c r="M1405" s="28" t="str">
        <f t="shared" si="21"/>
        <v>5%-10%</v>
      </c>
      <c r="N1405" s="27" t="s">
        <v>108</v>
      </c>
      <c r="O1405" s="27" t="s">
        <v>16</v>
      </c>
      <c r="P1405" s="27" t="s">
        <v>17</v>
      </c>
      <c r="Q1405" s="27" t="s">
        <v>14</v>
      </c>
    </row>
    <row r="1406" spans="1:17" x14ac:dyDescent="0.3">
      <c r="A1406" s="22">
        <v>36</v>
      </c>
      <c r="B1406" s="19">
        <v>75.55</v>
      </c>
      <c r="C1406" s="20">
        <f>Sales!$B1406*Sales!$A1406</f>
        <v>2719.7999999999997</v>
      </c>
      <c r="D1406" s="21">
        <v>38175</v>
      </c>
      <c r="E1406" s="22" t="s">
        <v>9</v>
      </c>
      <c r="F1406" s="22">
        <v>3</v>
      </c>
      <c r="G1406" s="22">
        <v>7</v>
      </c>
      <c r="H1406" s="22">
        <v>2004</v>
      </c>
      <c r="I1406" s="22" t="s">
        <v>47</v>
      </c>
      <c r="J1406" s="20">
        <v>71</v>
      </c>
      <c r="K1406" s="20">
        <f>Sales!$B1406-Sales!$J1406</f>
        <v>4.5499999999999972</v>
      </c>
      <c r="L1406" s="23">
        <f>(Sales!$J1406-Sales!$B1406)/Sales!$J1406</f>
        <v>-6.4084507042253477E-2</v>
      </c>
      <c r="M1406" s="23" t="str">
        <f t="shared" si="21"/>
        <v>Below 0%</v>
      </c>
      <c r="N1406" s="22" t="s">
        <v>11</v>
      </c>
      <c r="O1406" s="22" t="s">
        <v>12</v>
      </c>
      <c r="P1406" s="22" t="s">
        <v>13</v>
      </c>
      <c r="Q1406" s="22" t="s">
        <v>14</v>
      </c>
    </row>
    <row r="1407" spans="1:17" x14ac:dyDescent="0.3">
      <c r="A1407" s="27">
        <v>26</v>
      </c>
      <c r="B1407" s="24">
        <v>60.58</v>
      </c>
      <c r="C1407" s="25">
        <f>Sales!$B1407*Sales!$A1407</f>
        <v>1575.08</v>
      </c>
      <c r="D1407" s="26">
        <v>38208</v>
      </c>
      <c r="E1407" s="27" t="s">
        <v>9</v>
      </c>
      <c r="F1407" s="27">
        <v>3</v>
      </c>
      <c r="G1407" s="27">
        <v>8</v>
      </c>
      <c r="H1407" s="27">
        <v>2004</v>
      </c>
      <c r="I1407" s="27" t="s">
        <v>47</v>
      </c>
      <c r="J1407" s="25">
        <v>71</v>
      </c>
      <c r="K1407" s="25">
        <f>Sales!$B1407-Sales!$J1407</f>
        <v>-10.420000000000002</v>
      </c>
      <c r="L1407" s="28">
        <f>(Sales!$J1407-Sales!$B1407)/Sales!$J1407</f>
        <v>0.14676056338028171</v>
      </c>
      <c r="M1407" s="28" t="str">
        <f t="shared" si="21"/>
        <v>10%-15%</v>
      </c>
      <c r="N1407" s="27" t="s">
        <v>45</v>
      </c>
      <c r="O1407" s="27" t="s">
        <v>46</v>
      </c>
      <c r="P1407" s="27" t="s">
        <v>17</v>
      </c>
      <c r="Q1407" s="27" t="s">
        <v>14</v>
      </c>
    </row>
    <row r="1408" spans="1:17" x14ac:dyDescent="0.3">
      <c r="A1408" s="22">
        <v>23</v>
      </c>
      <c r="B1408" s="19">
        <v>73.41</v>
      </c>
      <c r="C1408" s="20">
        <f>Sales!$B1408*Sales!$A1408</f>
        <v>1688.4299999999998</v>
      </c>
      <c r="D1408" s="21">
        <v>38231</v>
      </c>
      <c r="E1408" s="22" t="s">
        <v>9</v>
      </c>
      <c r="F1408" s="22">
        <v>3</v>
      </c>
      <c r="G1408" s="22">
        <v>9</v>
      </c>
      <c r="H1408" s="22">
        <v>2004</v>
      </c>
      <c r="I1408" s="22" t="s">
        <v>47</v>
      </c>
      <c r="J1408" s="20">
        <v>71</v>
      </c>
      <c r="K1408" s="20">
        <f>Sales!$B1408-Sales!$J1408</f>
        <v>2.4099999999999966</v>
      </c>
      <c r="L1408" s="23">
        <f>(Sales!$J1408-Sales!$B1408)/Sales!$J1408</f>
        <v>-3.3943661971830935E-2</v>
      </c>
      <c r="M1408" s="23" t="str">
        <f t="shared" si="21"/>
        <v>Below 0%</v>
      </c>
      <c r="N1408" s="22" t="s">
        <v>50</v>
      </c>
      <c r="O1408" s="22" t="s">
        <v>50</v>
      </c>
      <c r="P1408" s="22" t="s">
        <v>28</v>
      </c>
      <c r="Q1408" s="22" t="s">
        <v>14</v>
      </c>
    </row>
    <row r="1409" spans="1:17" x14ac:dyDescent="0.3">
      <c r="A1409" s="27">
        <v>23</v>
      </c>
      <c r="B1409" s="24">
        <v>72.7</v>
      </c>
      <c r="C1409" s="25">
        <f>Sales!$B1409*Sales!$A1409</f>
        <v>1672.1000000000001</v>
      </c>
      <c r="D1409" s="26">
        <v>37900</v>
      </c>
      <c r="E1409" s="27" t="s">
        <v>9</v>
      </c>
      <c r="F1409" s="27">
        <v>4</v>
      </c>
      <c r="G1409" s="27">
        <v>10</v>
      </c>
      <c r="H1409" s="27">
        <v>2003</v>
      </c>
      <c r="I1409" s="27" t="s">
        <v>47</v>
      </c>
      <c r="J1409" s="25">
        <v>71</v>
      </c>
      <c r="K1409" s="25">
        <f>Sales!$B1409-Sales!$J1409</f>
        <v>1.7000000000000028</v>
      </c>
      <c r="L1409" s="28">
        <f>(Sales!$J1409-Sales!$B1409)/Sales!$J1409</f>
        <v>-2.3943661971831027E-2</v>
      </c>
      <c r="M1409" s="28" t="str">
        <f t="shared" si="21"/>
        <v>Below 0%</v>
      </c>
      <c r="N1409" s="27" t="s">
        <v>42</v>
      </c>
      <c r="O1409" s="27" t="s">
        <v>43</v>
      </c>
      <c r="P1409" s="27" t="s">
        <v>17</v>
      </c>
      <c r="Q1409" s="27" t="s">
        <v>14</v>
      </c>
    </row>
    <row r="1410" spans="1:17" x14ac:dyDescent="0.3">
      <c r="A1410" s="22">
        <v>25</v>
      </c>
      <c r="B1410" s="19">
        <v>66.989999999999995</v>
      </c>
      <c r="C1410" s="20">
        <f>Sales!$B1410*Sales!$A1410</f>
        <v>1674.7499999999998</v>
      </c>
      <c r="D1410" s="21">
        <v>38276</v>
      </c>
      <c r="E1410" s="22" t="s">
        <v>9</v>
      </c>
      <c r="F1410" s="22">
        <v>4</v>
      </c>
      <c r="G1410" s="22">
        <v>10</v>
      </c>
      <c r="H1410" s="22">
        <v>2004</v>
      </c>
      <c r="I1410" s="22" t="s">
        <v>47</v>
      </c>
      <c r="J1410" s="20">
        <v>71</v>
      </c>
      <c r="K1410" s="20">
        <f>Sales!$B1410-Sales!$J1410</f>
        <v>-4.0100000000000051</v>
      </c>
      <c r="L1410" s="23">
        <f>(Sales!$J1410-Sales!$B1410)/Sales!$J1410</f>
        <v>5.6478873239436692E-2</v>
      </c>
      <c r="M1410" s="23" t="str">
        <f t="shared" si="21"/>
        <v>5%-10%</v>
      </c>
      <c r="N1410" s="22" t="s">
        <v>45</v>
      </c>
      <c r="O1410" s="22" t="s">
        <v>46</v>
      </c>
      <c r="P1410" s="22" t="s">
        <v>17</v>
      </c>
      <c r="Q1410" s="22" t="s">
        <v>14</v>
      </c>
    </row>
    <row r="1411" spans="1:17" x14ac:dyDescent="0.3">
      <c r="A1411" s="27">
        <v>21</v>
      </c>
      <c r="B1411" s="24">
        <v>100</v>
      </c>
      <c r="C1411" s="25">
        <f>Sales!$B1411*Sales!$A1411</f>
        <v>2100</v>
      </c>
      <c r="D1411" s="26">
        <v>38308</v>
      </c>
      <c r="E1411" s="27" t="s">
        <v>9</v>
      </c>
      <c r="F1411" s="27">
        <v>4</v>
      </c>
      <c r="G1411" s="27">
        <v>11</v>
      </c>
      <c r="H1411" s="27">
        <v>2004</v>
      </c>
      <c r="I1411" s="27" t="s">
        <v>47</v>
      </c>
      <c r="J1411" s="25">
        <v>71</v>
      </c>
      <c r="K1411" s="25">
        <f>Sales!$B1411-Sales!$J1411</f>
        <v>29</v>
      </c>
      <c r="L1411" s="28">
        <f>(Sales!$J1411-Sales!$B1411)/Sales!$J1411</f>
        <v>-0.40845070422535212</v>
      </c>
      <c r="M1411" s="28" t="str">
        <f t="shared" ref="M1411:M1474" si="22">IF(L1411&lt;0%,"Below 0%",IF(L1411=0%,"0%",IF(AND(L1411&lt;=5%,L1411&gt;0%),"0%-5%",IF(AND(L1411&lt;=10%,L1411&gt;5%),"5%-10%",IF(AND(L1411&lt;=15%,L1411&gt;10%),"10%-15%",IF(AND(L1411&lt;=20%,L1411&gt;15%),"15%-20%","+20%"))))))</f>
        <v>Below 0%</v>
      </c>
      <c r="N1411" s="27" t="s">
        <v>102</v>
      </c>
      <c r="O1411" s="27" t="s">
        <v>43</v>
      </c>
      <c r="P1411" s="27" t="s">
        <v>17</v>
      </c>
      <c r="Q1411" s="27" t="s">
        <v>19</v>
      </c>
    </row>
    <row r="1412" spans="1:17" x14ac:dyDescent="0.3">
      <c r="A1412" s="22">
        <v>26</v>
      </c>
      <c r="B1412" s="19">
        <v>63.43</v>
      </c>
      <c r="C1412" s="20">
        <f>Sales!$B1412*Sales!$A1412</f>
        <v>1649.18</v>
      </c>
      <c r="D1412" s="21">
        <v>38316</v>
      </c>
      <c r="E1412" s="22" t="s">
        <v>9</v>
      </c>
      <c r="F1412" s="22">
        <v>4</v>
      </c>
      <c r="G1412" s="22">
        <v>11</v>
      </c>
      <c r="H1412" s="22">
        <v>2004</v>
      </c>
      <c r="I1412" s="22" t="s">
        <v>47</v>
      </c>
      <c r="J1412" s="20">
        <v>71</v>
      </c>
      <c r="K1412" s="20">
        <f>Sales!$B1412-Sales!$J1412</f>
        <v>-7.57</v>
      </c>
      <c r="L1412" s="23">
        <f>(Sales!$J1412-Sales!$B1412)/Sales!$J1412</f>
        <v>0.10661971830985915</v>
      </c>
      <c r="M1412" s="23" t="str">
        <f t="shared" si="22"/>
        <v>10%-15%</v>
      </c>
      <c r="N1412" s="22" t="s">
        <v>92</v>
      </c>
      <c r="O1412" s="22" t="s">
        <v>16</v>
      </c>
      <c r="P1412" s="22" t="s">
        <v>17</v>
      </c>
      <c r="Q1412" s="22" t="s">
        <v>14</v>
      </c>
    </row>
    <row r="1413" spans="1:17" x14ac:dyDescent="0.3">
      <c r="A1413" s="27">
        <v>44</v>
      </c>
      <c r="B1413" s="24">
        <v>85.25</v>
      </c>
      <c r="C1413" s="25">
        <f>Sales!$B1413*Sales!$A1413</f>
        <v>3751</v>
      </c>
      <c r="D1413" s="26">
        <v>38364</v>
      </c>
      <c r="E1413" s="27" t="s">
        <v>88</v>
      </c>
      <c r="F1413" s="27">
        <v>1</v>
      </c>
      <c r="G1413" s="27">
        <v>1</v>
      </c>
      <c r="H1413" s="27">
        <v>2005</v>
      </c>
      <c r="I1413" s="27" t="s">
        <v>47</v>
      </c>
      <c r="J1413" s="25">
        <v>71</v>
      </c>
      <c r="K1413" s="25">
        <f>Sales!$B1413-Sales!$J1413</f>
        <v>14.25</v>
      </c>
      <c r="L1413" s="28">
        <f>(Sales!$J1413-Sales!$B1413)/Sales!$J1413</f>
        <v>-0.20070422535211269</v>
      </c>
      <c r="M1413" s="28" t="str">
        <f t="shared" si="22"/>
        <v>Below 0%</v>
      </c>
      <c r="N1413" s="27" t="s">
        <v>20</v>
      </c>
      <c r="O1413" s="27" t="s">
        <v>12</v>
      </c>
      <c r="P1413" s="27" t="s">
        <v>13</v>
      </c>
      <c r="Q1413" s="27" t="s">
        <v>19</v>
      </c>
    </row>
    <row r="1414" spans="1:17" x14ac:dyDescent="0.3">
      <c r="A1414" s="22">
        <v>24</v>
      </c>
      <c r="B1414" s="19">
        <v>100</v>
      </c>
      <c r="C1414" s="20">
        <f>Sales!$B1414*Sales!$A1414</f>
        <v>2400</v>
      </c>
      <c r="D1414" s="21">
        <v>38399</v>
      </c>
      <c r="E1414" s="22" t="s">
        <v>9</v>
      </c>
      <c r="F1414" s="22">
        <v>1</v>
      </c>
      <c r="G1414" s="22">
        <v>2</v>
      </c>
      <c r="H1414" s="22">
        <v>2005</v>
      </c>
      <c r="I1414" s="22" t="s">
        <v>47</v>
      </c>
      <c r="J1414" s="20">
        <v>71</v>
      </c>
      <c r="K1414" s="20">
        <f>Sales!$B1414-Sales!$J1414</f>
        <v>29</v>
      </c>
      <c r="L1414" s="23">
        <f>(Sales!$J1414-Sales!$B1414)/Sales!$J1414</f>
        <v>-0.40845070422535212</v>
      </c>
      <c r="M1414" s="23" t="str">
        <f t="shared" si="22"/>
        <v>Below 0%</v>
      </c>
      <c r="N1414" s="22" t="s">
        <v>45</v>
      </c>
      <c r="O1414" s="22" t="s">
        <v>46</v>
      </c>
      <c r="P1414" s="22" t="s">
        <v>17</v>
      </c>
      <c r="Q1414" s="22" t="s">
        <v>19</v>
      </c>
    </row>
    <row r="1415" spans="1:17" x14ac:dyDescent="0.3">
      <c r="A1415" s="27">
        <v>66</v>
      </c>
      <c r="B1415" s="24">
        <v>66.989999999999995</v>
      </c>
      <c r="C1415" s="25">
        <f>Sales!$B1415*Sales!$A1415</f>
        <v>4421.3399999999992</v>
      </c>
      <c r="D1415" s="26">
        <v>38464</v>
      </c>
      <c r="E1415" s="27" t="s">
        <v>87</v>
      </c>
      <c r="F1415" s="27">
        <v>2</v>
      </c>
      <c r="G1415" s="27">
        <v>4</v>
      </c>
      <c r="H1415" s="27">
        <v>2005</v>
      </c>
      <c r="I1415" s="27" t="s">
        <v>47</v>
      </c>
      <c r="J1415" s="25">
        <v>71</v>
      </c>
      <c r="K1415" s="25">
        <f>Sales!$B1415-Sales!$J1415</f>
        <v>-4.0100000000000051</v>
      </c>
      <c r="L1415" s="28">
        <f>(Sales!$J1415-Sales!$B1415)/Sales!$J1415</f>
        <v>5.6478873239436692E-2</v>
      </c>
      <c r="M1415" s="28" t="str">
        <f t="shared" si="22"/>
        <v>5%-10%</v>
      </c>
      <c r="N1415" s="27" t="s">
        <v>86</v>
      </c>
      <c r="O1415" s="27" t="s">
        <v>12</v>
      </c>
      <c r="P1415" s="27" t="s">
        <v>13</v>
      </c>
      <c r="Q1415" s="27" t="s">
        <v>19</v>
      </c>
    </row>
    <row r="1416" spans="1:17" x14ac:dyDescent="0.3">
      <c r="A1416" s="22">
        <v>36</v>
      </c>
      <c r="B1416" s="19">
        <v>57.73</v>
      </c>
      <c r="C1416" s="20">
        <f>Sales!$B1416*Sales!$A1416</f>
        <v>2078.2799999999997</v>
      </c>
      <c r="D1416" s="21">
        <v>38501</v>
      </c>
      <c r="E1416" s="22" t="s">
        <v>69</v>
      </c>
      <c r="F1416" s="22">
        <v>2</v>
      </c>
      <c r="G1416" s="22">
        <v>5</v>
      </c>
      <c r="H1416" s="22">
        <v>2005</v>
      </c>
      <c r="I1416" s="22" t="s">
        <v>47</v>
      </c>
      <c r="J1416" s="20">
        <v>71</v>
      </c>
      <c r="K1416" s="20">
        <f>Sales!$B1416-Sales!$J1416</f>
        <v>-13.270000000000003</v>
      </c>
      <c r="L1416" s="23">
        <f>(Sales!$J1416-Sales!$B1416)/Sales!$J1416</f>
        <v>0.18690140845070427</v>
      </c>
      <c r="M1416" s="23" t="str">
        <f t="shared" si="22"/>
        <v>15%-20%</v>
      </c>
      <c r="N1416" s="22" t="s">
        <v>40</v>
      </c>
      <c r="O1416" s="22" t="s">
        <v>27</v>
      </c>
      <c r="P1416" s="22" t="s">
        <v>28</v>
      </c>
      <c r="Q1416" s="22" t="s">
        <v>14</v>
      </c>
    </row>
    <row r="1417" spans="1:17" x14ac:dyDescent="0.3">
      <c r="A1417" s="27">
        <v>36</v>
      </c>
      <c r="B1417" s="24">
        <v>85.25</v>
      </c>
      <c r="C1417" s="25">
        <f>Sales!$B1417*Sales!$A1417</f>
        <v>3069</v>
      </c>
      <c r="D1417" s="26">
        <v>37698</v>
      </c>
      <c r="E1417" s="27" t="s">
        <v>9</v>
      </c>
      <c r="F1417" s="27">
        <v>1</v>
      </c>
      <c r="G1417" s="27">
        <v>3</v>
      </c>
      <c r="H1417" s="27">
        <v>2003</v>
      </c>
      <c r="I1417" s="27" t="s">
        <v>47</v>
      </c>
      <c r="J1417" s="25">
        <v>73</v>
      </c>
      <c r="K1417" s="25">
        <f>Sales!$B1417-Sales!$J1417</f>
        <v>12.25</v>
      </c>
      <c r="L1417" s="28">
        <f>(Sales!$J1417-Sales!$B1417)/Sales!$J1417</f>
        <v>-0.1678082191780822</v>
      </c>
      <c r="M1417" s="28" t="str">
        <f t="shared" si="22"/>
        <v>Below 0%</v>
      </c>
      <c r="N1417" s="27" t="s">
        <v>102</v>
      </c>
      <c r="O1417" s="27" t="s">
        <v>43</v>
      </c>
      <c r="P1417" s="27" t="s">
        <v>17</v>
      </c>
      <c r="Q1417" s="27" t="s">
        <v>19</v>
      </c>
    </row>
    <row r="1418" spans="1:17" x14ac:dyDescent="0.3">
      <c r="A1418" s="22">
        <v>22</v>
      </c>
      <c r="B1418" s="19">
        <v>77.900000000000006</v>
      </c>
      <c r="C1418" s="20">
        <f>Sales!$B1418*Sales!$A1418</f>
        <v>1713.8000000000002</v>
      </c>
      <c r="D1418" s="21">
        <v>37762</v>
      </c>
      <c r="E1418" s="22" t="s">
        <v>9</v>
      </c>
      <c r="F1418" s="22">
        <v>2</v>
      </c>
      <c r="G1418" s="22">
        <v>5</v>
      </c>
      <c r="H1418" s="22">
        <v>2003</v>
      </c>
      <c r="I1418" s="22" t="s">
        <v>47</v>
      </c>
      <c r="J1418" s="20">
        <v>73</v>
      </c>
      <c r="K1418" s="20">
        <f>Sales!$B1418-Sales!$J1418</f>
        <v>4.9000000000000057</v>
      </c>
      <c r="L1418" s="23">
        <f>(Sales!$J1418-Sales!$B1418)/Sales!$J1418</f>
        <v>-6.7123287671232948E-2</v>
      </c>
      <c r="M1418" s="23" t="str">
        <f t="shared" si="22"/>
        <v>Below 0%</v>
      </c>
      <c r="N1418" s="22" t="s">
        <v>109</v>
      </c>
      <c r="O1418" s="22" t="s">
        <v>12</v>
      </c>
      <c r="P1418" s="22" t="s">
        <v>13</v>
      </c>
      <c r="Q1418" s="22" t="s">
        <v>14</v>
      </c>
    </row>
    <row r="1419" spans="1:17" x14ac:dyDescent="0.3">
      <c r="A1419" s="27">
        <v>25</v>
      </c>
      <c r="B1419" s="24">
        <v>60.26</v>
      </c>
      <c r="C1419" s="25">
        <f>Sales!$B1419*Sales!$A1419</f>
        <v>1506.5</v>
      </c>
      <c r="D1419" s="26">
        <v>37875</v>
      </c>
      <c r="E1419" s="27" t="s">
        <v>9</v>
      </c>
      <c r="F1419" s="27">
        <v>3</v>
      </c>
      <c r="G1419" s="27">
        <v>9</v>
      </c>
      <c r="H1419" s="27">
        <v>2003</v>
      </c>
      <c r="I1419" s="27" t="s">
        <v>47</v>
      </c>
      <c r="J1419" s="25">
        <v>73</v>
      </c>
      <c r="K1419" s="25">
        <f>Sales!$B1419-Sales!$J1419</f>
        <v>-12.740000000000002</v>
      </c>
      <c r="L1419" s="28">
        <f>(Sales!$J1419-Sales!$B1419)/Sales!$J1419</f>
        <v>0.1745205479452055</v>
      </c>
      <c r="M1419" s="28" t="str">
        <f t="shared" si="22"/>
        <v>15%-20%</v>
      </c>
      <c r="N1419" s="27" t="s">
        <v>67</v>
      </c>
      <c r="O1419" s="27" t="s">
        <v>27</v>
      </c>
      <c r="P1419" s="27" t="s">
        <v>28</v>
      </c>
      <c r="Q1419" s="27" t="s">
        <v>14</v>
      </c>
    </row>
    <row r="1420" spans="1:17" x14ac:dyDescent="0.3">
      <c r="A1420" s="22">
        <v>37</v>
      </c>
      <c r="B1420" s="19">
        <v>72.760000000000005</v>
      </c>
      <c r="C1420" s="20">
        <f>Sales!$B1420*Sales!$A1420</f>
        <v>2692.1200000000003</v>
      </c>
      <c r="D1420" s="21">
        <v>37911</v>
      </c>
      <c r="E1420" s="22" t="s">
        <v>9</v>
      </c>
      <c r="F1420" s="22">
        <v>4</v>
      </c>
      <c r="G1420" s="22">
        <v>10</v>
      </c>
      <c r="H1420" s="22">
        <v>2003</v>
      </c>
      <c r="I1420" s="22" t="s">
        <v>47</v>
      </c>
      <c r="J1420" s="20">
        <v>73</v>
      </c>
      <c r="K1420" s="20">
        <f>Sales!$B1420-Sales!$J1420</f>
        <v>-0.23999999999999488</v>
      </c>
      <c r="L1420" s="23">
        <f>(Sales!$J1420-Sales!$B1420)/Sales!$J1420</f>
        <v>3.2876712328766423E-3</v>
      </c>
      <c r="M1420" s="23" t="s">
        <v>130</v>
      </c>
      <c r="N1420" s="22" t="s">
        <v>103</v>
      </c>
      <c r="O1420" s="22" t="s">
        <v>73</v>
      </c>
      <c r="P1420" s="22" t="s">
        <v>17</v>
      </c>
      <c r="Q1420" s="22" t="s">
        <v>14</v>
      </c>
    </row>
    <row r="1421" spans="1:17" x14ac:dyDescent="0.3">
      <c r="A1421" s="27">
        <v>32</v>
      </c>
      <c r="B1421" s="24">
        <v>75.69</v>
      </c>
      <c r="C1421" s="25">
        <f>Sales!$B1421*Sales!$A1421</f>
        <v>2422.08</v>
      </c>
      <c r="D1421" s="26">
        <v>37930</v>
      </c>
      <c r="E1421" s="27" t="s">
        <v>9</v>
      </c>
      <c r="F1421" s="27">
        <v>4</v>
      </c>
      <c r="G1421" s="27">
        <v>11</v>
      </c>
      <c r="H1421" s="27">
        <v>2003</v>
      </c>
      <c r="I1421" s="27" t="s">
        <v>47</v>
      </c>
      <c r="J1421" s="25">
        <v>73</v>
      </c>
      <c r="K1421" s="25">
        <f>Sales!$B1421-Sales!$J1421</f>
        <v>2.6899999999999977</v>
      </c>
      <c r="L1421" s="28">
        <f>(Sales!$J1421-Sales!$B1421)/Sales!$J1421</f>
        <v>-3.6849315068493121E-2</v>
      </c>
      <c r="M1421" s="28" t="str">
        <f t="shared" si="22"/>
        <v>Below 0%</v>
      </c>
      <c r="N1421" s="27" t="s">
        <v>30</v>
      </c>
      <c r="O1421" s="27" t="s">
        <v>12</v>
      </c>
      <c r="P1421" s="27" t="s">
        <v>13</v>
      </c>
      <c r="Q1421" s="27" t="s">
        <v>14</v>
      </c>
    </row>
    <row r="1422" spans="1:17" x14ac:dyDescent="0.3">
      <c r="A1422" s="22">
        <v>47</v>
      </c>
      <c r="B1422" s="19">
        <v>74.22</v>
      </c>
      <c r="C1422" s="20">
        <f>Sales!$B1422*Sales!$A1422</f>
        <v>3488.34</v>
      </c>
      <c r="D1422" s="21">
        <v>37937</v>
      </c>
      <c r="E1422" s="22" t="s">
        <v>9</v>
      </c>
      <c r="F1422" s="22">
        <v>4</v>
      </c>
      <c r="G1422" s="22">
        <v>11</v>
      </c>
      <c r="H1422" s="22">
        <v>2003</v>
      </c>
      <c r="I1422" s="22" t="s">
        <v>47</v>
      </c>
      <c r="J1422" s="20">
        <v>73</v>
      </c>
      <c r="K1422" s="20">
        <f>Sales!$B1422-Sales!$J1422</f>
        <v>1.2199999999999989</v>
      </c>
      <c r="L1422" s="23">
        <f>(Sales!$J1422-Sales!$B1422)/Sales!$J1422</f>
        <v>-1.6712328767123273E-2</v>
      </c>
      <c r="M1422" s="23" t="str">
        <f t="shared" si="22"/>
        <v>Below 0%</v>
      </c>
      <c r="N1422" s="22" t="s">
        <v>64</v>
      </c>
      <c r="O1422" s="22" t="s">
        <v>12</v>
      </c>
      <c r="P1422" s="22" t="s">
        <v>13</v>
      </c>
      <c r="Q1422" s="22" t="s">
        <v>19</v>
      </c>
    </row>
    <row r="1423" spans="1:17" x14ac:dyDescent="0.3">
      <c r="A1423" s="27">
        <v>37</v>
      </c>
      <c r="B1423" s="24">
        <v>69.819999999999993</v>
      </c>
      <c r="C1423" s="25">
        <f>Sales!$B1423*Sales!$A1423</f>
        <v>2583.3399999999997</v>
      </c>
      <c r="D1423" s="26">
        <v>37945</v>
      </c>
      <c r="E1423" s="27" t="s">
        <v>9</v>
      </c>
      <c r="F1423" s="27">
        <v>4</v>
      </c>
      <c r="G1423" s="27">
        <v>11</v>
      </c>
      <c r="H1423" s="27">
        <v>2003</v>
      </c>
      <c r="I1423" s="27" t="s">
        <v>47</v>
      </c>
      <c r="J1423" s="25">
        <v>73</v>
      </c>
      <c r="K1423" s="25">
        <f>Sales!$B1423-Sales!$J1423</f>
        <v>-3.1800000000000068</v>
      </c>
      <c r="L1423" s="28">
        <f>(Sales!$J1423-Sales!$B1423)/Sales!$J1423</f>
        <v>4.3561643835616531E-2</v>
      </c>
      <c r="M1423" s="28" t="str">
        <f t="shared" si="22"/>
        <v>0%-5%</v>
      </c>
      <c r="N1423" s="27" t="s">
        <v>65</v>
      </c>
      <c r="O1423" s="27" t="s">
        <v>12</v>
      </c>
      <c r="P1423" s="27" t="s">
        <v>13</v>
      </c>
      <c r="Q1423" s="27" t="s">
        <v>14</v>
      </c>
    </row>
    <row r="1424" spans="1:17" x14ac:dyDescent="0.3">
      <c r="A1424" s="22">
        <v>20</v>
      </c>
      <c r="B1424" s="19">
        <v>62.47</v>
      </c>
      <c r="C1424" s="20">
        <f>Sales!$B1424*Sales!$A1424</f>
        <v>1249.4000000000001</v>
      </c>
      <c r="D1424" s="21">
        <v>37957</v>
      </c>
      <c r="E1424" s="22" t="s">
        <v>9</v>
      </c>
      <c r="F1424" s="22">
        <v>4</v>
      </c>
      <c r="G1424" s="22">
        <v>12</v>
      </c>
      <c r="H1424" s="22">
        <v>2003</v>
      </c>
      <c r="I1424" s="22" t="s">
        <v>47</v>
      </c>
      <c r="J1424" s="20">
        <v>73</v>
      </c>
      <c r="K1424" s="20">
        <f>Sales!$B1424-Sales!$J1424</f>
        <v>-10.530000000000001</v>
      </c>
      <c r="L1424" s="23">
        <f>(Sales!$J1424-Sales!$B1424)/Sales!$J1424</f>
        <v>0.14424657534246577</v>
      </c>
      <c r="M1424" s="23" t="str">
        <f t="shared" si="22"/>
        <v>10%-15%</v>
      </c>
      <c r="N1424" s="22" t="s">
        <v>11</v>
      </c>
      <c r="O1424" s="22" t="s">
        <v>12</v>
      </c>
      <c r="P1424" s="22" t="s">
        <v>13</v>
      </c>
      <c r="Q1424" s="22" t="s">
        <v>14</v>
      </c>
    </row>
    <row r="1425" spans="1:17" x14ac:dyDescent="0.3">
      <c r="A1425" s="27">
        <v>41</v>
      </c>
      <c r="B1425" s="24">
        <v>82.31</v>
      </c>
      <c r="C1425" s="25">
        <f>Sales!$B1425*Sales!$A1425</f>
        <v>3374.71</v>
      </c>
      <c r="D1425" s="26">
        <v>38002</v>
      </c>
      <c r="E1425" s="27" t="s">
        <v>9</v>
      </c>
      <c r="F1425" s="27">
        <v>1</v>
      </c>
      <c r="G1425" s="27">
        <v>1</v>
      </c>
      <c r="H1425" s="27">
        <v>2004</v>
      </c>
      <c r="I1425" s="27" t="s">
        <v>47</v>
      </c>
      <c r="J1425" s="25">
        <v>73</v>
      </c>
      <c r="K1425" s="25">
        <f>Sales!$B1425-Sales!$J1425</f>
        <v>9.3100000000000023</v>
      </c>
      <c r="L1425" s="28">
        <f>(Sales!$J1425-Sales!$B1425)/Sales!$J1425</f>
        <v>-0.12753424657534249</v>
      </c>
      <c r="M1425" s="28" t="str">
        <f t="shared" si="22"/>
        <v>Below 0%</v>
      </c>
      <c r="N1425" s="27" t="s">
        <v>45</v>
      </c>
      <c r="O1425" s="27" t="s">
        <v>46</v>
      </c>
      <c r="P1425" s="27" t="s">
        <v>17</v>
      </c>
      <c r="Q1425" s="27" t="s">
        <v>19</v>
      </c>
    </row>
    <row r="1426" spans="1:17" x14ac:dyDescent="0.3">
      <c r="A1426" s="22">
        <v>21</v>
      </c>
      <c r="B1426" s="19">
        <v>60.26</v>
      </c>
      <c r="C1426" s="20">
        <f>Sales!$B1426*Sales!$A1426</f>
        <v>1265.46</v>
      </c>
      <c r="D1426" s="21">
        <v>38043</v>
      </c>
      <c r="E1426" s="22" t="s">
        <v>9</v>
      </c>
      <c r="F1426" s="22">
        <v>1</v>
      </c>
      <c r="G1426" s="22">
        <v>2</v>
      </c>
      <c r="H1426" s="22">
        <v>2004</v>
      </c>
      <c r="I1426" s="22" t="s">
        <v>47</v>
      </c>
      <c r="J1426" s="20">
        <v>73</v>
      </c>
      <c r="K1426" s="20">
        <f>Sales!$B1426-Sales!$J1426</f>
        <v>-12.740000000000002</v>
      </c>
      <c r="L1426" s="23">
        <f>(Sales!$J1426-Sales!$B1426)/Sales!$J1426</f>
        <v>0.1745205479452055</v>
      </c>
      <c r="M1426" s="23" t="str">
        <f t="shared" si="22"/>
        <v>15%-20%</v>
      </c>
      <c r="N1426" s="22" t="s">
        <v>79</v>
      </c>
      <c r="O1426" s="22" t="s">
        <v>12</v>
      </c>
      <c r="P1426" s="22" t="s">
        <v>13</v>
      </c>
      <c r="Q1426" s="22" t="s">
        <v>14</v>
      </c>
    </row>
    <row r="1427" spans="1:17" x14ac:dyDescent="0.3">
      <c r="A1427" s="27">
        <v>22</v>
      </c>
      <c r="B1427" s="24">
        <v>76.430000000000007</v>
      </c>
      <c r="C1427" s="25">
        <f>Sales!$B1427*Sales!$A1427</f>
        <v>1681.46</v>
      </c>
      <c r="D1427" s="26">
        <v>38090</v>
      </c>
      <c r="E1427" s="27" t="s">
        <v>9</v>
      </c>
      <c r="F1427" s="27">
        <v>2</v>
      </c>
      <c r="G1427" s="27">
        <v>4</v>
      </c>
      <c r="H1427" s="27">
        <v>2004</v>
      </c>
      <c r="I1427" s="27" t="s">
        <v>47</v>
      </c>
      <c r="J1427" s="25">
        <v>73</v>
      </c>
      <c r="K1427" s="25">
        <f>Sales!$B1427-Sales!$J1427</f>
        <v>3.4300000000000068</v>
      </c>
      <c r="L1427" s="28">
        <f>(Sales!$J1427-Sales!$B1427)/Sales!$J1427</f>
        <v>-4.6986301369863107E-2</v>
      </c>
      <c r="M1427" s="28" t="str">
        <f t="shared" si="22"/>
        <v>Below 0%</v>
      </c>
      <c r="N1427" s="27" t="s">
        <v>108</v>
      </c>
      <c r="O1427" s="27" t="s">
        <v>16</v>
      </c>
      <c r="P1427" s="27" t="s">
        <v>17</v>
      </c>
      <c r="Q1427" s="27" t="s">
        <v>14</v>
      </c>
    </row>
    <row r="1428" spans="1:17" x14ac:dyDescent="0.3">
      <c r="A1428" s="22">
        <v>40</v>
      </c>
      <c r="B1428" s="19">
        <v>80.099999999999994</v>
      </c>
      <c r="C1428" s="20">
        <f>Sales!$B1428*Sales!$A1428</f>
        <v>3204</v>
      </c>
      <c r="D1428" s="21">
        <v>38175</v>
      </c>
      <c r="E1428" s="22" t="s">
        <v>9</v>
      </c>
      <c r="F1428" s="22">
        <v>3</v>
      </c>
      <c r="G1428" s="22">
        <v>7</v>
      </c>
      <c r="H1428" s="22">
        <v>2004</v>
      </c>
      <c r="I1428" s="22" t="s">
        <v>47</v>
      </c>
      <c r="J1428" s="20">
        <v>73</v>
      </c>
      <c r="K1428" s="20">
        <f>Sales!$B1428-Sales!$J1428</f>
        <v>7.0999999999999943</v>
      </c>
      <c r="L1428" s="23">
        <f>(Sales!$J1428-Sales!$B1428)/Sales!$J1428</f>
        <v>-9.7260273972602659E-2</v>
      </c>
      <c r="M1428" s="23" t="str">
        <f t="shared" si="22"/>
        <v>Below 0%</v>
      </c>
      <c r="N1428" s="22" t="s">
        <v>11</v>
      </c>
      <c r="O1428" s="22" t="s">
        <v>12</v>
      </c>
      <c r="P1428" s="22" t="s">
        <v>13</v>
      </c>
      <c r="Q1428" s="22" t="s">
        <v>19</v>
      </c>
    </row>
    <row r="1429" spans="1:17" x14ac:dyDescent="0.3">
      <c r="A1429" s="27">
        <v>32</v>
      </c>
      <c r="B1429" s="24">
        <v>74.959999999999994</v>
      </c>
      <c r="C1429" s="25">
        <f>Sales!$B1429*Sales!$A1429</f>
        <v>2398.7199999999998</v>
      </c>
      <c r="D1429" s="26">
        <v>38208</v>
      </c>
      <c r="E1429" s="27" t="s">
        <v>9</v>
      </c>
      <c r="F1429" s="27">
        <v>3</v>
      </c>
      <c r="G1429" s="27">
        <v>8</v>
      </c>
      <c r="H1429" s="27">
        <v>2004</v>
      </c>
      <c r="I1429" s="27" t="s">
        <v>47</v>
      </c>
      <c r="J1429" s="25">
        <v>73</v>
      </c>
      <c r="K1429" s="25">
        <f>Sales!$B1429-Sales!$J1429</f>
        <v>1.9599999999999937</v>
      </c>
      <c r="L1429" s="28">
        <f>(Sales!$J1429-Sales!$B1429)/Sales!$J1429</f>
        <v>-2.6849315068493064E-2</v>
      </c>
      <c r="M1429" s="28" t="str">
        <f t="shared" si="22"/>
        <v>Below 0%</v>
      </c>
      <c r="N1429" s="27" t="s">
        <v>45</v>
      </c>
      <c r="O1429" s="27" t="s">
        <v>46</v>
      </c>
      <c r="P1429" s="27" t="s">
        <v>17</v>
      </c>
      <c r="Q1429" s="27" t="s">
        <v>14</v>
      </c>
    </row>
    <row r="1430" spans="1:17" x14ac:dyDescent="0.3">
      <c r="A1430" s="22">
        <v>36</v>
      </c>
      <c r="B1430" s="19">
        <v>66.14</v>
      </c>
      <c r="C1430" s="20">
        <f>Sales!$B1430*Sales!$A1430</f>
        <v>2381.04</v>
      </c>
      <c r="D1430" s="21">
        <v>38231</v>
      </c>
      <c r="E1430" s="22" t="s">
        <v>9</v>
      </c>
      <c r="F1430" s="22">
        <v>3</v>
      </c>
      <c r="G1430" s="22">
        <v>9</v>
      </c>
      <c r="H1430" s="22">
        <v>2004</v>
      </c>
      <c r="I1430" s="22" t="s">
        <v>47</v>
      </c>
      <c r="J1430" s="20">
        <v>73</v>
      </c>
      <c r="K1430" s="20">
        <f>Sales!$B1430-Sales!$J1430</f>
        <v>-6.8599999999999994</v>
      </c>
      <c r="L1430" s="23">
        <f>(Sales!$J1430-Sales!$B1430)/Sales!$J1430</f>
        <v>9.3972602739726019E-2</v>
      </c>
      <c r="M1430" s="23" t="str">
        <f t="shared" si="22"/>
        <v>5%-10%</v>
      </c>
      <c r="N1430" s="22" t="s">
        <v>50</v>
      </c>
      <c r="O1430" s="22" t="s">
        <v>50</v>
      </c>
      <c r="P1430" s="22" t="s">
        <v>28</v>
      </c>
      <c r="Q1430" s="22" t="s">
        <v>14</v>
      </c>
    </row>
    <row r="1431" spans="1:17" x14ac:dyDescent="0.3">
      <c r="A1431" s="27">
        <v>27</v>
      </c>
      <c r="B1431" s="24">
        <v>72.02</v>
      </c>
      <c r="C1431" s="25">
        <f>Sales!$B1431*Sales!$A1431</f>
        <v>1944.54</v>
      </c>
      <c r="D1431" s="26">
        <v>37899</v>
      </c>
      <c r="E1431" s="27" t="s">
        <v>9</v>
      </c>
      <c r="F1431" s="27">
        <v>4</v>
      </c>
      <c r="G1431" s="27">
        <v>10</v>
      </c>
      <c r="H1431" s="27">
        <v>2003</v>
      </c>
      <c r="I1431" s="27" t="s">
        <v>47</v>
      </c>
      <c r="J1431" s="25">
        <v>73</v>
      </c>
      <c r="K1431" s="25">
        <f>Sales!$B1431-Sales!$J1431</f>
        <v>-0.98000000000000398</v>
      </c>
      <c r="L1431" s="28">
        <f>(Sales!$J1431-Sales!$B1431)/Sales!$J1431</f>
        <v>1.3424657534246629E-2</v>
      </c>
      <c r="M1431" s="28" t="str">
        <f t="shared" si="22"/>
        <v>0%-5%</v>
      </c>
      <c r="N1431" s="27" t="s">
        <v>110</v>
      </c>
      <c r="O1431" s="27" t="s">
        <v>25</v>
      </c>
      <c r="P1431" s="27" t="s">
        <v>17</v>
      </c>
      <c r="Q1431" s="27" t="s">
        <v>14</v>
      </c>
    </row>
    <row r="1432" spans="1:17" x14ac:dyDescent="0.3">
      <c r="A1432" s="22">
        <v>26</v>
      </c>
      <c r="B1432" s="19">
        <v>87.45</v>
      </c>
      <c r="C1432" s="20">
        <f>Sales!$B1432*Sales!$A1432</f>
        <v>2273.7000000000003</v>
      </c>
      <c r="D1432" s="21">
        <v>38276</v>
      </c>
      <c r="E1432" s="22" t="s">
        <v>9</v>
      </c>
      <c r="F1432" s="22">
        <v>4</v>
      </c>
      <c r="G1432" s="22">
        <v>10</v>
      </c>
      <c r="H1432" s="22">
        <v>2004</v>
      </c>
      <c r="I1432" s="22" t="s">
        <v>47</v>
      </c>
      <c r="J1432" s="20">
        <v>73</v>
      </c>
      <c r="K1432" s="20">
        <f>Sales!$B1432-Sales!$J1432</f>
        <v>14.450000000000003</v>
      </c>
      <c r="L1432" s="23">
        <f>(Sales!$J1432-Sales!$B1432)/Sales!$J1432</f>
        <v>-0.1979452054794521</v>
      </c>
      <c r="M1432" s="23" t="str">
        <f t="shared" si="22"/>
        <v>Below 0%</v>
      </c>
      <c r="N1432" s="22" t="s">
        <v>45</v>
      </c>
      <c r="O1432" s="22" t="s">
        <v>46</v>
      </c>
      <c r="P1432" s="22" t="s">
        <v>17</v>
      </c>
      <c r="Q1432" s="22" t="s">
        <v>14</v>
      </c>
    </row>
    <row r="1433" spans="1:17" x14ac:dyDescent="0.3">
      <c r="A1433" s="27">
        <v>30</v>
      </c>
      <c r="B1433" s="24">
        <v>70.55</v>
      </c>
      <c r="C1433" s="25">
        <f>Sales!$B1433*Sales!$A1433</f>
        <v>2116.5</v>
      </c>
      <c r="D1433" s="26">
        <v>38295</v>
      </c>
      <c r="E1433" s="27" t="s">
        <v>9</v>
      </c>
      <c r="F1433" s="27">
        <v>4</v>
      </c>
      <c r="G1433" s="27">
        <v>11</v>
      </c>
      <c r="H1433" s="27">
        <v>2004</v>
      </c>
      <c r="I1433" s="27" t="s">
        <v>47</v>
      </c>
      <c r="J1433" s="25">
        <v>73</v>
      </c>
      <c r="K1433" s="25">
        <f>Sales!$B1433-Sales!$J1433</f>
        <v>-2.4500000000000028</v>
      </c>
      <c r="L1433" s="28">
        <f>(Sales!$J1433-Sales!$B1433)/Sales!$J1433</f>
        <v>3.3561643835616474E-2</v>
      </c>
      <c r="M1433" s="28" t="str">
        <f t="shared" si="22"/>
        <v>0%-5%</v>
      </c>
      <c r="N1433" s="27" t="s">
        <v>41</v>
      </c>
      <c r="O1433" s="27" t="s">
        <v>12</v>
      </c>
      <c r="P1433" s="27" t="s">
        <v>13</v>
      </c>
      <c r="Q1433" s="27" t="s">
        <v>14</v>
      </c>
    </row>
    <row r="1434" spans="1:17" x14ac:dyDescent="0.3">
      <c r="A1434" s="22">
        <v>23</v>
      </c>
      <c r="B1434" s="19">
        <v>56.84</v>
      </c>
      <c r="C1434" s="20">
        <f>Sales!$B1434*Sales!$A1434</f>
        <v>1307.3200000000002</v>
      </c>
      <c r="D1434" s="21">
        <v>38308</v>
      </c>
      <c r="E1434" s="22" t="s">
        <v>9</v>
      </c>
      <c r="F1434" s="22">
        <v>4</v>
      </c>
      <c r="G1434" s="22">
        <v>11</v>
      </c>
      <c r="H1434" s="22">
        <v>2004</v>
      </c>
      <c r="I1434" s="22" t="s">
        <v>47</v>
      </c>
      <c r="J1434" s="20">
        <v>73</v>
      </c>
      <c r="K1434" s="20">
        <f>Sales!$B1434-Sales!$J1434</f>
        <v>-16.159999999999997</v>
      </c>
      <c r="L1434" s="23">
        <f>(Sales!$J1434-Sales!$B1434)/Sales!$J1434</f>
        <v>0.22136986301369857</v>
      </c>
      <c r="M1434" s="23" t="str">
        <f t="shared" si="22"/>
        <v>+20%</v>
      </c>
      <c r="N1434" s="22" t="s">
        <v>102</v>
      </c>
      <c r="O1434" s="22" t="s">
        <v>43</v>
      </c>
      <c r="P1434" s="22" t="s">
        <v>17</v>
      </c>
      <c r="Q1434" s="22" t="s">
        <v>14</v>
      </c>
    </row>
    <row r="1435" spans="1:17" x14ac:dyDescent="0.3">
      <c r="A1435" s="27">
        <v>29</v>
      </c>
      <c r="B1435" s="24">
        <v>59.53</v>
      </c>
      <c r="C1435" s="25">
        <f>Sales!$B1435*Sales!$A1435</f>
        <v>1726.3700000000001</v>
      </c>
      <c r="D1435" s="26">
        <v>38316</v>
      </c>
      <c r="E1435" s="27" t="s">
        <v>9</v>
      </c>
      <c r="F1435" s="27">
        <v>4</v>
      </c>
      <c r="G1435" s="27">
        <v>11</v>
      </c>
      <c r="H1435" s="27">
        <v>2004</v>
      </c>
      <c r="I1435" s="27" t="s">
        <v>47</v>
      </c>
      <c r="J1435" s="25">
        <v>73</v>
      </c>
      <c r="K1435" s="25">
        <f>Sales!$B1435-Sales!$J1435</f>
        <v>-13.469999999999999</v>
      </c>
      <c r="L1435" s="28">
        <f>(Sales!$J1435-Sales!$B1435)/Sales!$J1435</f>
        <v>0.18452054794520548</v>
      </c>
      <c r="M1435" s="28" t="str">
        <f t="shared" si="22"/>
        <v>15%-20%</v>
      </c>
      <c r="N1435" s="27" t="s">
        <v>92</v>
      </c>
      <c r="O1435" s="27" t="s">
        <v>16</v>
      </c>
      <c r="P1435" s="27" t="s">
        <v>17</v>
      </c>
      <c r="Q1435" s="27" t="s">
        <v>14</v>
      </c>
    </row>
    <row r="1436" spans="1:17" x14ac:dyDescent="0.3">
      <c r="A1436" s="22">
        <v>21</v>
      </c>
      <c r="B1436" s="19">
        <v>60.37</v>
      </c>
      <c r="C1436" s="20">
        <f>Sales!$B1436*Sales!$A1436</f>
        <v>1267.77</v>
      </c>
      <c r="D1436" s="21">
        <v>38364</v>
      </c>
      <c r="E1436" s="22" t="s">
        <v>88</v>
      </c>
      <c r="F1436" s="22">
        <v>1</v>
      </c>
      <c r="G1436" s="22">
        <v>1</v>
      </c>
      <c r="H1436" s="22">
        <v>2005</v>
      </c>
      <c r="I1436" s="22" t="s">
        <v>47</v>
      </c>
      <c r="J1436" s="20">
        <v>73</v>
      </c>
      <c r="K1436" s="20">
        <f>Sales!$B1436-Sales!$J1436</f>
        <v>-12.630000000000003</v>
      </c>
      <c r="L1436" s="23">
        <f>(Sales!$J1436-Sales!$B1436)/Sales!$J1436</f>
        <v>0.17301369863013702</v>
      </c>
      <c r="M1436" s="23" t="str">
        <f t="shared" si="22"/>
        <v>15%-20%</v>
      </c>
      <c r="N1436" s="22" t="s">
        <v>20</v>
      </c>
      <c r="O1436" s="22" t="s">
        <v>12</v>
      </c>
      <c r="P1436" s="22" t="s">
        <v>13</v>
      </c>
      <c r="Q1436" s="22" t="s">
        <v>14</v>
      </c>
    </row>
    <row r="1437" spans="1:17" x14ac:dyDescent="0.3">
      <c r="A1437" s="27">
        <v>34</v>
      </c>
      <c r="B1437" s="24">
        <v>100</v>
      </c>
      <c r="C1437" s="25">
        <f>Sales!$B1437*Sales!$A1437</f>
        <v>3400</v>
      </c>
      <c r="D1437" s="26">
        <v>38399</v>
      </c>
      <c r="E1437" s="27" t="s">
        <v>9</v>
      </c>
      <c r="F1437" s="27">
        <v>1</v>
      </c>
      <c r="G1437" s="27">
        <v>2</v>
      </c>
      <c r="H1437" s="27">
        <v>2005</v>
      </c>
      <c r="I1437" s="27" t="s">
        <v>47</v>
      </c>
      <c r="J1437" s="25">
        <v>73</v>
      </c>
      <c r="K1437" s="25">
        <f>Sales!$B1437-Sales!$J1437</f>
        <v>27</v>
      </c>
      <c r="L1437" s="28">
        <f>(Sales!$J1437-Sales!$B1437)/Sales!$J1437</f>
        <v>-0.36986301369863012</v>
      </c>
      <c r="M1437" s="28" t="str">
        <f t="shared" si="22"/>
        <v>Below 0%</v>
      </c>
      <c r="N1437" s="27" t="s">
        <v>45</v>
      </c>
      <c r="O1437" s="27" t="s">
        <v>46</v>
      </c>
      <c r="P1437" s="27" t="s">
        <v>17</v>
      </c>
      <c r="Q1437" s="27" t="s">
        <v>19</v>
      </c>
    </row>
    <row r="1438" spans="1:17" x14ac:dyDescent="0.3">
      <c r="A1438" s="22">
        <v>26</v>
      </c>
      <c r="B1438" s="19">
        <v>76.430000000000007</v>
      </c>
      <c r="C1438" s="20">
        <f>Sales!$B1438*Sales!$A1438</f>
        <v>1987.1800000000003</v>
      </c>
      <c r="D1438" s="21">
        <v>38464</v>
      </c>
      <c r="E1438" s="22" t="s">
        <v>87</v>
      </c>
      <c r="F1438" s="22">
        <v>2</v>
      </c>
      <c r="G1438" s="22">
        <v>4</v>
      </c>
      <c r="H1438" s="22">
        <v>2005</v>
      </c>
      <c r="I1438" s="22" t="s">
        <v>47</v>
      </c>
      <c r="J1438" s="20">
        <v>73</v>
      </c>
      <c r="K1438" s="20">
        <f>Sales!$B1438-Sales!$J1438</f>
        <v>3.4300000000000068</v>
      </c>
      <c r="L1438" s="23">
        <f>(Sales!$J1438-Sales!$B1438)/Sales!$J1438</f>
        <v>-4.6986301369863107E-2</v>
      </c>
      <c r="M1438" s="23" t="str">
        <f t="shared" si="22"/>
        <v>Below 0%</v>
      </c>
      <c r="N1438" s="22" t="s">
        <v>86</v>
      </c>
      <c r="O1438" s="22" t="s">
        <v>12</v>
      </c>
      <c r="P1438" s="22" t="s">
        <v>13</v>
      </c>
      <c r="Q1438" s="22" t="s">
        <v>14</v>
      </c>
    </row>
    <row r="1439" spans="1:17" x14ac:dyDescent="0.3">
      <c r="A1439" s="27">
        <v>60</v>
      </c>
      <c r="B1439" s="24">
        <v>64.67</v>
      </c>
      <c r="C1439" s="25">
        <f>Sales!$B1439*Sales!$A1439</f>
        <v>3880.2000000000003</v>
      </c>
      <c r="D1439" s="26">
        <v>38501</v>
      </c>
      <c r="E1439" s="27" t="s">
        <v>69</v>
      </c>
      <c r="F1439" s="27">
        <v>2</v>
      </c>
      <c r="G1439" s="27">
        <v>5</v>
      </c>
      <c r="H1439" s="27">
        <v>2005</v>
      </c>
      <c r="I1439" s="27" t="s">
        <v>47</v>
      </c>
      <c r="J1439" s="25">
        <v>73</v>
      </c>
      <c r="K1439" s="25">
        <f>Sales!$B1439-Sales!$J1439</f>
        <v>-8.3299999999999983</v>
      </c>
      <c r="L1439" s="28">
        <f>(Sales!$J1439-Sales!$B1439)/Sales!$J1439</f>
        <v>0.11410958904109586</v>
      </c>
      <c r="M1439" s="28" t="str">
        <f t="shared" si="22"/>
        <v>10%-15%</v>
      </c>
      <c r="N1439" s="27" t="s">
        <v>40</v>
      </c>
      <c r="O1439" s="27" t="s">
        <v>27</v>
      </c>
      <c r="P1439" s="27" t="s">
        <v>28</v>
      </c>
      <c r="Q1439" s="27" t="s">
        <v>19</v>
      </c>
    </row>
    <row r="1440" spans="1:17" x14ac:dyDescent="0.3">
      <c r="A1440" s="22">
        <v>35</v>
      </c>
      <c r="B1440" s="19">
        <v>55.49</v>
      </c>
      <c r="C1440" s="20">
        <f>Sales!$B1440*Sales!$A1440</f>
        <v>1942.15</v>
      </c>
      <c r="D1440" s="21">
        <v>37652</v>
      </c>
      <c r="E1440" s="22" t="s">
        <v>9</v>
      </c>
      <c r="F1440" s="22">
        <v>1</v>
      </c>
      <c r="G1440" s="22">
        <v>1</v>
      </c>
      <c r="H1440" s="22">
        <v>2003</v>
      </c>
      <c r="I1440" s="22" t="s">
        <v>47</v>
      </c>
      <c r="J1440" s="20">
        <v>57</v>
      </c>
      <c r="K1440" s="20">
        <f>Sales!$B1440-Sales!$J1440</f>
        <v>-1.509999999999998</v>
      </c>
      <c r="L1440" s="23">
        <f>(Sales!$J1440-Sales!$B1440)/Sales!$J1440</f>
        <v>2.6491228070175402E-2</v>
      </c>
      <c r="M1440" s="23" t="str">
        <f t="shared" si="22"/>
        <v>0%-5%</v>
      </c>
      <c r="N1440" s="22" t="s">
        <v>45</v>
      </c>
      <c r="O1440" s="22" t="s">
        <v>46</v>
      </c>
      <c r="P1440" s="22" t="s">
        <v>17</v>
      </c>
      <c r="Q1440" s="22" t="s">
        <v>14</v>
      </c>
    </row>
    <row r="1441" spans="1:17" x14ac:dyDescent="0.3">
      <c r="A1441" s="27">
        <v>47</v>
      </c>
      <c r="B1441" s="24">
        <v>69.36</v>
      </c>
      <c r="C1441" s="25">
        <f>Sales!$B1441*Sales!$A1441</f>
        <v>3259.92</v>
      </c>
      <c r="D1441" s="26">
        <v>37715</v>
      </c>
      <c r="E1441" s="27" t="s">
        <v>9</v>
      </c>
      <c r="F1441" s="27">
        <v>2</v>
      </c>
      <c r="G1441" s="27">
        <v>4</v>
      </c>
      <c r="H1441" s="27">
        <v>2003</v>
      </c>
      <c r="I1441" s="27" t="s">
        <v>47</v>
      </c>
      <c r="J1441" s="25">
        <v>57</v>
      </c>
      <c r="K1441" s="25">
        <f>Sales!$B1441-Sales!$J1441</f>
        <v>12.36</v>
      </c>
      <c r="L1441" s="28">
        <f>(Sales!$J1441-Sales!$B1441)/Sales!$J1441</f>
        <v>-0.21684210526315789</v>
      </c>
      <c r="M1441" s="28" t="str">
        <f t="shared" si="22"/>
        <v>Below 0%</v>
      </c>
      <c r="N1441" s="27" t="s">
        <v>11</v>
      </c>
      <c r="O1441" s="27" t="s">
        <v>12</v>
      </c>
      <c r="P1441" s="27" t="s">
        <v>13</v>
      </c>
      <c r="Q1441" s="27" t="s">
        <v>19</v>
      </c>
    </row>
    <row r="1442" spans="1:17" x14ac:dyDescent="0.3">
      <c r="A1442" s="22">
        <v>20</v>
      </c>
      <c r="B1442" s="19">
        <v>60.69</v>
      </c>
      <c r="C1442" s="20">
        <f>Sales!$B1442*Sales!$A1442</f>
        <v>1213.8</v>
      </c>
      <c r="D1442" s="21">
        <v>37775</v>
      </c>
      <c r="E1442" s="22" t="s">
        <v>9</v>
      </c>
      <c r="F1442" s="22">
        <v>2</v>
      </c>
      <c r="G1442" s="22">
        <v>6</v>
      </c>
      <c r="H1442" s="22">
        <v>2003</v>
      </c>
      <c r="I1442" s="22" t="s">
        <v>47</v>
      </c>
      <c r="J1442" s="20">
        <v>57</v>
      </c>
      <c r="K1442" s="20">
        <f>Sales!$B1442-Sales!$J1442</f>
        <v>3.6899999999999977</v>
      </c>
      <c r="L1442" s="23">
        <f>(Sales!$J1442-Sales!$B1442)/Sales!$J1442</f>
        <v>-6.473684210526312E-2</v>
      </c>
      <c r="M1442" s="23" t="str">
        <f t="shared" si="22"/>
        <v>Below 0%</v>
      </c>
      <c r="N1442" s="22" t="s">
        <v>11</v>
      </c>
      <c r="O1442" s="22" t="s">
        <v>12</v>
      </c>
      <c r="P1442" s="22" t="s">
        <v>13</v>
      </c>
      <c r="Q1442" s="22" t="s">
        <v>14</v>
      </c>
    </row>
    <row r="1443" spans="1:17" x14ac:dyDescent="0.3">
      <c r="A1443" s="27">
        <v>20</v>
      </c>
      <c r="B1443" s="24">
        <v>54.33</v>
      </c>
      <c r="C1443" s="25">
        <f>Sales!$B1443*Sales!$A1443</f>
        <v>1086.5999999999999</v>
      </c>
      <c r="D1443" s="26">
        <v>37834</v>
      </c>
      <c r="E1443" s="27" t="s">
        <v>9</v>
      </c>
      <c r="F1443" s="27">
        <v>3</v>
      </c>
      <c r="G1443" s="27">
        <v>8</v>
      </c>
      <c r="H1443" s="27">
        <v>2003</v>
      </c>
      <c r="I1443" s="27" t="s">
        <v>47</v>
      </c>
      <c r="J1443" s="25">
        <v>57</v>
      </c>
      <c r="K1443" s="25">
        <f>Sales!$B1443-Sales!$J1443</f>
        <v>-2.6700000000000017</v>
      </c>
      <c r="L1443" s="28">
        <f>(Sales!$J1443-Sales!$B1443)/Sales!$J1443</f>
        <v>4.6842105263157928E-2</v>
      </c>
      <c r="M1443" s="28" t="str">
        <f t="shared" si="22"/>
        <v>0%-5%</v>
      </c>
      <c r="N1443" s="27" t="s">
        <v>99</v>
      </c>
      <c r="O1443" s="27" t="s">
        <v>34</v>
      </c>
      <c r="P1443" s="27" t="s">
        <v>17</v>
      </c>
      <c r="Q1443" s="27" t="s">
        <v>14</v>
      </c>
    </row>
    <row r="1444" spans="1:17" x14ac:dyDescent="0.3">
      <c r="A1444" s="22">
        <v>25</v>
      </c>
      <c r="B1444" s="19">
        <v>65.31</v>
      </c>
      <c r="C1444" s="20">
        <f>Sales!$B1444*Sales!$A1444</f>
        <v>1632.75</v>
      </c>
      <c r="D1444" s="21">
        <v>37889</v>
      </c>
      <c r="E1444" s="22" t="s">
        <v>9</v>
      </c>
      <c r="F1444" s="22">
        <v>3</v>
      </c>
      <c r="G1444" s="22">
        <v>9</v>
      </c>
      <c r="H1444" s="22">
        <v>2003</v>
      </c>
      <c r="I1444" s="22" t="s">
        <v>47</v>
      </c>
      <c r="J1444" s="20">
        <v>57</v>
      </c>
      <c r="K1444" s="20">
        <f>Sales!$B1444-Sales!$J1444</f>
        <v>8.3100000000000023</v>
      </c>
      <c r="L1444" s="23">
        <f>(Sales!$J1444-Sales!$B1444)/Sales!$J1444</f>
        <v>-0.14578947368421058</v>
      </c>
      <c r="M1444" s="23" t="str">
        <f t="shared" si="22"/>
        <v>Below 0%</v>
      </c>
      <c r="N1444" s="22" t="s">
        <v>52</v>
      </c>
      <c r="O1444" s="22" t="s">
        <v>27</v>
      </c>
      <c r="P1444" s="22" t="s">
        <v>28</v>
      </c>
      <c r="Q1444" s="22" t="s">
        <v>14</v>
      </c>
    </row>
    <row r="1445" spans="1:17" x14ac:dyDescent="0.3">
      <c r="A1445" s="27">
        <v>25</v>
      </c>
      <c r="B1445" s="24">
        <v>69.36</v>
      </c>
      <c r="C1445" s="25">
        <f>Sales!$B1445*Sales!$A1445</f>
        <v>1734</v>
      </c>
      <c r="D1445" s="26">
        <v>37916</v>
      </c>
      <c r="E1445" s="27" t="s">
        <v>9</v>
      </c>
      <c r="F1445" s="27">
        <v>4</v>
      </c>
      <c r="G1445" s="27">
        <v>10</v>
      </c>
      <c r="H1445" s="27">
        <v>2003</v>
      </c>
      <c r="I1445" s="27" t="s">
        <v>47</v>
      </c>
      <c r="J1445" s="25">
        <v>57</v>
      </c>
      <c r="K1445" s="25">
        <f>Sales!$B1445-Sales!$J1445</f>
        <v>12.36</v>
      </c>
      <c r="L1445" s="28">
        <f>(Sales!$J1445-Sales!$B1445)/Sales!$J1445</f>
        <v>-0.21684210526315789</v>
      </c>
      <c r="M1445" s="28" t="str">
        <f t="shared" si="22"/>
        <v>Below 0%</v>
      </c>
      <c r="N1445" s="27" t="s">
        <v>50</v>
      </c>
      <c r="O1445" s="27" t="s">
        <v>50</v>
      </c>
      <c r="P1445" s="27" t="s">
        <v>28</v>
      </c>
      <c r="Q1445" s="27" t="s">
        <v>14</v>
      </c>
    </row>
    <row r="1446" spans="1:17" x14ac:dyDescent="0.3">
      <c r="A1446" s="22">
        <v>27</v>
      </c>
      <c r="B1446" s="19">
        <v>68.78</v>
      </c>
      <c r="C1446" s="20">
        <f>Sales!$B1446*Sales!$A1446</f>
        <v>1857.06</v>
      </c>
      <c r="D1446" s="21">
        <v>37931</v>
      </c>
      <c r="E1446" s="22" t="s">
        <v>9</v>
      </c>
      <c r="F1446" s="22">
        <v>4</v>
      </c>
      <c r="G1446" s="22">
        <v>11</v>
      </c>
      <c r="H1446" s="22">
        <v>2003</v>
      </c>
      <c r="I1446" s="22" t="s">
        <v>47</v>
      </c>
      <c r="J1446" s="20">
        <v>57</v>
      </c>
      <c r="K1446" s="20">
        <f>Sales!$B1446-Sales!$J1446</f>
        <v>11.780000000000001</v>
      </c>
      <c r="L1446" s="23">
        <f>(Sales!$J1446-Sales!$B1446)/Sales!$J1446</f>
        <v>-0.20666666666666669</v>
      </c>
      <c r="M1446" s="23" t="str">
        <f t="shared" si="22"/>
        <v>Below 0%</v>
      </c>
      <c r="N1446" s="22" t="s">
        <v>97</v>
      </c>
      <c r="O1446" s="22" t="s">
        <v>61</v>
      </c>
      <c r="P1446" s="22" t="s">
        <v>17</v>
      </c>
      <c r="Q1446" s="22" t="s">
        <v>14</v>
      </c>
    </row>
    <row r="1447" spans="1:17" x14ac:dyDescent="0.3">
      <c r="A1447" s="27">
        <v>31</v>
      </c>
      <c r="B1447" s="24">
        <v>60.11</v>
      </c>
      <c r="C1447" s="25">
        <f>Sales!$B1447*Sales!$A1447</f>
        <v>1863.41</v>
      </c>
      <c r="D1447" s="26">
        <v>37939</v>
      </c>
      <c r="E1447" s="27" t="s">
        <v>9</v>
      </c>
      <c r="F1447" s="27">
        <v>4</v>
      </c>
      <c r="G1447" s="27">
        <v>11</v>
      </c>
      <c r="H1447" s="27">
        <v>2003</v>
      </c>
      <c r="I1447" s="27" t="s">
        <v>47</v>
      </c>
      <c r="J1447" s="25">
        <v>57</v>
      </c>
      <c r="K1447" s="25">
        <f>Sales!$B1447-Sales!$J1447</f>
        <v>3.1099999999999994</v>
      </c>
      <c r="L1447" s="28">
        <f>(Sales!$J1447-Sales!$B1447)/Sales!$J1447</f>
        <v>-5.4561403508771922E-2</v>
      </c>
      <c r="M1447" s="28" t="str">
        <f t="shared" si="22"/>
        <v>Below 0%</v>
      </c>
      <c r="N1447" s="27" t="s">
        <v>106</v>
      </c>
      <c r="O1447" s="27" t="s">
        <v>46</v>
      </c>
      <c r="P1447" s="27" t="s">
        <v>17</v>
      </c>
      <c r="Q1447" s="27" t="s">
        <v>14</v>
      </c>
    </row>
    <row r="1448" spans="1:17" x14ac:dyDescent="0.3">
      <c r="A1448" s="22">
        <v>44</v>
      </c>
      <c r="B1448" s="19">
        <v>66.47</v>
      </c>
      <c r="C1448" s="20">
        <f>Sales!$B1448*Sales!$A1448</f>
        <v>2924.68</v>
      </c>
      <c r="D1448" s="21">
        <v>37950</v>
      </c>
      <c r="E1448" s="22" t="s">
        <v>9</v>
      </c>
      <c r="F1448" s="22">
        <v>4</v>
      </c>
      <c r="G1448" s="22">
        <v>11</v>
      </c>
      <c r="H1448" s="22">
        <v>2003</v>
      </c>
      <c r="I1448" s="22" t="s">
        <v>47</v>
      </c>
      <c r="J1448" s="20">
        <v>57</v>
      </c>
      <c r="K1448" s="20">
        <f>Sales!$B1448-Sales!$J1448</f>
        <v>9.4699999999999989</v>
      </c>
      <c r="L1448" s="23">
        <f>(Sales!$J1448-Sales!$B1448)/Sales!$J1448</f>
        <v>-0.16614035087719295</v>
      </c>
      <c r="M1448" s="23" t="str">
        <f t="shared" si="22"/>
        <v>Below 0%</v>
      </c>
      <c r="N1448" s="22" t="s">
        <v>71</v>
      </c>
      <c r="O1448" s="22" t="s">
        <v>12</v>
      </c>
      <c r="P1448" s="22" t="s">
        <v>13</v>
      </c>
      <c r="Q1448" s="22" t="s">
        <v>14</v>
      </c>
    </row>
    <row r="1449" spans="1:17" x14ac:dyDescent="0.3">
      <c r="A1449" s="27">
        <v>49</v>
      </c>
      <c r="B1449" s="24">
        <v>46.82</v>
      </c>
      <c r="C1449" s="25">
        <f>Sales!$B1449*Sales!$A1449</f>
        <v>2294.1799999999998</v>
      </c>
      <c r="D1449" s="26">
        <v>37964</v>
      </c>
      <c r="E1449" s="27" t="s">
        <v>9</v>
      </c>
      <c r="F1449" s="27">
        <v>4</v>
      </c>
      <c r="G1449" s="27">
        <v>12</v>
      </c>
      <c r="H1449" s="27">
        <v>2003</v>
      </c>
      <c r="I1449" s="27" t="s">
        <v>47</v>
      </c>
      <c r="J1449" s="25">
        <v>57</v>
      </c>
      <c r="K1449" s="25">
        <f>Sales!$B1449-Sales!$J1449</f>
        <v>-10.18</v>
      </c>
      <c r="L1449" s="28">
        <f>(Sales!$J1449-Sales!$B1449)/Sales!$J1449</f>
        <v>0.17859649122807017</v>
      </c>
      <c r="M1449" s="28" t="str">
        <f t="shared" si="22"/>
        <v>15%-20%</v>
      </c>
      <c r="N1449" s="27" t="s">
        <v>83</v>
      </c>
      <c r="O1449" s="27" t="s">
        <v>12</v>
      </c>
      <c r="P1449" s="27" t="s">
        <v>13</v>
      </c>
      <c r="Q1449" s="27" t="s">
        <v>14</v>
      </c>
    </row>
    <row r="1450" spans="1:17" x14ac:dyDescent="0.3">
      <c r="A1450" s="22">
        <v>26</v>
      </c>
      <c r="B1450" s="19">
        <v>56.07</v>
      </c>
      <c r="C1450" s="20">
        <f>Sales!$B1450*Sales!$A1450</f>
        <v>1457.82</v>
      </c>
      <c r="D1450" s="21">
        <v>38029</v>
      </c>
      <c r="E1450" s="22" t="s">
        <v>9</v>
      </c>
      <c r="F1450" s="22">
        <v>1</v>
      </c>
      <c r="G1450" s="22">
        <v>2</v>
      </c>
      <c r="H1450" s="22">
        <v>2004</v>
      </c>
      <c r="I1450" s="22" t="s">
        <v>47</v>
      </c>
      <c r="J1450" s="20">
        <v>57</v>
      </c>
      <c r="K1450" s="20">
        <f>Sales!$B1450-Sales!$J1450</f>
        <v>-0.92999999999999972</v>
      </c>
      <c r="L1450" s="23">
        <f>(Sales!$J1450-Sales!$B1450)/Sales!$J1450</f>
        <v>1.6315789473684207E-2</v>
      </c>
      <c r="M1450" s="23" t="str">
        <f t="shared" si="22"/>
        <v>0%-5%</v>
      </c>
      <c r="N1450" s="22" t="s">
        <v>100</v>
      </c>
      <c r="O1450" s="22" t="s">
        <v>101</v>
      </c>
      <c r="P1450" s="22" t="s">
        <v>17</v>
      </c>
      <c r="Q1450" s="22" t="s">
        <v>14</v>
      </c>
    </row>
    <row r="1451" spans="1:17" x14ac:dyDescent="0.3">
      <c r="A1451" s="27">
        <v>36</v>
      </c>
      <c r="B1451" s="24">
        <v>54.33</v>
      </c>
      <c r="C1451" s="25">
        <f>Sales!$B1451*Sales!$A1451</f>
        <v>1955.8799999999999</v>
      </c>
      <c r="D1451" s="26">
        <v>38061</v>
      </c>
      <c r="E1451" s="27" t="s">
        <v>9</v>
      </c>
      <c r="F1451" s="27">
        <v>1</v>
      </c>
      <c r="G1451" s="27">
        <v>3</v>
      </c>
      <c r="H1451" s="27">
        <v>2004</v>
      </c>
      <c r="I1451" s="27" t="s">
        <v>47</v>
      </c>
      <c r="J1451" s="25">
        <v>57</v>
      </c>
      <c r="K1451" s="25">
        <f>Sales!$B1451-Sales!$J1451</f>
        <v>-2.6700000000000017</v>
      </c>
      <c r="L1451" s="28">
        <f>(Sales!$J1451-Sales!$B1451)/Sales!$J1451</f>
        <v>4.6842105263157928E-2</v>
      </c>
      <c r="M1451" s="28" t="str">
        <f t="shared" si="22"/>
        <v>0%-5%</v>
      </c>
      <c r="N1451" s="27" t="s">
        <v>98</v>
      </c>
      <c r="O1451" s="27" t="s">
        <v>94</v>
      </c>
      <c r="P1451" s="27" t="s">
        <v>17</v>
      </c>
      <c r="Q1451" s="27" t="s">
        <v>14</v>
      </c>
    </row>
    <row r="1452" spans="1:17" x14ac:dyDescent="0.3">
      <c r="A1452" s="22">
        <v>44</v>
      </c>
      <c r="B1452" s="19">
        <v>52.6</v>
      </c>
      <c r="C1452" s="20">
        <f>Sales!$B1452*Sales!$A1452</f>
        <v>2314.4</v>
      </c>
      <c r="D1452" s="21">
        <v>38112</v>
      </c>
      <c r="E1452" s="22" t="s">
        <v>9</v>
      </c>
      <c r="F1452" s="22">
        <v>2</v>
      </c>
      <c r="G1452" s="22">
        <v>5</v>
      </c>
      <c r="H1452" s="22">
        <v>2004</v>
      </c>
      <c r="I1452" s="22" t="s">
        <v>47</v>
      </c>
      <c r="J1452" s="20">
        <v>57</v>
      </c>
      <c r="K1452" s="20">
        <f>Sales!$B1452-Sales!$J1452</f>
        <v>-4.3999999999999986</v>
      </c>
      <c r="L1452" s="23">
        <f>(Sales!$J1452-Sales!$B1452)/Sales!$J1452</f>
        <v>7.7192982456140327E-2</v>
      </c>
      <c r="M1452" s="23" t="str">
        <f t="shared" si="22"/>
        <v>5%-10%</v>
      </c>
      <c r="N1452" s="22" t="s">
        <v>45</v>
      </c>
      <c r="O1452" s="22" t="s">
        <v>46</v>
      </c>
      <c r="P1452" s="22" t="s">
        <v>17</v>
      </c>
      <c r="Q1452" s="22" t="s">
        <v>14</v>
      </c>
    </row>
    <row r="1453" spans="1:17" x14ac:dyDescent="0.3">
      <c r="A1453" s="27">
        <v>28</v>
      </c>
      <c r="B1453" s="24">
        <v>46.82</v>
      </c>
      <c r="C1453" s="25">
        <f>Sales!$B1453*Sales!$A1453</f>
        <v>1310.96</v>
      </c>
      <c r="D1453" s="26">
        <v>38153</v>
      </c>
      <c r="E1453" s="27" t="s">
        <v>9</v>
      </c>
      <c r="F1453" s="27">
        <v>2</v>
      </c>
      <c r="G1453" s="27">
        <v>6</v>
      </c>
      <c r="H1453" s="27">
        <v>2004</v>
      </c>
      <c r="I1453" s="27" t="s">
        <v>47</v>
      </c>
      <c r="J1453" s="25">
        <v>57</v>
      </c>
      <c r="K1453" s="25">
        <f>Sales!$B1453-Sales!$J1453</f>
        <v>-10.18</v>
      </c>
      <c r="L1453" s="28">
        <f>(Sales!$J1453-Sales!$B1453)/Sales!$J1453</f>
        <v>0.17859649122807017</v>
      </c>
      <c r="M1453" s="28" t="str">
        <f t="shared" si="22"/>
        <v>15%-20%</v>
      </c>
      <c r="N1453" s="27" t="s">
        <v>50</v>
      </c>
      <c r="O1453" s="27" t="s">
        <v>50</v>
      </c>
      <c r="P1453" s="27" t="s">
        <v>28</v>
      </c>
      <c r="Q1453" s="27" t="s">
        <v>14</v>
      </c>
    </row>
    <row r="1454" spans="1:17" x14ac:dyDescent="0.3">
      <c r="A1454" s="22">
        <v>45</v>
      </c>
      <c r="B1454" s="19">
        <v>64.739999999999995</v>
      </c>
      <c r="C1454" s="20">
        <f>Sales!$B1454*Sales!$A1454</f>
        <v>2913.2999999999997</v>
      </c>
      <c r="D1454" s="21">
        <v>38188</v>
      </c>
      <c r="E1454" s="22" t="s">
        <v>9</v>
      </c>
      <c r="F1454" s="22">
        <v>3</v>
      </c>
      <c r="G1454" s="22">
        <v>7</v>
      </c>
      <c r="H1454" s="22">
        <v>2004</v>
      </c>
      <c r="I1454" s="22" t="s">
        <v>47</v>
      </c>
      <c r="J1454" s="20">
        <v>57</v>
      </c>
      <c r="K1454" s="20">
        <f>Sales!$B1454-Sales!$J1454</f>
        <v>7.7399999999999949</v>
      </c>
      <c r="L1454" s="23">
        <f>(Sales!$J1454-Sales!$B1454)/Sales!$J1454</f>
        <v>-0.13578947368421043</v>
      </c>
      <c r="M1454" s="23" t="str">
        <f t="shared" si="22"/>
        <v>Below 0%</v>
      </c>
      <c r="N1454" s="22" t="s">
        <v>64</v>
      </c>
      <c r="O1454" s="22" t="s">
        <v>12</v>
      </c>
      <c r="P1454" s="22" t="s">
        <v>13</v>
      </c>
      <c r="Q1454" s="22" t="s">
        <v>14</v>
      </c>
    </row>
    <row r="1455" spans="1:17" x14ac:dyDescent="0.3">
      <c r="A1455" s="27">
        <v>29</v>
      </c>
      <c r="B1455" s="24">
        <v>46.82</v>
      </c>
      <c r="C1455" s="25">
        <f>Sales!$B1455*Sales!$A1455</f>
        <v>1357.78</v>
      </c>
      <c r="D1455" s="26">
        <v>38219</v>
      </c>
      <c r="E1455" s="27" t="s">
        <v>9</v>
      </c>
      <c r="F1455" s="27">
        <v>3</v>
      </c>
      <c r="G1455" s="27">
        <v>8</v>
      </c>
      <c r="H1455" s="27">
        <v>2004</v>
      </c>
      <c r="I1455" s="27" t="s">
        <v>47</v>
      </c>
      <c r="J1455" s="25">
        <v>57</v>
      </c>
      <c r="K1455" s="25">
        <f>Sales!$B1455-Sales!$J1455</f>
        <v>-10.18</v>
      </c>
      <c r="L1455" s="28">
        <f>(Sales!$J1455-Sales!$B1455)/Sales!$J1455</f>
        <v>0.17859649122807017</v>
      </c>
      <c r="M1455" s="28" t="str">
        <f t="shared" si="22"/>
        <v>15%-20%</v>
      </c>
      <c r="N1455" s="27" t="s">
        <v>64</v>
      </c>
      <c r="O1455" s="27" t="s">
        <v>12</v>
      </c>
      <c r="P1455" s="27" t="s">
        <v>13</v>
      </c>
      <c r="Q1455" s="27" t="s">
        <v>14</v>
      </c>
    </row>
    <row r="1456" spans="1:17" x14ac:dyDescent="0.3">
      <c r="A1456" s="22">
        <v>40</v>
      </c>
      <c r="B1456" s="19">
        <v>53.75</v>
      </c>
      <c r="C1456" s="20">
        <f>Sales!$B1456*Sales!$A1456</f>
        <v>2150</v>
      </c>
      <c r="D1456" s="21">
        <v>38238</v>
      </c>
      <c r="E1456" s="22" t="s">
        <v>9</v>
      </c>
      <c r="F1456" s="22">
        <v>3</v>
      </c>
      <c r="G1456" s="22">
        <v>9</v>
      </c>
      <c r="H1456" s="22">
        <v>2004</v>
      </c>
      <c r="I1456" s="22" t="s">
        <v>47</v>
      </c>
      <c r="J1456" s="20">
        <v>57</v>
      </c>
      <c r="K1456" s="20">
        <f>Sales!$B1456-Sales!$J1456</f>
        <v>-3.25</v>
      </c>
      <c r="L1456" s="23">
        <f>(Sales!$J1456-Sales!$B1456)/Sales!$J1456</f>
        <v>5.701754385964912E-2</v>
      </c>
      <c r="M1456" s="23" t="str">
        <f t="shared" si="22"/>
        <v>5%-10%</v>
      </c>
      <c r="N1456" s="22" t="s">
        <v>11</v>
      </c>
      <c r="O1456" s="22" t="s">
        <v>12</v>
      </c>
      <c r="P1456" s="22" t="s">
        <v>13</v>
      </c>
      <c r="Q1456" s="22" t="s">
        <v>14</v>
      </c>
    </row>
    <row r="1457" spans="1:17" x14ac:dyDescent="0.3">
      <c r="A1457" s="27">
        <v>45</v>
      </c>
      <c r="B1457" s="24">
        <v>61.85</v>
      </c>
      <c r="C1457" s="25">
        <f>Sales!$B1457*Sales!$A1457</f>
        <v>2783.25</v>
      </c>
      <c r="D1457" s="26">
        <v>38273</v>
      </c>
      <c r="E1457" s="27" t="s">
        <v>9</v>
      </c>
      <c r="F1457" s="27">
        <v>4</v>
      </c>
      <c r="G1457" s="27">
        <v>10</v>
      </c>
      <c r="H1457" s="27">
        <v>2004</v>
      </c>
      <c r="I1457" s="27" t="s">
        <v>47</v>
      </c>
      <c r="J1457" s="25">
        <v>57</v>
      </c>
      <c r="K1457" s="25">
        <f>Sales!$B1457-Sales!$J1457</f>
        <v>4.8500000000000014</v>
      </c>
      <c r="L1457" s="28">
        <f>(Sales!$J1457-Sales!$B1457)/Sales!$J1457</f>
        <v>-8.5087719298245643E-2</v>
      </c>
      <c r="M1457" s="28" t="str">
        <f t="shared" si="22"/>
        <v>Below 0%</v>
      </c>
      <c r="N1457" s="27" t="s">
        <v>32</v>
      </c>
      <c r="O1457" s="27" t="s">
        <v>12</v>
      </c>
      <c r="P1457" s="27" t="s">
        <v>13</v>
      </c>
      <c r="Q1457" s="27" t="s">
        <v>14</v>
      </c>
    </row>
    <row r="1458" spans="1:17" x14ac:dyDescent="0.3">
      <c r="A1458" s="22">
        <v>44</v>
      </c>
      <c r="B1458" s="19">
        <v>53.18</v>
      </c>
      <c r="C1458" s="20">
        <f>Sales!$B1458*Sales!$A1458</f>
        <v>2339.92</v>
      </c>
      <c r="D1458" s="21">
        <v>38282</v>
      </c>
      <c r="E1458" s="22" t="s">
        <v>9</v>
      </c>
      <c r="F1458" s="22">
        <v>4</v>
      </c>
      <c r="G1458" s="22">
        <v>10</v>
      </c>
      <c r="H1458" s="22">
        <v>2004</v>
      </c>
      <c r="I1458" s="22" t="s">
        <v>47</v>
      </c>
      <c r="J1458" s="20">
        <v>57</v>
      </c>
      <c r="K1458" s="20">
        <f>Sales!$B1458-Sales!$J1458</f>
        <v>-3.8200000000000003</v>
      </c>
      <c r="L1458" s="23">
        <f>(Sales!$J1458-Sales!$B1458)/Sales!$J1458</f>
        <v>6.7017543859649129E-2</v>
      </c>
      <c r="M1458" s="23" t="str">
        <f t="shared" si="22"/>
        <v>5%-10%</v>
      </c>
      <c r="N1458" s="22" t="s">
        <v>103</v>
      </c>
      <c r="O1458" s="22" t="s">
        <v>73</v>
      </c>
      <c r="P1458" s="22" t="s">
        <v>17</v>
      </c>
      <c r="Q1458" s="22" t="s">
        <v>14</v>
      </c>
    </row>
    <row r="1459" spans="1:17" x14ac:dyDescent="0.3">
      <c r="A1459" s="27">
        <v>25</v>
      </c>
      <c r="B1459" s="24">
        <v>69.16</v>
      </c>
      <c r="C1459" s="25">
        <f>Sales!$B1459*Sales!$A1459</f>
        <v>1729</v>
      </c>
      <c r="D1459" s="26">
        <v>38296</v>
      </c>
      <c r="E1459" s="27" t="s">
        <v>9</v>
      </c>
      <c r="F1459" s="27">
        <v>4</v>
      </c>
      <c r="G1459" s="27">
        <v>11</v>
      </c>
      <c r="H1459" s="27">
        <v>2004</v>
      </c>
      <c r="I1459" s="27" t="s">
        <v>47</v>
      </c>
      <c r="J1459" s="25">
        <v>57</v>
      </c>
      <c r="K1459" s="25">
        <f>Sales!$B1459-Sales!$J1459</f>
        <v>12.159999999999997</v>
      </c>
      <c r="L1459" s="28">
        <f>(Sales!$J1459-Sales!$B1459)/Sales!$J1459</f>
        <v>-0.21333333333333326</v>
      </c>
      <c r="M1459" s="28" t="str">
        <f t="shared" si="22"/>
        <v>Below 0%</v>
      </c>
      <c r="N1459" s="27" t="s">
        <v>11</v>
      </c>
      <c r="O1459" s="27" t="s">
        <v>12</v>
      </c>
      <c r="P1459" s="27" t="s">
        <v>13</v>
      </c>
      <c r="Q1459" s="27" t="s">
        <v>14</v>
      </c>
    </row>
    <row r="1460" spans="1:17" x14ac:dyDescent="0.3">
      <c r="A1460" s="22">
        <v>45</v>
      </c>
      <c r="B1460" s="19">
        <v>100</v>
      </c>
      <c r="C1460" s="20">
        <f>Sales!$B1460*Sales!$A1460</f>
        <v>4500</v>
      </c>
      <c r="D1460" s="21">
        <v>38311</v>
      </c>
      <c r="E1460" s="22" t="s">
        <v>9</v>
      </c>
      <c r="F1460" s="22">
        <v>4</v>
      </c>
      <c r="G1460" s="22">
        <v>11</v>
      </c>
      <c r="H1460" s="22">
        <v>2004</v>
      </c>
      <c r="I1460" s="22" t="s">
        <v>47</v>
      </c>
      <c r="J1460" s="20">
        <v>57</v>
      </c>
      <c r="K1460" s="20">
        <f>Sales!$B1460-Sales!$J1460</f>
        <v>43</v>
      </c>
      <c r="L1460" s="23">
        <f>(Sales!$J1460-Sales!$B1460)/Sales!$J1460</f>
        <v>-0.75438596491228072</v>
      </c>
      <c r="M1460" s="23" t="str">
        <f t="shared" si="22"/>
        <v>Below 0%</v>
      </c>
      <c r="N1460" s="22" t="s">
        <v>18</v>
      </c>
      <c r="O1460" s="22" t="s">
        <v>16</v>
      </c>
      <c r="P1460" s="22" t="s">
        <v>17</v>
      </c>
      <c r="Q1460" s="22" t="s">
        <v>19</v>
      </c>
    </row>
    <row r="1461" spans="1:17" x14ac:dyDescent="0.3">
      <c r="A1461" s="27">
        <v>48</v>
      </c>
      <c r="B1461" s="24">
        <v>47.4</v>
      </c>
      <c r="C1461" s="25">
        <f>Sales!$B1461*Sales!$A1461</f>
        <v>2275.1999999999998</v>
      </c>
      <c r="D1461" s="26">
        <v>38322</v>
      </c>
      <c r="E1461" s="27" t="s">
        <v>9</v>
      </c>
      <c r="F1461" s="27">
        <v>4</v>
      </c>
      <c r="G1461" s="27">
        <v>12</v>
      </c>
      <c r="H1461" s="27">
        <v>2004</v>
      </c>
      <c r="I1461" s="27" t="s">
        <v>47</v>
      </c>
      <c r="J1461" s="25">
        <v>57</v>
      </c>
      <c r="K1461" s="25">
        <f>Sales!$B1461-Sales!$J1461</f>
        <v>-9.6000000000000014</v>
      </c>
      <c r="L1461" s="28">
        <f>(Sales!$J1461-Sales!$B1461)/Sales!$J1461</f>
        <v>0.16842105263157897</v>
      </c>
      <c r="M1461" s="28" t="str">
        <f t="shared" si="22"/>
        <v>15%-20%</v>
      </c>
      <c r="N1461" s="27" t="s">
        <v>11</v>
      </c>
      <c r="O1461" s="27" t="s">
        <v>12</v>
      </c>
      <c r="P1461" s="27" t="s">
        <v>13</v>
      </c>
      <c r="Q1461" s="27" t="s">
        <v>14</v>
      </c>
    </row>
    <row r="1462" spans="1:17" x14ac:dyDescent="0.3">
      <c r="A1462" s="22">
        <v>44</v>
      </c>
      <c r="B1462" s="19">
        <v>60.76</v>
      </c>
      <c r="C1462" s="20">
        <f>Sales!$B1462*Sales!$A1462</f>
        <v>2673.44</v>
      </c>
      <c r="D1462" s="21">
        <v>38331</v>
      </c>
      <c r="E1462" s="22" t="s">
        <v>9</v>
      </c>
      <c r="F1462" s="22">
        <v>4</v>
      </c>
      <c r="G1462" s="22">
        <v>12</v>
      </c>
      <c r="H1462" s="22">
        <v>2004</v>
      </c>
      <c r="I1462" s="22" t="s">
        <v>47</v>
      </c>
      <c r="J1462" s="20">
        <v>57</v>
      </c>
      <c r="K1462" s="20">
        <f>Sales!$B1462-Sales!$J1462</f>
        <v>3.759999999999998</v>
      </c>
      <c r="L1462" s="23">
        <f>(Sales!$J1462-Sales!$B1462)/Sales!$J1462</f>
        <v>-6.5964912280701726E-2</v>
      </c>
      <c r="M1462" s="23" t="str">
        <f t="shared" si="22"/>
        <v>Below 0%</v>
      </c>
      <c r="N1462" s="22" t="s">
        <v>45</v>
      </c>
      <c r="O1462" s="22" t="s">
        <v>46</v>
      </c>
      <c r="P1462" s="22" t="s">
        <v>17</v>
      </c>
      <c r="Q1462" s="22" t="s">
        <v>14</v>
      </c>
    </row>
    <row r="1463" spans="1:17" x14ac:dyDescent="0.3">
      <c r="A1463" s="27">
        <v>25</v>
      </c>
      <c r="B1463" s="24">
        <v>97.27</v>
      </c>
      <c r="C1463" s="25">
        <f>Sales!$B1463*Sales!$A1463</f>
        <v>2431.75</v>
      </c>
      <c r="D1463" s="26">
        <v>38375</v>
      </c>
      <c r="E1463" s="27" t="s">
        <v>9</v>
      </c>
      <c r="F1463" s="27">
        <v>1</v>
      </c>
      <c r="G1463" s="27">
        <v>1</v>
      </c>
      <c r="H1463" s="27">
        <v>2005</v>
      </c>
      <c r="I1463" s="27" t="s">
        <v>47</v>
      </c>
      <c r="J1463" s="25">
        <v>57</v>
      </c>
      <c r="K1463" s="25">
        <f>Sales!$B1463-Sales!$J1463</f>
        <v>40.269999999999996</v>
      </c>
      <c r="L1463" s="28">
        <f>(Sales!$J1463-Sales!$B1463)/Sales!$J1463</f>
        <v>-0.70649122807017539</v>
      </c>
      <c r="M1463" s="28" t="str">
        <f t="shared" si="22"/>
        <v>Below 0%</v>
      </c>
      <c r="N1463" s="27" t="s">
        <v>64</v>
      </c>
      <c r="O1463" s="27" t="s">
        <v>12</v>
      </c>
      <c r="P1463" s="27" t="s">
        <v>13</v>
      </c>
      <c r="Q1463" s="27" t="s">
        <v>14</v>
      </c>
    </row>
    <row r="1464" spans="1:17" x14ac:dyDescent="0.3">
      <c r="A1464" s="22">
        <v>22</v>
      </c>
      <c r="B1464" s="19">
        <v>91.76</v>
      </c>
      <c r="C1464" s="20">
        <f>Sales!$B1464*Sales!$A1464</f>
        <v>2018.72</v>
      </c>
      <c r="D1464" s="21">
        <v>38405</v>
      </c>
      <c r="E1464" s="22" t="s">
        <v>9</v>
      </c>
      <c r="F1464" s="22">
        <v>1</v>
      </c>
      <c r="G1464" s="22">
        <v>2</v>
      </c>
      <c r="H1464" s="22">
        <v>2005</v>
      </c>
      <c r="I1464" s="22" t="s">
        <v>47</v>
      </c>
      <c r="J1464" s="20">
        <v>57</v>
      </c>
      <c r="K1464" s="20">
        <f>Sales!$B1464-Sales!$J1464</f>
        <v>34.760000000000005</v>
      </c>
      <c r="L1464" s="23">
        <f>(Sales!$J1464-Sales!$B1464)/Sales!$J1464</f>
        <v>-0.60982456140350882</v>
      </c>
      <c r="M1464" s="23" t="str">
        <f t="shared" si="22"/>
        <v>Below 0%</v>
      </c>
      <c r="N1464" s="22" t="s">
        <v>45</v>
      </c>
      <c r="O1464" s="22" t="s">
        <v>46</v>
      </c>
      <c r="P1464" s="22" t="s">
        <v>17</v>
      </c>
      <c r="Q1464" s="22" t="s">
        <v>14</v>
      </c>
    </row>
    <row r="1465" spans="1:17" x14ac:dyDescent="0.3">
      <c r="A1465" s="27">
        <v>31</v>
      </c>
      <c r="B1465" s="24">
        <v>50.29</v>
      </c>
      <c r="C1465" s="25">
        <f>Sales!$B1465*Sales!$A1465</f>
        <v>1558.99</v>
      </c>
      <c r="D1465" s="26">
        <v>38426</v>
      </c>
      <c r="E1465" s="27" t="s">
        <v>9</v>
      </c>
      <c r="F1465" s="27">
        <v>1</v>
      </c>
      <c r="G1465" s="27">
        <v>3</v>
      </c>
      <c r="H1465" s="27">
        <v>2005</v>
      </c>
      <c r="I1465" s="27" t="s">
        <v>47</v>
      </c>
      <c r="J1465" s="25">
        <v>57</v>
      </c>
      <c r="K1465" s="25">
        <f>Sales!$B1465-Sales!$J1465</f>
        <v>-6.7100000000000009</v>
      </c>
      <c r="L1465" s="28">
        <f>(Sales!$J1465-Sales!$B1465)/Sales!$J1465</f>
        <v>0.11771929824561406</v>
      </c>
      <c r="M1465" s="28" t="str">
        <f t="shared" si="22"/>
        <v>10%-15%</v>
      </c>
      <c r="N1465" s="27" t="s">
        <v>45</v>
      </c>
      <c r="O1465" s="27" t="s">
        <v>46</v>
      </c>
      <c r="P1465" s="27" t="s">
        <v>17</v>
      </c>
      <c r="Q1465" s="27" t="s">
        <v>14</v>
      </c>
    </row>
    <row r="1466" spans="1:17" x14ac:dyDescent="0.3">
      <c r="A1466" s="22">
        <v>21</v>
      </c>
      <c r="B1466" s="19">
        <v>52.6</v>
      </c>
      <c r="C1466" s="20">
        <f>Sales!$B1466*Sales!$A1466</f>
        <v>1104.6000000000001</v>
      </c>
      <c r="D1466" s="21">
        <v>38475</v>
      </c>
      <c r="E1466" s="22" t="s">
        <v>9</v>
      </c>
      <c r="F1466" s="22">
        <v>2</v>
      </c>
      <c r="G1466" s="22">
        <v>5</v>
      </c>
      <c r="H1466" s="22">
        <v>2005</v>
      </c>
      <c r="I1466" s="22" t="s">
        <v>47</v>
      </c>
      <c r="J1466" s="20">
        <v>57</v>
      </c>
      <c r="K1466" s="20">
        <f>Sales!$B1466-Sales!$J1466</f>
        <v>-4.3999999999999986</v>
      </c>
      <c r="L1466" s="23">
        <f>(Sales!$J1466-Sales!$B1466)/Sales!$J1466</f>
        <v>7.7192982456140327E-2</v>
      </c>
      <c r="M1466" s="23" t="str">
        <f t="shared" si="22"/>
        <v>5%-10%</v>
      </c>
      <c r="N1466" s="22" t="s">
        <v>45</v>
      </c>
      <c r="O1466" s="22" t="s">
        <v>46</v>
      </c>
      <c r="P1466" s="22" t="s">
        <v>17</v>
      </c>
      <c r="Q1466" s="22" t="s">
        <v>14</v>
      </c>
    </row>
    <row r="1467" spans="1:17" x14ac:dyDescent="0.3">
      <c r="A1467" s="27">
        <v>55</v>
      </c>
      <c r="B1467" s="24">
        <v>46.82</v>
      </c>
      <c r="C1467" s="25">
        <f>Sales!$B1467*Sales!$A1467</f>
        <v>2575.1</v>
      </c>
      <c r="D1467" s="26">
        <v>38503</v>
      </c>
      <c r="E1467" s="27" t="s">
        <v>69</v>
      </c>
      <c r="F1467" s="27">
        <v>2</v>
      </c>
      <c r="G1467" s="27">
        <v>5</v>
      </c>
      <c r="H1467" s="27">
        <v>2005</v>
      </c>
      <c r="I1467" s="27" t="s">
        <v>47</v>
      </c>
      <c r="J1467" s="25">
        <v>57</v>
      </c>
      <c r="K1467" s="25">
        <f>Sales!$B1467-Sales!$J1467</f>
        <v>-10.18</v>
      </c>
      <c r="L1467" s="28">
        <f>(Sales!$J1467-Sales!$B1467)/Sales!$J1467</f>
        <v>0.17859649122807017</v>
      </c>
      <c r="M1467" s="28" t="str">
        <f t="shared" si="22"/>
        <v>15%-20%</v>
      </c>
      <c r="N1467" s="27" t="s">
        <v>31</v>
      </c>
      <c r="O1467" s="27" t="s">
        <v>16</v>
      </c>
      <c r="P1467" s="27" t="s">
        <v>17</v>
      </c>
      <c r="Q1467" s="27" t="s">
        <v>14</v>
      </c>
    </row>
    <row r="1468" spans="1:17" x14ac:dyDescent="0.3">
      <c r="A1468" s="22">
        <v>25</v>
      </c>
      <c r="B1468" s="19">
        <v>100</v>
      </c>
      <c r="C1468" s="20">
        <f>Sales!$B1468*Sales!$A1468</f>
        <v>2500</v>
      </c>
      <c r="D1468" s="21">
        <v>37676</v>
      </c>
      <c r="E1468" s="22" t="s">
        <v>9</v>
      </c>
      <c r="F1468" s="22">
        <v>1</v>
      </c>
      <c r="G1468" s="22">
        <v>2</v>
      </c>
      <c r="H1468" s="22">
        <v>2003</v>
      </c>
      <c r="I1468" s="22" t="s">
        <v>10</v>
      </c>
      <c r="J1468" s="20">
        <v>112</v>
      </c>
      <c r="K1468" s="20">
        <f>Sales!$B1468-Sales!$J1468</f>
        <v>-12</v>
      </c>
      <c r="L1468" s="23">
        <f>(Sales!$J1468-Sales!$B1468)/Sales!$J1468</f>
        <v>0.10714285714285714</v>
      </c>
      <c r="M1468" s="23" t="str">
        <f t="shared" si="22"/>
        <v>10%-15%</v>
      </c>
      <c r="N1468" s="22" t="s">
        <v>11</v>
      </c>
      <c r="O1468" s="22" t="s">
        <v>12</v>
      </c>
      <c r="P1468" s="22" t="s">
        <v>13</v>
      </c>
      <c r="Q1468" s="22" t="s">
        <v>14</v>
      </c>
    </row>
    <row r="1469" spans="1:17" x14ac:dyDescent="0.3">
      <c r="A1469" s="27">
        <v>35</v>
      </c>
      <c r="B1469" s="24">
        <v>98.05</v>
      </c>
      <c r="C1469" s="25">
        <f>Sales!$B1469*Sales!$A1469</f>
        <v>3431.75</v>
      </c>
      <c r="D1469" s="26">
        <v>37740</v>
      </c>
      <c r="E1469" s="27" t="s">
        <v>9</v>
      </c>
      <c r="F1469" s="27">
        <v>2</v>
      </c>
      <c r="G1469" s="27">
        <v>4</v>
      </c>
      <c r="H1469" s="27">
        <v>2003</v>
      </c>
      <c r="I1469" s="27" t="s">
        <v>10</v>
      </c>
      <c r="J1469" s="25">
        <v>112</v>
      </c>
      <c r="K1469" s="25">
        <f>Sales!$B1469-Sales!$J1469</f>
        <v>-13.950000000000003</v>
      </c>
      <c r="L1469" s="28">
        <f>(Sales!$J1469-Sales!$B1469)/Sales!$J1469</f>
        <v>0.12455357142857146</v>
      </c>
      <c r="M1469" s="28" t="str">
        <f t="shared" si="22"/>
        <v>10%-15%</v>
      </c>
      <c r="N1469" s="27" t="s">
        <v>26</v>
      </c>
      <c r="O1469" s="27" t="s">
        <v>27</v>
      </c>
      <c r="P1469" s="27" t="s">
        <v>28</v>
      </c>
      <c r="Q1469" s="27" t="s">
        <v>19</v>
      </c>
    </row>
    <row r="1470" spans="1:17" x14ac:dyDescent="0.3">
      <c r="A1470" s="22">
        <v>35</v>
      </c>
      <c r="B1470" s="19">
        <v>93.54</v>
      </c>
      <c r="C1470" s="20">
        <f>Sales!$B1470*Sales!$A1470</f>
        <v>3273.9</v>
      </c>
      <c r="D1470" s="21">
        <v>37803</v>
      </c>
      <c r="E1470" s="22" t="s">
        <v>9</v>
      </c>
      <c r="F1470" s="22">
        <v>3</v>
      </c>
      <c r="G1470" s="22">
        <v>7</v>
      </c>
      <c r="H1470" s="22">
        <v>2003</v>
      </c>
      <c r="I1470" s="22" t="s">
        <v>10</v>
      </c>
      <c r="J1470" s="20">
        <v>112</v>
      </c>
      <c r="K1470" s="20">
        <f>Sales!$B1470-Sales!$J1470</f>
        <v>-18.459999999999994</v>
      </c>
      <c r="L1470" s="23">
        <f>(Sales!$J1470-Sales!$B1470)/Sales!$J1470</f>
        <v>0.16482142857142851</v>
      </c>
      <c r="M1470" s="23" t="str">
        <f t="shared" si="22"/>
        <v>15%-20%</v>
      </c>
      <c r="N1470" s="22" t="s">
        <v>18</v>
      </c>
      <c r="O1470" s="22" t="s">
        <v>16</v>
      </c>
      <c r="P1470" s="22" t="s">
        <v>17</v>
      </c>
      <c r="Q1470" s="22" t="s">
        <v>19</v>
      </c>
    </row>
    <row r="1471" spans="1:17" x14ac:dyDescent="0.3">
      <c r="A1471" s="27">
        <v>43</v>
      </c>
      <c r="B1471" s="24">
        <v>95.8</v>
      </c>
      <c r="C1471" s="25">
        <f>Sales!$B1471*Sales!$A1471</f>
        <v>4119.3999999999996</v>
      </c>
      <c r="D1471" s="26">
        <v>37858</v>
      </c>
      <c r="E1471" s="27" t="s">
        <v>9</v>
      </c>
      <c r="F1471" s="27">
        <v>3</v>
      </c>
      <c r="G1471" s="27">
        <v>8</v>
      </c>
      <c r="H1471" s="27">
        <v>2003</v>
      </c>
      <c r="I1471" s="27" t="s">
        <v>10</v>
      </c>
      <c r="J1471" s="25">
        <v>112</v>
      </c>
      <c r="K1471" s="25">
        <f>Sales!$B1471-Sales!$J1471</f>
        <v>-16.200000000000003</v>
      </c>
      <c r="L1471" s="28">
        <f>(Sales!$J1471-Sales!$B1471)/Sales!$J1471</f>
        <v>0.14464285714285716</v>
      </c>
      <c r="M1471" s="28" t="str">
        <f t="shared" si="22"/>
        <v>10%-15%</v>
      </c>
      <c r="N1471" s="27" t="s">
        <v>20</v>
      </c>
      <c r="O1471" s="27" t="s">
        <v>12</v>
      </c>
      <c r="P1471" s="27" t="s">
        <v>13</v>
      </c>
      <c r="Q1471" s="27" t="s">
        <v>19</v>
      </c>
    </row>
    <row r="1472" spans="1:17" x14ac:dyDescent="0.3">
      <c r="A1472" s="22">
        <v>44</v>
      </c>
      <c r="B1472" s="19">
        <v>100</v>
      </c>
      <c r="C1472" s="20">
        <f>Sales!$B1472*Sales!$A1472</f>
        <v>4400</v>
      </c>
      <c r="D1472" s="21">
        <v>37904</v>
      </c>
      <c r="E1472" s="22" t="s">
        <v>9</v>
      </c>
      <c r="F1472" s="22">
        <v>4</v>
      </c>
      <c r="G1472" s="22">
        <v>10</v>
      </c>
      <c r="H1472" s="22">
        <v>2003</v>
      </c>
      <c r="I1472" s="22" t="s">
        <v>10</v>
      </c>
      <c r="J1472" s="20">
        <v>112</v>
      </c>
      <c r="K1472" s="20">
        <f>Sales!$B1472-Sales!$J1472</f>
        <v>-12</v>
      </c>
      <c r="L1472" s="23">
        <f>(Sales!$J1472-Sales!$B1472)/Sales!$J1472</f>
        <v>0.10714285714285714</v>
      </c>
      <c r="M1472" s="23" t="str">
        <f t="shared" si="22"/>
        <v>10%-15%</v>
      </c>
      <c r="N1472" s="22" t="s">
        <v>21</v>
      </c>
      <c r="O1472" s="22" t="s">
        <v>12</v>
      </c>
      <c r="P1472" s="22" t="s">
        <v>13</v>
      </c>
      <c r="Q1472" s="22" t="s">
        <v>19</v>
      </c>
    </row>
    <row r="1473" spans="1:17" x14ac:dyDescent="0.3">
      <c r="A1473" s="27">
        <v>50</v>
      </c>
      <c r="B1473" s="24">
        <v>100</v>
      </c>
      <c r="C1473" s="25">
        <f>Sales!$B1473*Sales!$A1473</f>
        <v>5000</v>
      </c>
      <c r="D1473" s="26">
        <v>37922</v>
      </c>
      <c r="E1473" s="27" t="s">
        <v>9</v>
      </c>
      <c r="F1473" s="27">
        <v>4</v>
      </c>
      <c r="G1473" s="27">
        <v>10</v>
      </c>
      <c r="H1473" s="27">
        <v>2003</v>
      </c>
      <c r="I1473" s="27" t="s">
        <v>10</v>
      </c>
      <c r="J1473" s="25">
        <v>112</v>
      </c>
      <c r="K1473" s="25">
        <f>Sales!$B1473-Sales!$J1473</f>
        <v>-12</v>
      </c>
      <c r="L1473" s="28">
        <f>(Sales!$J1473-Sales!$B1473)/Sales!$J1473</f>
        <v>0.10714285714285714</v>
      </c>
      <c r="M1473" s="28" t="str">
        <f t="shared" si="22"/>
        <v>10%-15%</v>
      </c>
      <c r="N1473" s="27" t="s">
        <v>22</v>
      </c>
      <c r="O1473" s="27" t="s">
        <v>12</v>
      </c>
      <c r="P1473" s="27" t="s">
        <v>13</v>
      </c>
      <c r="Q1473" s="27" t="s">
        <v>19</v>
      </c>
    </row>
    <row r="1474" spans="1:17" x14ac:dyDescent="0.3">
      <c r="A1474" s="22">
        <v>48</v>
      </c>
      <c r="B1474" s="19">
        <v>100</v>
      </c>
      <c r="C1474" s="20">
        <f>Sales!$B1474*Sales!$A1474</f>
        <v>4800</v>
      </c>
      <c r="D1474" s="21">
        <v>37936</v>
      </c>
      <c r="E1474" s="22" t="s">
        <v>9</v>
      </c>
      <c r="F1474" s="22">
        <v>4</v>
      </c>
      <c r="G1474" s="22">
        <v>11</v>
      </c>
      <c r="H1474" s="22">
        <v>2003</v>
      </c>
      <c r="I1474" s="22" t="s">
        <v>10</v>
      </c>
      <c r="J1474" s="20">
        <v>112</v>
      </c>
      <c r="K1474" s="20">
        <f>Sales!$B1474-Sales!$J1474</f>
        <v>-12</v>
      </c>
      <c r="L1474" s="23">
        <f>(Sales!$J1474-Sales!$B1474)/Sales!$J1474</f>
        <v>0.10714285714285714</v>
      </c>
      <c r="M1474" s="23" t="str">
        <f t="shared" si="22"/>
        <v>10%-15%</v>
      </c>
      <c r="N1474" s="22" t="s">
        <v>23</v>
      </c>
      <c r="O1474" s="22" t="s">
        <v>16</v>
      </c>
      <c r="P1474" s="22" t="s">
        <v>17</v>
      </c>
      <c r="Q1474" s="22" t="s">
        <v>19</v>
      </c>
    </row>
    <row r="1475" spans="1:17" x14ac:dyDescent="0.3">
      <c r="A1475" s="27">
        <v>25</v>
      </c>
      <c r="B1475" s="24">
        <v>100</v>
      </c>
      <c r="C1475" s="25">
        <f>Sales!$B1475*Sales!$A1475</f>
        <v>2500</v>
      </c>
      <c r="D1475" s="26">
        <v>37943</v>
      </c>
      <c r="E1475" s="27" t="s">
        <v>9</v>
      </c>
      <c r="F1475" s="27">
        <v>4</v>
      </c>
      <c r="G1475" s="27">
        <v>11</v>
      </c>
      <c r="H1475" s="27">
        <v>2003</v>
      </c>
      <c r="I1475" s="27" t="s">
        <v>10</v>
      </c>
      <c r="J1475" s="25">
        <v>112</v>
      </c>
      <c r="K1475" s="25">
        <f>Sales!$B1475-Sales!$J1475</f>
        <v>-12</v>
      </c>
      <c r="L1475" s="28">
        <f>(Sales!$J1475-Sales!$B1475)/Sales!$J1475</f>
        <v>0.10714285714285714</v>
      </c>
      <c r="M1475" s="28" t="str">
        <f t="shared" ref="M1475:M1538" si="23">IF(L1475&lt;0%,"Below 0%",IF(L1475=0%,"0%",IF(AND(L1475&lt;=5%,L1475&gt;0%),"0%-5%",IF(AND(L1475&lt;=10%,L1475&gt;5%),"5%-10%",IF(AND(L1475&lt;=15%,L1475&gt;10%),"10%-15%",IF(AND(L1475&lt;=20%,L1475&gt;15%),"15%-20%","+20%"))))))</f>
        <v>10%-15%</v>
      </c>
      <c r="N1475" s="27" t="s">
        <v>24</v>
      </c>
      <c r="O1475" s="27" t="s">
        <v>25</v>
      </c>
      <c r="P1475" s="27" t="s">
        <v>17</v>
      </c>
      <c r="Q1475" s="27" t="s">
        <v>14</v>
      </c>
    </row>
    <row r="1476" spans="1:17" x14ac:dyDescent="0.3">
      <c r="A1476" s="22">
        <v>39</v>
      </c>
      <c r="B1476" s="19">
        <v>100</v>
      </c>
      <c r="C1476" s="20">
        <f>Sales!$B1476*Sales!$A1476</f>
        <v>3900</v>
      </c>
      <c r="D1476" s="21">
        <v>37956</v>
      </c>
      <c r="E1476" s="22" t="s">
        <v>9</v>
      </c>
      <c r="F1476" s="22">
        <v>4</v>
      </c>
      <c r="G1476" s="22">
        <v>12</v>
      </c>
      <c r="H1476" s="22">
        <v>2003</v>
      </c>
      <c r="I1476" s="22" t="s">
        <v>10</v>
      </c>
      <c r="J1476" s="20">
        <v>112</v>
      </c>
      <c r="K1476" s="20">
        <f>Sales!$B1476-Sales!$J1476</f>
        <v>-12</v>
      </c>
      <c r="L1476" s="23">
        <f>(Sales!$J1476-Sales!$B1476)/Sales!$J1476</f>
        <v>0.10714285714285714</v>
      </c>
      <c r="M1476" s="23" t="str">
        <f t="shared" si="23"/>
        <v>10%-15%</v>
      </c>
      <c r="N1476" s="22" t="s">
        <v>21</v>
      </c>
      <c r="O1476" s="22" t="s">
        <v>12</v>
      </c>
      <c r="P1476" s="22" t="s">
        <v>13</v>
      </c>
      <c r="Q1476" s="22" t="s">
        <v>19</v>
      </c>
    </row>
    <row r="1477" spans="1:17" x14ac:dyDescent="0.3">
      <c r="A1477" s="27">
        <v>25</v>
      </c>
      <c r="B1477" s="24">
        <v>90.16</v>
      </c>
      <c r="C1477" s="25">
        <f>Sales!$B1477*Sales!$A1477</f>
        <v>2254</v>
      </c>
      <c r="D1477" s="26">
        <v>38001</v>
      </c>
      <c r="E1477" s="27" t="s">
        <v>9</v>
      </c>
      <c r="F1477" s="27">
        <v>1</v>
      </c>
      <c r="G1477" s="27">
        <v>1</v>
      </c>
      <c r="H1477" s="27">
        <v>2004</v>
      </c>
      <c r="I1477" s="27" t="s">
        <v>10</v>
      </c>
      <c r="J1477" s="25">
        <v>112</v>
      </c>
      <c r="K1477" s="25">
        <f>Sales!$B1477-Sales!$J1477</f>
        <v>-21.840000000000003</v>
      </c>
      <c r="L1477" s="28">
        <f>(Sales!$J1477-Sales!$B1477)/Sales!$J1477</f>
        <v>0.19500000000000003</v>
      </c>
      <c r="M1477" s="28" t="str">
        <f t="shared" si="23"/>
        <v>15%-20%</v>
      </c>
      <c r="N1477" s="27" t="s">
        <v>18</v>
      </c>
      <c r="O1477" s="27" t="s">
        <v>16</v>
      </c>
      <c r="P1477" s="27" t="s">
        <v>17</v>
      </c>
      <c r="Q1477" s="27" t="s">
        <v>14</v>
      </c>
    </row>
    <row r="1478" spans="1:17" x14ac:dyDescent="0.3">
      <c r="A1478" s="22">
        <v>32</v>
      </c>
      <c r="B1478" s="19">
        <v>91.29</v>
      </c>
      <c r="C1478" s="20">
        <f>Sales!$B1478*Sales!$A1478</f>
        <v>2921.28</v>
      </c>
      <c r="D1478" s="21">
        <v>38037</v>
      </c>
      <c r="E1478" s="22" t="s">
        <v>9</v>
      </c>
      <c r="F1478" s="22">
        <v>1</v>
      </c>
      <c r="G1478" s="22">
        <v>2</v>
      </c>
      <c r="H1478" s="22">
        <v>2004</v>
      </c>
      <c r="I1478" s="22" t="s">
        <v>10</v>
      </c>
      <c r="J1478" s="20">
        <v>112</v>
      </c>
      <c r="K1478" s="20">
        <f>Sales!$B1478-Sales!$J1478</f>
        <v>-20.709999999999994</v>
      </c>
      <c r="L1478" s="23">
        <f>(Sales!$J1478-Sales!$B1478)/Sales!$J1478</f>
        <v>0.18491071428571423</v>
      </c>
      <c r="M1478" s="23" t="str">
        <f t="shared" si="23"/>
        <v>15%-20%</v>
      </c>
      <c r="N1478" s="22" t="s">
        <v>26</v>
      </c>
      <c r="O1478" s="22" t="s">
        <v>27</v>
      </c>
      <c r="P1478" s="22" t="s">
        <v>28</v>
      </c>
      <c r="Q1478" s="22" t="s">
        <v>14</v>
      </c>
    </row>
    <row r="1479" spans="1:17" x14ac:dyDescent="0.3">
      <c r="A1479" s="27">
        <v>20</v>
      </c>
      <c r="B1479" s="24">
        <v>100</v>
      </c>
      <c r="C1479" s="25">
        <f>Sales!$B1479*Sales!$A1479</f>
        <v>2000</v>
      </c>
      <c r="D1479" s="26">
        <v>38082</v>
      </c>
      <c r="E1479" s="27" t="s">
        <v>9</v>
      </c>
      <c r="F1479" s="27">
        <v>2</v>
      </c>
      <c r="G1479" s="27">
        <v>4</v>
      </c>
      <c r="H1479" s="27">
        <v>2004</v>
      </c>
      <c r="I1479" s="27" t="s">
        <v>10</v>
      </c>
      <c r="J1479" s="25">
        <v>112</v>
      </c>
      <c r="K1479" s="25">
        <f>Sales!$B1479-Sales!$J1479</f>
        <v>-12</v>
      </c>
      <c r="L1479" s="28">
        <f>(Sales!$J1479-Sales!$B1479)/Sales!$J1479</f>
        <v>0.10714285714285714</v>
      </c>
      <c r="M1479" s="28" t="str">
        <f t="shared" si="23"/>
        <v>10%-15%</v>
      </c>
      <c r="N1479" s="27" t="s">
        <v>11</v>
      </c>
      <c r="O1479" s="27" t="s">
        <v>12</v>
      </c>
      <c r="P1479" s="27" t="s">
        <v>13</v>
      </c>
      <c r="Q1479" s="27" t="s">
        <v>14</v>
      </c>
    </row>
    <row r="1480" spans="1:17" x14ac:dyDescent="0.3">
      <c r="A1480" s="22">
        <v>26</v>
      </c>
      <c r="B1480" s="19">
        <v>100</v>
      </c>
      <c r="C1480" s="20">
        <f>Sales!$B1480*Sales!$A1480</f>
        <v>2600</v>
      </c>
      <c r="D1480" s="21">
        <v>38125</v>
      </c>
      <c r="E1480" s="22" t="s">
        <v>9</v>
      </c>
      <c r="F1480" s="22">
        <v>2</v>
      </c>
      <c r="G1480" s="22">
        <v>5</v>
      </c>
      <c r="H1480" s="22">
        <v>2004</v>
      </c>
      <c r="I1480" s="22" t="s">
        <v>10</v>
      </c>
      <c r="J1480" s="20">
        <v>112</v>
      </c>
      <c r="K1480" s="20">
        <f>Sales!$B1480-Sales!$J1480</f>
        <v>-12</v>
      </c>
      <c r="L1480" s="23">
        <f>(Sales!$J1480-Sales!$B1480)/Sales!$J1480</f>
        <v>0.10714285714285714</v>
      </c>
      <c r="M1480" s="23" t="str">
        <f t="shared" si="23"/>
        <v>10%-15%</v>
      </c>
      <c r="N1480" s="22" t="s">
        <v>29</v>
      </c>
      <c r="O1480" s="22" t="s">
        <v>12</v>
      </c>
      <c r="P1480" s="22" t="s">
        <v>13</v>
      </c>
      <c r="Q1480" s="22" t="s">
        <v>14</v>
      </c>
    </row>
    <row r="1481" spans="1:17" x14ac:dyDescent="0.3">
      <c r="A1481" s="27">
        <v>42</v>
      </c>
      <c r="B1481" s="24">
        <v>100</v>
      </c>
      <c r="C1481" s="25">
        <f>Sales!$B1481*Sales!$A1481</f>
        <v>4200</v>
      </c>
      <c r="D1481" s="26">
        <v>38166</v>
      </c>
      <c r="E1481" s="27" t="s">
        <v>9</v>
      </c>
      <c r="F1481" s="27">
        <v>2</v>
      </c>
      <c r="G1481" s="27">
        <v>6</v>
      </c>
      <c r="H1481" s="27">
        <v>2004</v>
      </c>
      <c r="I1481" s="27" t="s">
        <v>10</v>
      </c>
      <c r="J1481" s="25">
        <v>112</v>
      </c>
      <c r="K1481" s="25">
        <f>Sales!$B1481-Sales!$J1481</f>
        <v>-12</v>
      </c>
      <c r="L1481" s="28">
        <f>(Sales!$J1481-Sales!$B1481)/Sales!$J1481</f>
        <v>0.10714285714285714</v>
      </c>
      <c r="M1481" s="28" t="str">
        <f t="shared" si="23"/>
        <v>10%-15%</v>
      </c>
      <c r="N1481" s="27" t="s">
        <v>30</v>
      </c>
      <c r="O1481" s="27" t="s">
        <v>12</v>
      </c>
      <c r="P1481" s="27" t="s">
        <v>13</v>
      </c>
      <c r="Q1481" s="27" t="s">
        <v>19</v>
      </c>
    </row>
    <row r="1482" spans="1:17" x14ac:dyDescent="0.3">
      <c r="A1482" s="22">
        <v>21</v>
      </c>
      <c r="B1482" s="19">
        <v>100</v>
      </c>
      <c r="C1482" s="20">
        <f>Sales!$B1482*Sales!$A1482</f>
        <v>2100</v>
      </c>
      <c r="D1482" s="21">
        <v>38191</v>
      </c>
      <c r="E1482" s="22" t="s">
        <v>9</v>
      </c>
      <c r="F1482" s="22">
        <v>3</v>
      </c>
      <c r="G1482" s="22">
        <v>7</v>
      </c>
      <c r="H1482" s="22">
        <v>2004</v>
      </c>
      <c r="I1482" s="22" t="s">
        <v>10</v>
      </c>
      <c r="J1482" s="20">
        <v>112</v>
      </c>
      <c r="K1482" s="20">
        <f>Sales!$B1482-Sales!$J1482</f>
        <v>-12</v>
      </c>
      <c r="L1482" s="23">
        <f>(Sales!$J1482-Sales!$B1482)/Sales!$J1482</f>
        <v>0.10714285714285714</v>
      </c>
      <c r="M1482" s="23" t="str">
        <f t="shared" si="23"/>
        <v>10%-15%</v>
      </c>
      <c r="N1482" s="22" t="s">
        <v>31</v>
      </c>
      <c r="O1482" s="22" t="s">
        <v>16</v>
      </c>
      <c r="P1482" s="22" t="s">
        <v>17</v>
      </c>
      <c r="Q1482" s="22" t="s">
        <v>14</v>
      </c>
    </row>
    <row r="1483" spans="1:17" x14ac:dyDescent="0.3">
      <c r="A1483" s="27">
        <v>34</v>
      </c>
      <c r="B1483" s="24">
        <v>100</v>
      </c>
      <c r="C1483" s="25">
        <f>Sales!$B1483*Sales!$A1483</f>
        <v>3400</v>
      </c>
      <c r="D1483" s="26">
        <v>38226</v>
      </c>
      <c r="E1483" s="27" t="s">
        <v>9</v>
      </c>
      <c r="F1483" s="27">
        <v>3</v>
      </c>
      <c r="G1483" s="27">
        <v>8</v>
      </c>
      <c r="H1483" s="27">
        <v>2004</v>
      </c>
      <c r="I1483" s="27" t="s">
        <v>10</v>
      </c>
      <c r="J1483" s="25">
        <v>112</v>
      </c>
      <c r="K1483" s="25">
        <f>Sales!$B1483-Sales!$J1483</f>
        <v>-12</v>
      </c>
      <c r="L1483" s="28">
        <f>(Sales!$J1483-Sales!$B1483)/Sales!$J1483</f>
        <v>0.10714285714285714</v>
      </c>
      <c r="M1483" s="28" t="str">
        <f t="shared" si="23"/>
        <v>10%-15%</v>
      </c>
      <c r="N1483" s="27" t="s">
        <v>32</v>
      </c>
      <c r="O1483" s="27" t="s">
        <v>12</v>
      </c>
      <c r="P1483" s="27" t="s">
        <v>13</v>
      </c>
      <c r="Q1483" s="27" t="s">
        <v>19</v>
      </c>
    </row>
    <row r="1484" spans="1:17" x14ac:dyDescent="0.3">
      <c r="A1484" s="22">
        <v>47</v>
      </c>
      <c r="B1484" s="19">
        <v>100</v>
      </c>
      <c r="C1484" s="20">
        <f>Sales!$B1484*Sales!$A1484</f>
        <v>4700</v>
      </c>
      <c r="D1484" s="21">
        <v>38260</v>
      </c>
      <c r="E1484" s="22" t="s">
        <v>9</v>
      </c>
      <c r="F1484" s="22">
        <v>3</v>
      </c>
      <c r="G1484" s="22">
        <v>9</v>
      </c>
      <c r="H1484" s="22">
        <v>2004</v>
      </c>
      <c r="I1484" s="22" t="s">
        <v>10</v>
      </c>
      <c r="J1484" s="20">
        <v>112</v>
      </c>
      <c r="K1484" s="20">
        <f>Sales!$B1484-Sales!$J1484</f>
        <v>-12</v>
      </c>
      <c r="L1484" s="23">
        <f>(Sales!$J1484-Sales!$B1484)/Sales!$J1484</f>
        <v>0.10714285714285714</v>
      </c>
      <c r="M1484" s="23" t="str">
        <f t="shared" si="23"/>
        <v>10%-15%</v>
      </c>
      <c r="N1484" s="22" t="s">
        <v>33</v>
      </c>
      <c r="O1484" s="22" t="s">
        <v>34</v>
      </c>
      <c r="P1484" s="22" t="s">
        <v>17</v>
      </c>
      <c r="Q1484" s="22" t="s">
        <v>19</v>
      </c>
    </row>
    <row r="1485" spans="1:17" x14ac:dyDescent="0.3">
      <c r="A1485" s="27">
        <v>21</v>
      </c>
      <c r="B1485" s="24">
        <v>100</v>
      </c>
      <c r="C1485" s="25">
        <f>Sales!$B1485*Sales!$A1485</f>
        <v>2100</v>
      </c>
      <c r="D1485" s="26">
        <v>38275</v>
      </c>
      <c r="E1485" s="27" t="s">
        <v>9</v>
      </c>
      <c r="F1485" s="27">
        <v>4</v>
      </c>
      <c r="G1485" s="27">
        <v>10</v>
      </c>
      <c r="H1485" s="27">
        <v>2004</v>
      </c>
      <c r="I1485" s="27" t="s">
        <v>10</v>
      </c>
      <c r="J1485" s="25">
        <v>112</v>
      </c>
      <c r="K1485" s="25">
        <f>Sales!$B1485-Sales!$J1485</f>
        <v>-12</v>
      </c>
      <c r="L1485" s="28">
        <f>(Sales!$J1485-Sales!$B1485)/Sales!$J1485</f>
        <v>0.10714285714285714</v>
      </c>
      <c r="M1485" s="28" t="str">
        <f t="shared" si="23"/>
        <v>10%-15%</v>
      </c>
      <c r="N1485" s="27" t="s">
        <v>35</v>
      </c>
      <c r="O1485" s="27" t="s">
        <v>25</v>
      </c>
      <c r="P1485" s="27" t="s">
        <v>17</v>
      </c>
      <c r="Q1485" s="27" t="s">
        <v>14</v>
      </c>
    </row>
    <row r="1486" spans="1:17" x14ac:dyDescent="0.3">
      <c r="A1486" s="22">
        <v>48</v>
      </c>
      <c r="B1486" s="19">
        <v>100</v>
      </c>
      <c r="C1486" s="20">
        <f>Sales!$B1486*Sales!$A1486</f>
        <v>4800</v>
      </c>
      <c r="D1486" s="21">
        <v>38293</v>
      </c>
      <c r="E1486" s="22" t="s">
        <v>9</v>
      </c>
      <c r="F1486" s="22">
        <v>4</v>
      </c>
      <c r="G1486" s="22">
        <v>11</v>
      </c>
      <c r="H1486" s="22">
        <v>2004</v>
      </c>
      <c r="I1486" s="22" t="s">
        <v>10</v>
      </c>
      <c r="J1486" s="20">
        <v>112</v>
      </c>
      <c r="K1486" s="20">
        <f>Sales!$B1486-Sales!$J1486</f>
        <v>-12</v>
      </c>
      <c r="L1486" s="23">
        <f>(Sales!$J1486-Sales!$B1486)/Sales!$J1486</f>
        <v>0.10714285714285714</v>
      </c>
      <c r="M1486" s="23" t="str">
        <f t="shared" si="23"/>
        <v>10%-15%</v>
      </c>
      <c r="N1486" s="22" t="s">
        <v>36</v>
      </c>
      <c r="O1486" s="22" t="s">
        <v>12</v>
      </c>
      <c r="P1486" s="22" t="s">
        <v>13</v>
      </c>
      <c r="Q1486" s="22" t="s">
        <v>19</v>
      </c>
    </row>
    <row r="1487" spans="1:17" x14ac:dyDescent="0.3">
      <c r="A1487" s="27">
        <v>30</v>
      </c>
      <c r="B1487" s="24">
        <v>87.78</v>
      </c>
      <c r="C1487" s="25">
        <f>Sales!$B1487*Sales!$A1487</f>
        <v>2633.4</v>
      </c>
      <c r="D1487" s="26">
        <v>38306</v>
      </c>
      <c r="E1487" s="27" t="s">
        <v>9</v>
      </c>
      <c r="F1487" s="27">
        <v>4</v>
      </c>
      <c r="G1487" s="27">
        <v>11</v>
      </c>
      <c r="H1487" s="27">
        <v>2004</v>
      </c>
      <c r="I1487" s="27" t="s">
        <v>10</v>
      </c>
      <c r="J1487" s="25">
        <v>112</v>
      </c>
      <c r="K1487" s="25">
        <f>Sales!$B1487-Sales!$J1487</f>
        <v>-24.22</v>
      </c>
      <c r="L1487" s="28">
        <f>(Sales!$J1487-Sales!$B1487)/Sales!$J1487</f>
        <v>0.21625</v>
      </c>
      <c r="M1487" s="28" t="str">
        <f t="shared" si="23"/>
        <v>+20%</v>
      </c>
      <c r="N1487" s="27" t="s">
        <v>11</v>
      </c>
      <c r="O1487" s="27" t="s">
        <v>12</v>
      </c>
      <c r="P1487" s="27" t="s">
        <v>13</v>
      </c>
      <c r="Q1487" s="27" t="s">
        <v>14</v>
      </c>
    </row>
    <row r="1488" spans="1:17" x14ac:dyDescent="0.3">
      <c r="A1488" s="22">
        <v>27</v>
      </c>
      <c r="B1488" s="19">
        <v>84.39</v>
      </c>
      <c r="C1488" s="20">
        <f>Sales!$B1488*Sales!$A1488</f>
        <v>2278.5300000000002</v>
      </c>
      <c r="D1488" s="21">
        <v>38314</v>
      </c>
      <c r="E1488" s="22" t="s">
        <v>9</v>
      </c>
      <c r="F1488" s="22">
        <v>4</v>
      </c>
      <c r="G1488" s="22">
        <v>11</v>
      </c>
      <c r="H1488" s="22">
        <v>2004</v>
      </c>
      <c r="I1488" s="22" t="s">
        <v>10</v>
      </c>
      <c r="J1488" s="20">
        <v>112</v>
      </c>
      <c r="K1488" s="20">
        <f>Sales!$B1488-Sales!$J1488</f>
        <v>-27.61</v>
      </c>
      <c r="L1488" s="23">
        <f>(Sales!$J1488-Sales!$B1488)/Sales!$J1488</f>
        <v>0.24651785714285715</v>
      </c>
      <c r="M1488" s="23" t="str">
        <f t="shared" si="23"/>
        <v>+20%</v>
      </c>
      <c r="N1488" s="22" t="s">
        <v>59</v>
      </c>
      <c r="O1488" s="22" t="s">
        <v>51</v>
      </c>
      <c r="P1488" s="22" t="s">
        <v>51</v>
      </c>
      <c r="Q1488" s="22" t="s">
        <v>14</v>
      </c>
    </row>
    <row r="1489" spans="1:17" x14ac:dyDescent="0.3">
      <c r="A1489" s="27">
        <v>50</v>
      </c>
      <c r="B1489" s="24">
        <v>96.92</v>
      </c>
      <c r="C1489" s="25">
        <f>Sales!$B1489*Sales!$A1489</f>
        <v>4846</v>
      </c>
      <c r="D1489" s="26">
        <v>38357</v>
      </c>
      <c r="E1489" s="27" t="s">
        <v>9</v>
      </c>
      <c r="F1489" s="27">
        <v>1</v>
      </c>
      <c r="G1489" s="27">
        <v>1</v>
      </c>
      <c r="H1489" s="27">
        <v>2005</v>
      </c>
      <c r="I1489" s="27" t="s">
        <v>10</v>
      </c>
      <c r="J1489" s="25">
        <v>112</v>
      </c>
      <c r="K1489" s="25">
        <f>Sales!$B1489-Sales!$J1489</f>
        <v>-15.079999999999998</v>
      </c>
      <c r="L1489" s="28">
        <f>(Sales!$J1489-Sales!$B1489)/Sales!$J1489</f>
        <v>0.13464285714285712</v>
      </c>
      <c r="M1489" s="28" t="str">
        <f t="shared" si="23"/>
        <v>10%-15%</v>
      </c>
      <c r="N1489" s="27" t="s">
        <v>22</v>
      </c>
      <c r="O1489" s="27" t="s">
        <v>12</v>
      </c>
      <c r="P1489" s="27" t="s">
        <v>13</v>
      </c>
      <c r="Q1489" s="27" t="s">
        <v>19</v>
      </c>
    </row>
    <row r="1490" spans="1:17" x14ac:dyDescent="0.3">
      <c r="A1490" s="22">
        <v>38</v>
      </c>
      <c r="B1490" s="19">
        <v>100</v>
      </c>
      <c r="C1490" s="20">
        <f>Sales!$B1490*Sales!$A1490</f>
        <v>3800</v>
      </c>
      <c r="D1490" s="21">
        <v>38385</v>
      </c>
      <c r="E1490" s="22" t="s">
        <v>9</v>
      </c>
      <c r="F1490" s="22">
        <v>1</v>
      </c>
      <c r="G1490" s="22">
        <v>2</v>
      </c>
      <c r="H1490" s="22">
        <v>2005</v>
      </c>
      <c r="I1490" s="22" t="s">
        <v>10</v>
      </c>
      <c r="J1490" s="20">
        <v>112</v>
      </c>
      <c r="K1490" s="20">
        <f>Sales!$B1490-Sales!$J1490</f>
        <v>-12</v>
      </c>
      <c r="L1490" s="23">
        <f>(Sales!$J1490-Sales!$B1490)/Sales!$J1490</f>
        <v>0.10714285714285714</v>
      </c>
      <c r="M1490" s="23" t="str">
        <f t="shared" si="23"/>
        <v>10%-15%</v>
      </c>
      <c r="N1490" s="22" t="s">
        <v>52</v>
      </c>
      <c r="O1490" s="22" t="s">
        <v>27</v>
      </c>
      <c r="P1490" s="22" t="s">
        <v>28</v>
      </c>
      <c r="Q1490" s="22" t="s">
        <v>19</v>
      </c>
    </row>
    <row r="1491" spans="1:17" x14ac:dyDescent="0.3">
      <c r="A1491" s="27">
        <v>45</v>
      </c>
      <c r="B1491" s="24">
        <v>100</v>
      </c>
      <c r="C1491" s="25">
        <f>Sales!$B1491*Sales!$A1491</f>
        <v>4500</v>
      </c>
      <c r="D1491" s="26">
        <v>38414</v>
      </c>
      <c r="E1491" s="27" t="s">
        <v>9</v>
      </c>
      <c r="F1491" s="27">
        <v>1</v>
      </c>
      <c r="G1491" s="27">
        <v>3</v>
      </c>
      <c r="H1491" s="27">
        <v>2005</v>
      </c>
      <c r="I1491" s="27" t="s">
        <v>10</v>
      </c>
      <c r="J1491" s="25">
        <v>112</v>
      </c>
      <c r="K1491" s="25">
        <f>Sales!$B1491-Sales!$J1491</f>
        <v>-12</v>
      </c>
      <c r="L1491" s="28">
        <f>(Sales!$J1491-Sales!$B1491)/Sales!$J1491</f>
        <v>0.10714285714285714</v>
      </c>
      <c r="M1491" s="28" t="str">
        <f t="shared" si="23"/>
        <v>10%-15%</v>
      </c>
      <c r="N1491" s="27" t="s">
        <v>62</v>
      </c>
      <c r="O1491" s="27" t="s">
        <v>49</v>
      </c>
      <c r="P1491" s="27" t="s">
        <v>17</v>
      </c>
      <c r="Q1491" s="27" t="s">
        <v>19</v>
      </c>
    </row>
    <row r="1492" spans="1:17" x14ac:dyDescent="0.3">
      <c r="A1492" s="22">
        <v>46</v>
      </c>
      <c r="B1492" s="19">
        <v>100</v>
      </c>
      <c r="C1492" s="20">
        <f>Sales!$B1492*Sales!$A1492</f>
        <v>4600</v>
      </c>
      <c r="D1492" s="21">
        <v>38450</v>
      </c>
      <c r="E1492" s="22" t="s">
        <v>9</v>
      </c>
      <c r="F1492" s="22">
        <v>2</v>
      </c>
      <c r="G1492" s="22">
        <v>4</v>
      </c>
      <c r="H1492" s="22">
        <v>2005</v>
      </c>
      <c r="I1492" s="22" t="s">
        <v>10</v>
      </c>
      <c r="J1492" s="20">
        <v>112</v>
      </c>
      <c r="K1492" s="20">
        <f>Sales!$B1492-Sales!$J1492</f>
        <v>-12</v>
      </c>
      <c r="L1492" s="23">
        <f>(Sales!$J1492-Sales!$B1492)/Sales!$J1492</f>
        <v>0.10714285714285714</v>
      </c>
      <c r="M1492" s="23" t="str">
        <f t="shared" si="23"/>
        <v>10%-15%</v>
      </c>
      <c r="N1492" s="22" t="s">
        <v>42</v>
      </c>
      <c r="O1492" s="22" t="s">
        <v>43</v>
      </c>
      <c r="P1492" s="22" t="s">
        <v>17</v>
      </c>
      <c r="Q1492" s="22" t="s">
        <v>19</v>
      </c>
    </row>
    <row r="1493" spans="1:17" x14ac:dyDescent="0.3">
      <c r="A1493" s="27">
        <v>35</v>
      </c>
      <c r="B1493" s="24">
        <v>100</v>
      </c>
      <c r="C1493" s="25">
        <f>Sales!$B1493*Sales!$A1493</f>
        <v>3500</v>
      </c>
      <c r="D1493" s="26">
        <v>38485</v>
      </c>
      <c r="E1493" s="27" t="s">
        <v>44</v>
      </c>
      <c r="F1493" s="27">
        <v>2</v>
      </c>
      <c r="G1493" s="27">
        <v>5</v>
      </c>
      <c r="H1493" s="27">
        <v>2005</v>
      </c>
      <c r="I1493" s="27" t="s">
        <v>10</v>
      </c>
      <c r="J1493" s="25">
        <v>112</v>
      </c>
      <c r="K1493" s="25">
        <f>Sales!$B1493-Sales!$J1493</f>
        <v>-12</v>
      </c>
      <c r="L1493" s="28">
        <f>(Sales!$J1493-Sales!$B1493)/Sales!$J1493</f>
        <v>0.10714285714285714</v>
      </c>
      <c r="M1493" s="28" t="str">
        <f t="shared" si="23"/>
        <v>10%-15%</v>
      </c>
      <c r="N1493" s="27" t="s">
        <v>45</v>
      </c>
      <c r="O1493" s="27" t="s">
        <v>46</v>
      </c>
      <c r="P1493" s="27" t="s">
        <v>17</v>
      </c>
      <c r="Q1493" s="27" t="s">
        <v>19</v>
      </c>
    </row>
    <row r="1494" spans="1:17" x14ac:dyDescent="0.3">
      <c r="A1494" s="22">
        <v>29</v>
      </c>
      <c r="B1494" s="19">
        <v>59.37</v>
      </c>
      <c r="C1494" s="20">
        <f>Sales!$B1494*Sales!$A1494</f>
        <v>1721.73</v>
      </c>
      <c r="D1494" s="21">
        <v>37698</v>
      </c>
      <c r="E1494" s="22" t="s">
        <v>9</v>
      </c>
      <c r="F1494" s="22">
        <v>1</v>
      </c>
      <c r="G1494" s="22">
        <v>3</v>
      </c>
      <c r="H1494" s="22">
        <v>2003</v>
      </c>
      <c r="I1494" s="22" t="s">
        <v>47</v>
      </c>
      <c r="J1494" s="20">
        <v>50</v>
      </c>
      <c r="K1494" s="20">
        <f>Sales!$B1494-Sales!$J1494</f>
        <v>9.3699999999999974</v>
      </c>
      <c r="L1494" s="23">
        <f>(Sales!$J1494-Sales!$B1494)/Sales!$J1494</f>
        <v>-0.18739999999999996</v>
      </c>
      <c r="M1494" s="23" t="str">
        <f t="shared" si="23"/>
        <v>Below 0%</v>
      </c>
      <c r="N1494" s="22" t="s">
        <v>102</v>
      </c>
      <c r="O1494" s="22" t="s">
        <v>43</v>
      </c>
      <c r="P1494" s="22" t="s">
        <v>17</v>
      </c>
      <c r="Q1494" s="22" t="s">
        <v>14</v>
      </c>
    </row>
    <row r="1495" spans="1:17" x14ac:dyDescent="0.3">
      <c r="A1495" s="27">
        <v>50</v>
      </c>
      <c r="B1495" s="24">
        <v>59.87</v>
      </c>
      <c r="C1495" s="25">
        <f>Sales!$B1495*Sales!$A1495</f>
        <v>2993.5</v>
      </c>
      <c r="D1495" s="26">
        <v>37761</v>
      </c>
      <c r="E1495" s="27" t="s">
        <v>9</v>
      </c>
      <c r="F1495" s="27">
        <v>2</v>
      </c>
      <c r="G1495" s="27">
        <v>5</v>
      </c>
      <c r="H1495" s="27">
        <v>2003</v>
      </c>
      <c r="I1495" s="27" t="s">
        <v>47</v>
      </c>
      <c r="J1495" s="25">
        <v>50</v>
      </c>
      <c r="K1495" s="25">
        <f>Sales!$B1495-Sales!$J1495</f>
        <v>9.8699999999999974</v>
      </c>
      <c r="L1495" s="28">
        <f>(Sales!$J1495-Sales!$B1495)/Sales!$J1495</f>
        <v>-0.19739999999999994</v>
      </c>
      <c r="M1495" s="28" t="str">
        <f t="shared" si="23"/>
        <v>Below 0%</v>
      </c>
      <c r="N1495" s="27" t="s">
        <v>31</v>
      </c>
      <c r="O1495" s="27" t="s">
        <v>16</v>
      </c>
      <c r="P1495" s="27" t="s">
        <v>17</v>
      </c>
      <c r="Q1495" s="27" t="s">
        <v>14</v>
      </c>
    </row>
    <row r="1496" spans="1:17" x14ac:dyDescent="0.3">
      <c r="A1496" s="22">
        <v>26</v>
      </c>
      <c r="B1496" s="19">
        <v>49.81</v>
      </c>
      <c r="C1496" s="20">
        <f>Sales!$B1496*Sales!$A1496</f>
        <v>1295.06</v>
      </c>
      <c r="D1496" s="21">
        <v>37812</v>
      </c>
      <c r="E1496" s="22" t="s">
        <v>9</v>
      </c>
      <c r="F1496" s="22">
        <v>3</v>
      </c>
      <c r="G1496" s="22">
        <v>7</v>
      </c>
      <c r="H1496" s="22">
        <v>2003</v>
      </c>
      <c r="I1496" s="22" t="s">
        <v>47</v>
      </c>
      <c r="J1496" s="20">
        <v>50</v>
      </c>
      <c r="K1496" s="20">
        <f>Sales!$B1496-Sales!$J1496</f>
        <v>-0.18999999999999773</v>
      </c>
      <c r="L1496" s="23">
        <f>(Sales!$J1496-Sales!$B1496)/Sales!$J1496</f>
        <v>3.7999999999999545E-3</v>
      </c>
      <c r="M1496" s="23" t="s">
        <v>130</v>
      </c>
      <c r="N1496" s="22" t="s">
        <v>15</v>
      </c>
      <c r="O1496" s="22" t="s">
        <v>16</v>
      </c>
      <c r="P1496" s="22" t="s">
        <v>17</v>
      </c>
      <c r="Q1496" s="22" t="s">
        <v>14</v>
      </c>
    </row>
    <row r="1497" spans="1:17" x14ac:dyDescent="0.3">
      <c r="A1497" s="27">
        <v>47</v>
      </c>
      <c r="B1497" s="24">
        <v>56.85</v>
      </c>
      <c r="C1497" s="25">
        <f>Sales!$B1497*Sales!$A1497</f>
        <v>2671.9500000000003</v>
      </c>
      <c r="D1497" s="26">
        <v>37875</v>
      </c>
      <c r="E1497" s="27" t="s">
        <v>9</v>
      </c>
      <c r="F1497" s="27">
        <v>3</v>
      </c>
      <c r="G1497" s="27">
        <v>9</v>
      </c>
      <c r="H1497" s="27">
        <v>2003</v>
      </c>
      <c r="I1497" s="27" t="s">
        <v>47</v>
      </c>
      <c r="J1497" s="25">
        <v>50</v>
      </c>
      <c r="K1497" s="25">
        <f>Sales!$B1497-Sales!$J1497</f>
        <v>6.8500000000000014</v>
      </c>
      <c r="L1497" s="28">
        <f>(Sales!$J1497-Sales!$B1497)/Sales!$J1497</f>
        <v>-0.13700000000000004</v>
      </c>
      <c r="M1497" s="28" t="str">
        <f t="shared" si="23"/>
        <v>Below 0%</v>
      </c>
      <c r="N1497" s="27" t="s">
        <v>67</v>
      </c>
      <c r="O1497" s="27" t="s">
        <v>27</v>
      </c>
      <c r="P1497" s="27" t="s">
        <v>28</v>
      </c>
      <c r="Q1497" s="27" t="s">
        <v>14</v>
      </c>
    </row>
    <row r="1498" spans="1:17" x14ac:dyDescent="0.3">
      <c r="A1498" s="22">
        <v>23</v>
      </c>
      <c r="B1498" s="19">
        <v>53.33</v>
      </c>
      <c r="C1498" s="20">
        <f>Sales!$B1498*Sales!$A1498</f>
        <v>1226.5899999999999</v>
      </c>
      <c r="D1498" s="21">
        <v>37911</v>
      </c>
      <c r="E1498" s="22" t="s">
        <v>9</v>
      </c>
      <c r="F1498" s="22">
        <v>4</v>
      </c>
      <c r="G1498" s="22">
        <v>10</v>
      </c>
      <c r="H1498" s="22">
        <v>2003</v>
      </c>
      <c r="I1498" s="22" t="s">
        <v>47</v>
      </c>
      <c r="J1498" s="20">
        <v>50</v>
      </c>
      <c r="K1498" s="20">
        <f>Sales!$B1498-Sales!$J1498</f>
        <v>3.3299999999999983</v>
      </c>
      <c r="L1498" s="23">
        <f>(Sales!$J1498-Sales!$B1498)/Sales!$J1498</f>
        <v>-6.6599999999999965E-2</v>
      </c>
      <c r="M1498" s="23" t="str">
        <f t="shared" si="23"/>
        <v>Below 0%</v>
      </c>
      <c r="N1498" s="22" t="s">
        <v>103</v>
      </c>
      <c r="O1498" s="22" t="s">
        <v>73</v>
      </c>
      <c r="P1498" s="22" t="s">
        <v>17</v>
      </c>
      <c r="Q1498" s="22" t="s">
        <v>14</v>
      </c>
    </row>
    <row r="1499" spans="1:17" x14ac:dyDescent="0.3">
      <c r="A1499" s="27">
        <v>34</v>
      </c>
      <c r="B1499" s="24">
        <v>42.76</v>
      </c>
      <c r="C1499" s="25">
        <f>Sales!$B1499*Sales!$A1499</f>
        <v>1453.84</v>
      </c>
      <c r="D1499" s="26">
        <v>37930</v>
      </c>
      <c r="E1499" s="27" t="s">
        <v>9</v>
      </c>
      <c r="F1499" s="27">
        <v>4</v>
      </c>
      <c r="G1499" s="27">
        <v>11</v>
      </c>
      <c r="H1499" s="27">
        <v>2003</v>
      </c>
      <c r="I1499" s="27" t="s">
        <v>47</v>
      </c>
      <c r="J1499" s="25">
        <v>50</v>
      </c>
      <c r="K1499" s="25">
        <f>Sales!$B1499-Sales!$J1499</f>
        <v>-7.240000000000002</v>
      </c>
      <c r="L1499" s="28">
        <f>(Sales!$J1499-Sales!$B1499)/Sales!$J1499</f>
        <v>0.14480000000000004</v>
      </c>
      <c r="M1499" s="28" t="str">
        <f t="shared" si="23"/>
        <v>10%-15%</v>
      </c>
      <c r="N1499" s="27" t="s">
        <v>30</v>
      </c>
      <c r="O1499" s="27" t="s">
        <v>12</v>
      </c>
      <c r="P1499" s="27" t="s">
        <v>13</v>
      </c>
      <c r="Q1499" s="27" t="s">
        <v>14</v>
      </c>
    </row>
    <row r="1500" spans="1:17" x14ac:dyDescent="0.3">
      <c r="A1500" s="22">
        <v>34</v>
      </c>
      <c r="B1500" s="19">
        <v>53.83</v>
      </c>
      <c r="C1500" s="20">
        <f>Sales!$B1500*Sales!$A1500</f>
        <v>1830.22</v>
      </c>
      <c r="D1500" s="21">
        <v>37937</v>
      </c>
      <c r="E1500" s="22" t="s">
        <v>9</v>
      </c>
      <c r="F1500" s="22">
        <v>4</v>
      </c>
      <c r="G1500" s="22">
        <v>11</v>
      </c>
      <c r="H1500" s="22">
        <v>2003</v>
      </c>
      <c r="I1500" s="22" t="s">
        <v>47</v>
      </c>
      <c r="J1500" s="20">
        <v>50</v>
      </c>
      <c r="K1500" s="20">
        <f>Sales!$B1500-Sales!$J1500</f>
        <v>3.8299999999999983</v>
      </c>
      <c r="L1500" s="23">
        <f>(Sales!$J1500-Sales!$B1500)/Sales!$J1500</f>
        <v>-7.659999999999996E-2</v>
      </c>
      <c r="M1500" s="23" t="str">
        <f t="shared" si="23"/>
        <v>Below 0%</v>
      </c>
      <c r="N1500" s="22" t="s">
        <v>24</v>
      </c>
      <c r="O1500" s="22" t="s">
        <v>25</v>
      </c>
      <c r="P1500" s="22" t="s">
        <v>17</v>
      </c>
      <c r="Q1500" s="22" t="s">
        <v>14</v>
      </c>
    </row>
    <row r="1501" spans="1:17" x14ac:dyDescent="0.3">
      <c r="A1501" s="27">
        <v>47</v>
      </c>
      <c r="B1501" s="24">
        <v>53.83</v>
      </c>
      <c r="C1501" s="25">
        <f>Sales!$B1501*Sales!$A1501</f>
        <v>2530.0099999999998</v>
      </c>
      <c r="D1501" s="26">
        <v>37945</v>
      </c>
      <c r="E1501" s="27" t="s">
        <v>9</v>
      </c>
      <c r="F1501" s="27">
        <v>4</v>
      </c>
      <c r="G1501" s="27">
        <v>11</v>
      </c>
      <c r="H1501" s="27">
        <v>2003</v>
      </c>
      <c r="I1501" s="27" t="s">
        <v>47</v>
      </c>
      <c r="J1501" s="25">
        <v>50</v>
      </c>
      <c r="K1501" s="25">
        <f>Sales!$B1501-Sales!$J1501</f>
        <v>3.8299999999999983</v>
      </c>
      <c r="L1501" s="28">
        <f>(Sales!$J1501-Sales!$B1501)/Sales!$J1501</f>
        <v>-7.659999999999996E-2</v>
      </c>
      <c r="M1501" s="28" t="str">
        <f t="shared" si="23"/>
        <v>Below 0%</v>
      </c>
      <c r="N1501" s="27" t="s">
        <v>65</v>
      </c>
      <c r="O1501" s="27" t="s">
        <v>12</v>
      </c>
      <c r="P1501" s="27" t="s">
        <v>13</v>
      </c>
      <c r="Q1501" s="27" t="s">
        <v>14</v>
      </c>
    </row>
    <row r="1502" spans="1:17" x14ac:dyDescent="0.3">
      <c r="A1502" s="22">
        <v>45</v>
      </c>
      <c r="B1502" s="19">
        <v>49.81</v>
      </c>
      <c r="C1502" s="20">
        <f>Sales!$B1502*Sales!$A1502</f>
        <v>2241.4500000000003</v>
      </c>
      <c r="D1502" s="21">
        <v>37957</v>
      </c>
      <c r="E1502" s="22" t="s">
        <v>9</v>
      </c>
      <c r="F1502" s="22">
        <v>4</v>
      </c>
      <c r="G1502" s="22">
        <v>12</v>
      </c>
      <c r="H1502" s="22">
        <v>2003</v>
      </c>
      <c r="I1502" s="22" t="s">
        <v>47</v>
      </c>
      <c r="J1502" s="20">
        <v>50</v>
      </c>
      <c r="K1502" s="20">
        <f>Sales!$B1502-Sales!$J1502</f>
        <v>-0.18999999999999773</v>
      </c>
      <c r="L1502" s="23">
        <f>(Sales!$J1502-Sales!$B1502)/Sales!$J1502</f>
        <v>3.7999999999999545E-3</v>
      </c>
      <c r="M1502" s="23" t="s">
        <v>130</v>
      </c>
      <c r="N1502" s="22" t="s">
        <v>11</v>
      </c>
      <c r="O1502" s="22" t="s">
        <v>12</v>
      </c>
      <c r="P1502" s="22" t="s">
        <v>13</v>
      </c>
      <c r="Q1502" s="22" t="s">
        <v>14</v>
      </c>
    </row>
    <row r="1503" spans="1:17" x14ac:dyDescent="0.3">
      <c r="A1503" s="27">
        <v>45</v>
      </c>
      <c r="B1503" s="24">
        <v>53.33</v>
      </c>
      <c r="C1503" s="25">
        <f>Sales!$B1503*Sales!$A1503</f>
        <v>2399.85</v>
      </c>
      <c r="D1503" s="26">
        <v>38002</v>
      </c>
      <c r="E1503" s="27" t="s">
        <v>9</v>
      </c>
      <c r="F1503" s="27">
        <v>1</v>
      </c>
      <c r="G1503" s="27">
        <v>1</v>
      </c>
      <c r="H1503" s="27">
        <v>2004</v>
      </c>
      <c r="I1503" s="27" t="s">
        <v>47</v>
      </c>
      <c r="J1503" s="25">
        <v>50</v>
      </c>
      <c r="K1503" s="25">
        <f>Sales!$B1503-Sales!$J1503</f>
        <v>3.3299999999999983</v>
      </c>
      <c r="L1503" s="28">
        <f>(Sales!$J1503-Sales!$B1503)/Sales!$J1503</f>
        <v>-6.6599999999999965E-2</v>
      </c>
      <c r="M1503" s="28" t="str">
        <f t="shared" si="23"/>
        <v>Below 0%</v>
      </c>
      <c r="N1503" s="27" t="s">
        <v>45</v>
      </c>
      <c r="O1503" s="27" t="s">
        <v>46</v>
      </c>
      <c r="P1503" s="27" t="s">
        <v>17</v>
      </c>
      <c r="Q1503" s="27" t="s">
        <v>14</v>
      </c>
    </row>
    <row r="1504" spans="1:17" x14ac:dyDescent="0.3">
      <c r="A1504" s="22">
        <v>36</v>
      </c>
      <c r="B1504" s="19">
        <v>43.27</v>
      </c>
      <c r="C1504" s="20">
        <f>Sales!$B1504*Sales!$A1504</f>
        <v>1557.72</v>
      </c>
      <c r="D1504" s="21">
        <v>38043</v>
      </c>
      <c r="E1504" s="22" t="s">
        <v>9</v>
      </c>
      <c r="F1504" s="22">
        <v>1</v>
      </c>
      <c r="G1504" s="22">
        <v>2</v>
      </c>
      <c r="H1504" s="22">
        <v>2004</v>
      </c>
      <c r="I1504" s="22" t="s">
        <v>47</v>
      </c>
      <c r="J1504" s="20">
        <v>50</v>
      </c>
      <c r="K1504" s="20">
        <f>Sales!$B1504-Sales!$J1504</f>
        <v>-6.7299999999999969</v>
      </c>
      <c r="L1504" s="23">
        <f>(Sales!$J1504-Sales!$B1504)/Sales!$J1504</f>
        <v>0.13459999999999994</v>
      </c>
      <c r="M1504" s="23" t="str">
        <f t="shared" si="23"/>
        <v>10%-15%</v>
      </c>
      <c r="N1504" s="22" t="s">
        <v>79</v>
      </c>
      <c r="O1504" s="22" t="s">
        <v>12</v>
      </c>
      <c r="P1504" s="22" t="s">
        <v>13</v>
      </c>
      <c r="Q1504" s="22" t="s">
        <v>14</v>
      </c>
    </row>
    <row r="1505" spans="1:17" x14ac:dyDescent="0.3">
      <c r="A1505" s="27">
        <v>21</v>
      </c>
      <c r="B1505" s="24">
        <v>40.25</v>
      </c>
      <c r="C1505" s="25">
        <f>Sales!$B1505*Sales!$A1505</f>
        <v>845.25</v>
      </c>
      <c r="D1505" s="26">
        <v>38090</v>
      </c>
      <c r="E1505" s="27" t="s">
        <v>9</v>
      </c>
      <c r="F1505" s="27">
        <v>2</v>
      </c>
      <c r="G1505" s="27">
        <v>4</v>
      </c>
      <c r="H1505" s="27">
        <v>2004</v>
      </c>
      <c r="I1505" s="27" t="s">
        <v>47</v>
      </c>
      <c r="J1505" s="25">
        <v>50</v>
      </c>
      <c r="K1505" s="25">
        <f>Sales!$B1505-Sales!$J1505</f>
        <v>-9.75</v>
      </c>
      <c r="L1505" s="28">
        <f>(Sales!$J1505-Sales!$B1505)/Sales!$J1505</f>
        <v>0.19500000000000001</v>
      </c>
      <c r="M1505" s="28" t="str">
        <f t="shared" si="23"/>
        <v>15%-20%</v>
      </c>
      <c r="N1505" s="27" t="s">
        <v>108</v>
      </c>
      <c r="O1505" s="27" t="s">
        <v>16</v>
      </c>
      <c r="P1505" s="27" t="s">
        <v>17</v>
      </c>
      <c r="Q1505" s="27" t="s">
        <v>14</v>
      </c>
    </row>
    <row r="1506" spans="1:17" x14ac:dyDescent="0.3">
      <c r="A1506" s="22">
        <v>28</v>
      </c>
      <c r="B1506" s="19">
        <v>48.3</v>
      </c>
      <c r="C1506" s="20">
        <f>Sales!$B1506*Sales!$A1506</f>
        <v>1352.3999999999999</v>
      </c>
      <c r="D1506" s="21">
        <v>38174</v>
      </c>
      <c r="E1506" s="22" t="s">
        <v>9</v>
      </c>
      <c r="F1506" s="22">
        <v>3</v>
      </c>
      <c r="G1506" s="22">
        <v>7</v>
      </c>
      <c r="H1506" s="22">
        <v>2004</v>
      </c>
      <c r="I1506" s="22" t="s">
        <v>47</v>
      </c>
      <c r="J1506" s="20">
        <v>50</v>
      </c>
      <c r="K1506" s="20">
        <f>Sales!$B1506-Sales!$J1506</f>
        <v>-1.7000000000000028</v>
      </c>
      <c r="L1506" s="23">
        <f>(Sales!$J1506-Sales!$B1506)/Sales!$J1506</f>
        <v>3.4000000000000058E-2</v>
      </c>
      <c r="M1506" s="23" t="str">
        <f t="shared" si="23"/>
        <v>0%-5%</v>
      </c>
      <c r="N1506" s="22" t="s">
        <v>97</v>
      </c>
      <c r="O1506" s="22" t="s">
        <v>61</v>
      </c>
      <c r="P1506" s="22" t="s">
        <v>17</v>
      </c>
      <c r="Q1506" s="22" t="s">
        <v>14</v>
      </c>
    </row>
    <row r="1507" spans="1:17" x14ac:dyDescent="0.3">
      <c r="A1507" s="27">
        <v>35</v>
      </c>
      <c r="B1507" s="24">
        <v>45.28</v>
      </c>
      <c r="C1507" s="25">
        <f>Sales!$B1507*Sales!$A1507</f>
        <v>1584.8</v>
      </c>
      <c r="D1507" s="26">
        <v>38205</v>
      </c>
      <c r="E1507" s="27" t="s">
        <v>9</v>
      </c>
      <c r="F1507" s="27">
        <v>3</v>
      </c>
      <c r="G1507" s="27">
        <v>8</v>
      </c>
      <c r="H1507" s="27">
        <v>2004</v>
      </c>
      <c r="I1507" s="27" t="s">
        <v>47</v>
      </c>
      <c r="J1507" s="25">
        <v>50</v>
      </c>
      <c r="K1507" s="25">
        <f>Sales!$B1507-Sales!$J1507</f>
        <v>-4.7199999999999989</v>
      </c>
      <c r="L1507" s="28">
        <f>(Sales!$J1507-Sales!$B1507)/Sales!$J1507</f>
        <v>9.4399999999999984E-2</v>
      </c>
      <c r="M1507" s="28" t="str">
        <f t="shared" si="23"/>
        <v>5%-10%</v>
      </c>
      <c r="N1507" s="27" t="s">
        <v>109</v>
      </c>
      <c r="O1507" s="27" t="s">
        <v>12</v>
      </c>
      <c r="P1507" s="27" t="s">
        <v>13</v>
      </c>
      <c r="Q1507" s="27" t="s">
        <v>14</v>
      </c>
    </row>
    <row r="1508" spans="1:17" x14ac:dyDescent="0.3">
      <c r="A1508" s="22">
        <v>50</v>
      </c>
      <c r="B1508" s="19">
        <v>52.32</v>
      </c>
      <c r="C1508" s="20">
        <f>Sales!$B1508*Sales!$A1508</f>
        <v>2616</v>
      </c>
      <c r="D1508" s="21">
        <v>38231</v>
      </c>
      <c r="E1508" s="22" t="s">
        <v>9</v>
      </c>
      <c r="F1508" s="22">
        <v>3</v>
      </c>
      <c r="G1508" s="22">
        <v>9</v>
      </c>
      <c r="H1508" s="22">
        <v>2004</v>
      </c>
      <c r="I1508" s="22" t="s">
        <v>47</v>
      </c>
      <c r="J1508" s="20">
        <v>50</v>
      </c>
      <c r="K1508" s="20">
        <f>Sales!$B1508-Sales!$J1508</f>
        <v>2.3200000000000003</v>
      </c>
      <c r="L1508" s="23">
        <f>(Sales!$J1508-Sales!$B1508)/Sales!$J1508</f>
        <v>-4.6400000000000004E-2</v>
      </c>
      <c r="M1508" s="23" t="str">
        <f t="shared" si="23"/>
        <v>Below 0%</v>
      </c>
      <c r="N1508" s="22" t="s">
        <v>50</v>
      </c>
      <c r="O1508" s="22" t="s">
        <v>50</v>
      </c>
      <c r="P1508" s="22" t="s">
        <v>28</v>
      </c>
      <c r="Q1508" s="22" t="s">
        <v>14</v>
      </c>
    </row>
    <row r="1509" spans="1:17" x14ac:dyDescent="0.3">
      <c r="A1509" s="27">
        <v>22</v>
      </c>
      <c r="B1509" s="24">
        <v>51.32</v>
      </c>
      <c r="C1509" s="25">
        <f>Sales!$B1509*Sales!$A1509</f>
        <v>1129.04</v>
      </c>
      <c r="D1509" s="26">
        <v>37899</v>
      </c>
      <c r="E1509" s="27" t="s">
        <v>9</v>
      </c>
      <c r="F1509" s="27">
        <v>4</v>
      </c>
      <c r="G1509" s="27">
        <v>10</v>
      </c>
      <c r="H1509" s="27">
        <v>2003</v>
      </c>
      <c r="I1509" s="27" t="s">
        <v>47</v>
      </c>
      <c r="J1509" s="25">
        <v>50</v>
      </c>
      <c r="K1509" s="25">
        <f>Sales!$B1509-Sales!$J1509</f>
        <v>1.3200000000000003</v>
      </c>
      <c r="L1509" s="28">
        <f>(Sales!$J1509-Sales!$B1509)/Sales!$J1509</f>
        <v>-2.6400000000000007E-2</v>
      </c>
      <c r="M1509" s="28" t="str">
        <f t="shared" si="23"/>
        <v>Below 0%</v>
      </c>
      <c r="N1509" s="27" t="s">
        <v>110</v>
      </c>
      <c r="O1509" s="27" t="s">
        <v>25</v>
      </c>
      <c r="P1509" s="27" t="s">
        <v>17</v>
      </c>
      <c r="Q1509" s="27" t="s">
        <v>14</v>
      </c>
    </row>
    <row r="1510" spans="1:17" x14ac:dyDescent="0.3">
      <c r="A1510" s="22">
        <v>45</v>
      </c>
      <c r="B1510" s="19">
        <v>49.3</v>
      </c>
      <c r="C1510" s="20">
        <f>Sales!$B1510*Sales!$A1510</f>
        <v>2218.5</v>
      </c>
      <c r="D1510" s="21">
        <v>38276</v>
      </c>
      <c r="E1510" s="22" t="s">
        <v>9</v>
      </c>
      <c r="F1510" s="22">
        <v>4</v>
      </c>
      <c r="G1510" s="22">
        <v>10</v>
      </c>
      <c r="H1510" s="22">
        <v>2004</v>
      </c>
      <c r="I1510" s="22" t="s">
        <v>47</v>
      </c>
      <c r="J1510" s="20">
        <v>50</v>
      </c>
      <c r="K1510" s="20">
        <f>Sales!$B1510-Sales!$J1510</f>
        <v>-0.70000000000000284</v>
      </c>
      <c r="L1510" s="23">
        <f>(Sales!$J1510-Sales!$B1510)/Sales!$J1510</f>
        <v>1.4000000000000058E-2</v>
      </c>
      <c r="M1510" s="23" t="str">
        <f t="shared" si="23"/>
        <v>0%-5%</v>
      </c>
      <c r="N1510" s="22" t="s">
        <v>45</v>
      </c>
      <c r="O1510" s="22" t="s">
        <v>46</v>
      </c>
      <c r="P1510" s="22" t="s">
        <v>17</v>
      </c>
      <c r="Q1510" s="22" t="s">
        <v>14</v>
      </c>
    </row>
    <row r="1511" spans="1:17" x14ac:dyDescent="0.3">
      <c r="A1511" s="27">
        <v>48</v>
      </c>
      <c r="B1511" s="24">
        <v>42.26</v>
      </c>
      <c r="C1511" s="25">
        <f>Sales!$B1511*Sales!$A1511</f>
        <v>2028.48</v>
      </c>
      <c r="D1511" s="26">
        <v>38295</v>
      </c>
      <c r="E1511" s="27" t="s">
        <v>9</v>
      </c>
      <c r="F1511" s="27">
        <v>4</v>
      </c>
      <c r="G1511" s="27">
        <v>11</v>
      </c>
      <c r="H1511" s="27">
        <v>2004</v>
      </c>
      <c r="I1511" s="27" t="s">
        <v>47</v>
      </c>
      <c r="J1511" s="25">
        <v>50</v>
      </c>
      <c r="K1511" s="25">
        <f>Sales!$B1511-Sales!$J1511</f>
        <v>-7.740000000000002</v>
      </c>
      <c r="L1511" s="28">
        <f>(Sales!$J1511-Sales!$B1511)/Sales!$J1511</f>
        <v>0.15480000000000005</v>
      </c>
      <c r="M1511" s="28" t="s">
        <v>132</v>
      </c>
      <c r="N1511" s="27" t="s">
        <v>41</v>
      </c>
      <c r="O1511" s="27" t="s">
        <v>12</v>
      </c>
      <c r="P1511" s="27" t="s">
        <v>13</v>
      </c>
      <c r="Q1511" s="27" t="s">
        <v>14</v>
      </c>
    </row>
    <row r="1512" spans="1:17" x14ac:dyDescent="0.3">
      <c r="A1512" s="22">
        <v>20</v>
      </c>
      <c r="B1512" s="19">
        <v>87.96</v>
      </c>
      <c r="C1512" s="20">
        <f>Sales!$B1512*Sales!$A1512</f>
        <v>1759.1999999999998</v>
      </c>
      <c r="D1512" s="21">
        <v>38308</v>
      </c>
      <c r="E1512" s="22" t="s">
        <v>9</v>
      </c>
      <c r="F1512" s="22">
        <v>4</v>
      </c>
      <c r="G1512" s="22">
        <v>11</v>
      </c>
      <c r="H1512" s="22">
        <v>2004</v>
      </c>
      <c r="I1512" s="22" t="s">
        <v>47</v>
      </c>
      <c r="J1512" s="20">
        <v>50</v>
      </c>
      <c r="K1512" s="20">
        <f>Sales!$B1512-Sales!$J1512</f>
        <v>37.959999999999994</v>
      </c>
      <c r="L1512" s="23">
        <f>(Sales!$J1512-Sales!$B1512)/Sales!$J1512</f>
        <v>-0.75919999999999987</v>
      </c>
      <c r="M1512" s="23" t="str">
        <f t="shared" si="23"/>
        <v>Below 0%</v>
      </c>
      <c r="N1512" s="22" t="s">
        <v>102</v>
      </c>
      <c r="O1512" s="22" t="s">
        <v>43</v>
      </c>
      <c r="P1512" s="22" t="s">
        <v>17</v>
      </c>
      <c r="Q1512" s="22" t="s">
        <v>14</v>
      </c>
    </row>
    <row r="1513" spans="1:17" x14ac:dyDescent="0.3">
      <c r="A1513" s="27">
        <v>27</v>
      </c>
      <c r="B1513" s="24">
        <v>36.21</v>
      </c>
      <c r="C1513" s="25">
        <f>Sales!$B1513*Sales!$A1513</f>
        <v>977.67000000000007</v>
      </c>
      <c r="D1513" s="26">
        <v>38315</v>
      </c>
      <c r="E1513" s="27" t="s">
        <v>9</v>
      </c>
      <c r="F1513" s="27">
        <v>4</v>
      </c>
      <c r="G1513" s="27">
        <v>11</v>
      </c>
      <c r="H1513" s="27">
        <v>2004</v>
      </c>
      <c r="I1513" s="27" t="s">
        <v>47</v>
      </c>
      <c r="J1513" s="25">
        <v>50</v>
      </c>
      <c r="K1513" s="25">
        <f>Sales!$B1513-Sales!$J1513</f>
        <v>-13.79</v>
      </c>
      <c r="L1513" s="28">
        <f>(Sales!$J1513-Sales!$B1513)/Sales!$J1513</f>
        <v>0.27579999999999999</v>
      </c>
      <c r="M1513" s="28" t="str">
        <f t="shared" si="23"/>
        <v>+20%</v>
      </c>
      <c r="N1513" s="27" t="s">
        <v>15</v>
      </c>
      <c r="O1513" s="27" t="s">
        <v>16</v>
      </c>
      <c r="P1513" s="27" t="s">
        <v>17</v>
      </c>
      <c r="Q1513" s="27" t="s">
        <v>14</v>
      </c>
    </row>
    <row r="1514" spans="1:17" x14ac:dyDescent="0.3">
      <c r="A1514" s="22">
        <v>38</v>
      </c>
      <c r="B1514" s="19">
        <v>38.5</v>
      </c>
      <c r="C1514" s="20">
        <f>Sales!$B1514*Sales!$A1514</f>
        <v>1463</v>
      </c>
      <c r="D1514" s="21">
        <v>38364</v>
      </c>
      <c r="E1514" s="22" t="s">
        <v>88</v>
      </c>
      <c r="F1514" s="22">
        <v>1</v>
      </c>
      <c r="G1514" s="22">
        <v>1</v>
      </c>
      <c r="H1514" s="22">
        <v>2005</v>
      </c>
      <c r="I1514" s="22" t="s">
        <v>47</v>
      </c>
      <c r="J1514" s="20">
        <v>50</v>
      </c>
      <c r="K1514" s="20">
        <f>Sales!$B1514-Sales!$J1514</f>
        <v>-11.5</v>
      </c>
      <c r="L1514" s="23">
        <f>(Sales!$J1514-Sales!$B1514)/Sales!$J1514</f>
        <v>0.23</v>
      </c>
      <c r="M1514" s="23" t="str">
        <f t="shared" si="23"/>
        <v>+20%</v>
      </c>
      <c r="N1514" s="22" t="s">
        <v>20</v>
      </c>
      <c r="O1514" s="22" t="s">
        <v>12</v>
      </c>
      <c r="P1514" s="22" t="s">
        <v>13</v>
      </c>
      <c r="Q1514" s="22" t="s">
        <v>14</v>
      </c>
    </row>
    <row r="1515" spans="1:17" x14ac:dyDescent="0.3">
      <c r="A1515" s="27">
        <v>32</v>
      </c>
      <c r="B1515" s="24">
        <v>100</v>
      </c>
      <c r="C1515" s="25">
        <f>Sales!$B1515*Sales!$A1515</f>
        <v>3200</v>
      </c>
      <c r="D1515" s="26">
        <v>38393</v>
      </c>
      <c r="E1515" s="27" t="s">
        <v>9</v>
      </c>
      <c r="F1515" s="27">
        <v>1</v>
      </c>
      <c r="G1515" s="27">
        <v>2</v>
      </c>
      <c r="H1515" s="27">
        <v>2005</v>
      </c>
      <c r="I1515" s="27" t="s">
        <v>47</v>
      </c>
      <c r="J1515" s="25">
        <v>50</v>
      </c>
      <c r="K1515" s="25">
        <f>Sales!$B1515-Sales!$J1515</f>
        <v>50</v>
      </c>
      <c r="L1515" s="28">
        <f>(Sales!$J1515-Sales!$B1515)/Sales!$J1515</f>
        <v>-1</v>
      </c>
      <c r="M1515" s="28" t="str">
        <f t="shared" si="23"/>
        <v>Below 0%</v>
      </c>
      <c r="N1515" s="27" t="s">
        <v>45</v>
      </c>
      <c r="O1515" s="27" t="s">
        <v>46</v>
      </c>
      <c r="P1515" s="27" t="s">
        <v>17</v>
      </c>
      <c r="Q1515" s="27" t="s">
        <v>19</v>
      </c>
    </row>
    <row r="1516" spans="1:17" x14ac:dyDescent="0.3">
      <c r="A1516" s="22">
        <v>64</v>
      </c>
      <c r="B1516" s="19">
        <v>40.25</v>
      </c>
      <c r="C1516" s="20">
        <f>Sales!$B1516*Sales!$A1516</f>
        <v>2576</v>
      </c>
      <c r="D1516" s="21">
        <v>38464</v>
      </c>
      <c r="E1516" s="22" t="s">
        <v>87</v>
      </c>
      <c r="F1516" s="22">
        <v>2</v>
      </c>
      <c r="G1516" s="22">
        <v>4</v>
      </c>
      <c r="H1516" s="22">
        <v>2005</v>
      </c>
      <c r="I1516" s="22" t="s">
        <v>47</v>
      </c>
      <c r="J1516" s="20">
        <v>50</v>
      </c>
      <c r="K1516" s="20">
        <f>Sales!$B1516-Sales!$J1516</f>
        <v>-9.75</v>
      </c>
      <c r="L1516" s="23">
        <f>(Sales!$J1516-Sales!$B1516)/Sales!$J1516</f>
        <v>0.19500000000000001</v>
      </c>
      <c r="M1516" s="23" t="str">
        <f t="shared" si="23"/>
        <v>15%-20%</v>
      </c>
      <c r="N1516" s="22" t="s">
        <v>86</v>
      </c>
      <c r="O1516" s="22" t="s">
        <v>12</v>
      </c>
      <c r="P1516" s="22" t="s">
        <v>13</v>
      </c>
      <c r="Q1516" s="22" t="s">
        <v>14</v>
      </c>
    </row>
    <row r="1517" spans="1:17" x14ac:dyDescent="0.3">
      <c r="A1517" s="27">
        <v>37</v>
      </c>
      <c r="B1517" s="24">
        <v>60.37</v>
      </c>
      <c r="C1517" s="25">
        <f>Sales!$B1517*Sales!$A1517</f>
        <v>2233.69</v>
      </c>
      <c r="D1517" s="26">
        <v>38501</v>
      </c>
      <c r="E1517" s="27" t="s">
        <v>69</v>
      </c>
      <c r="F1517" s="27">
        <v>2</v>
      </c>
      <c r="G1517" s="27">
        <v>5</v>
      </c>
      <c r="H1517" s="27">
        <v>2005</v>
      </c>
      <c r="I1517" s="27" t="s">
        <v>47</v>
      </c>
      <c r="J1517" s="25">
        <v>50</v>
      </c>
      <c r="K1517" s="25">
        <f>Sales!$B1517-Sales!$J1517</f>
        <v>10.369999999999997</v>
      </c>
      <c r="L1517" s="28">
        <f>(Sales!$J1517-Sales!$B1517)/Sales!$J1517</f>
        <v>-0.20739999999999995</v>
      </c>
      <c r="M1517" s="28" t="str">
        <f t="shared" si="23"/>
        <v>Below 0%</v>
      </c>
      <c r="N1517" s="27" t="s">
        <v>40</v>
      </c>
      <c r="O1517" s="27" t="s">
        <v>27</v>
      </c>
      <c r="P1517" s="27" t="s">
        <v>28</v>
      </c>
      <c r="Q1517" s="27" t="s">
        <v>14</v>
      </c>
    </row>
    <row r="1518" spans="1:17" x14ac:dyDescent="0.3">
      <c r="A1518" s="22">
        <v>28</v>
      </c>
      <c r="B1518" s="19">
        <v>88.63</v>
      </c>
      <c r="C1518" s="20">
        <f>Sales!$B1518*Sales!$A1518</f>
        <v>2481.64</v>
      </c>
      <c r="D1518" s="21">
        <v>37669</v>
      </c>
      <c r="E1518" s="22" t="s">
        <v>9</v>
      </c>
      <c r="F1518" s="22">
        <v>1</v>
      </c>
      <c r="G1518" s="22">
        <v>2</v>
      </c>
      <c r="H1518" s="22">
        <v>2003</v>
      </c>
      <c r="I1518" s="22" t="s">
        <v>115</v>
      </c>
      <c r="J1518" s="20">
        <v>109</v>
      </c>
      <c r="K1518" s="20">
        <f>Sales!$B1518-Sales!$J1518</f>
        <v>-20.370000000000005</v>
      </c>
      <c r="L1518" s="23">
        <f>(Sales!$J1518-Sales!$B1518)/Sales!$J1518</f>
        <v>0.18688073394495416</v>
      </c>
      <c r="M1518" s="23" t="str">
        <f t="shared" si="23"/>
        <v>15%-20%</v>
      </c>
      <c r="N1518" s="22" t="s">
        <v>113</v>
      </c>
      <c r="O1518" s="22" t="s">
        <v>61</v>
      </c>
      <c r="P1518" s="22" t="s">
        <v>17</v>
      </c>
      <c r="Q1518" s="22" t="s">
        <v>14</v>
      </c>
    </row>
    <row r="1519" spans="1:17" x14ac:dyDescent="0.3">
      <c r="A1519" s="27">
        <v>39</v>
      </c>
      <c r="B1519" s="24">
        <v>100</v>
      </c>
      <c r="C1519" s="25">
        <f>Sales!$B1519*Sales!$A1519</f>
        <v>3900</v>
      </c>
      <c r="D1519" s="26">
        <v>37740</v>
      </c>
      <c r="E1519" s="27" t="s">
        <v>9</v>
      </c>
      <c r="F1519" s="27">
        <v>2</v>
      </c>
      <c r="G1519" s="27">
        <v>4</v>
      </c>
      <c r="H1519" s="27">
        <v>2003</v>
      </c>
      <c r="I1519" s="27" t="s">
        <v>115</v>
      </c>
      <c r="J1519" s="25">
        <v>109</v>
      </c>
      <c r="K1519" s="25">
        <f>Sales!$B1519-Sales!$J1519</f>
        <v>-9</v>
      </c>
      <c r="L1519" s="28">
        <f>(Sales!$J1519-Sales!$B1519)/Sales!$J1519</f>
        <v>8.2568807339449546E-2</v>
      </c>
      <c r="M1519" s="28" t="str">
        <f t="shared" si="23"/>
        <v>5%-10%</v>
      </c>
      <c r="N1519" s="27" t="s">
        <v>26</v>
      </c>
      <c r="O1519" s="27" t="s">
        <v>27</v>
      </c>
      <c r="P1519" s="27" t="s">
        <v>28</v>
      </c>
      <c r="Q1519" s="27" t="s">
        <v>19</v>
      </c>
    </row>
    <row r="1520" spans="1:17" x14ac:dyDescent="0.3">
      <c r="A1520" s="22">
        <v>41</v>
      </c>
      <c r="B1520" s="19">
        <v>94.1</v>
      </c>
      <c r="C1520" s="20">
        <f>Sales!$B1520*Sales!$A1520</f>
        <v>3858.1</v>
      </c>
      <c r="D1520" s="21">
        <v>37799</v>
      </c>
      <c r="E1520" s="22" t="s">
        <v>9</v>
      </c>
      <c r="F1520" s="22">
        <v>2</v>
      </c>
      <c r="G1520" s="22">
        <v>6</v>
      </c>
      <c r="H1520" s="22">
        <v>2003</v>
      </c>
      <c r="I1520" s="22" t="s">
        <v>115</v>
      </c>
      <c r="J1520" s="20">
        <v>109</v>
      </c>
      <c r="K1520" s="20">
        <f>Sales!$B1520-Sales!$J1520</f>
        <v>-14.900000000000006</v>
      </c>
      <c r="L1520" s="23">
        <f>(Sales!$J1520-Sales!$B1520)/Sales!$J1520</f>
        <v>0.13669724770642208</v>
      </c>
      <c r="M1520" s="23" t="str">
        <f t="shared" si="23"/>
        <v>10%-15%</v>
      </c>
      <c r="N1520" s="22" t="s">
        <v>45</v>
      </c>
      <c r="O1520" s="22" t="s">
        <v>46</v>
      </c>
      <c r="P1520" s="22" t="s">
        <v>17</v>
      </c>
      <c r="Q1520" s="22" t="s">
        <v>19</v>
      </c>
    </row>
    <row r="1521" spans="1:17" x14ac:dyDescent="0.3">
      <c r="A1521" s="27">
        <v>40</v>
      </c>
      <c r="B1521" s="24">
        <v>87.54</v>
      </c>
      <c r="C1521" s="25">
        <f>Sales!$B1521*Sales!$A1521</f>
        <v>3501.6000000000004</v>
      </c>
      <c r="D1521" s="26">
        <v>37858</v>
      </c>
      <c r="E1521" s="27" t="s">
        <v>9</v>
      </c>
      <c r="F1521" s="27">
        <v>3</v>
      </c>
      <c r="G1521" s="27">
        <v>8</v>
      </c>
      <c r="H1521" s="27">
        <v>2003</v>
      </c>
      <c r="I1521" s="27" t="s">
        <v>115</v>
      </c>
      <c r="J1521" s="25">
        <v>109</v>
      </c>
      <c r="K1521" s="25">
        <f>Sales!$B1521-Sales!$J1521</f>
        <v>-21.459999999999994</v>
      </c>
      <c r="L1521" s="28">
        <f>(Sales!$J1521-Sales!$B1521)/Sales!$J1521</f>
        <v>0.19688073394495406</v>
      </c>
      <c r="M1521" s="28" t="str">
        <f t="shared" si="23"/>
        <v>15%-20%</v>
      </c>
      <c r="N1521" s="27" t="s">
        <v>20</v>
      </c>
      <c r="O1521" s="27" t="s">
        <v>12</v>
      </c>
      <c r="P1521" s="27" t="s">
        <v>13</v>
      </c>
      <c r="Q1521" s="27" t="s">
        <v>19</v>
      </c>
    </row>
    <row r="1522" spans="1:17" x14ac:dyDescent="0.3">
      <c r="A1522" s="22">
        <v>49</v>
      </c>
      <c r="B1522" s="19">
        <v>100</v>
      </c>
      <c r="C1522" s="20">
        <f>Sales!$B1522*Sales!$A1522</f>
        <v>4900</v>
      </c>
      <c r="D1522" s="21">
        <v>37922</v>
      </c>
      <c r="E1522" s="22" t="s">
        <v>9</v>
      </c>
      <c r="F1522" s="22">
        <v>4</v>
      </c>
      <c r="G1522" s="22">
        <v>10</v>
      </c>
      <c r="H1522" s="22">
        <v>2003</v>
      </c>
      <c r="I1522" s="22" t="s">
        <v>115</v>
      </c>
      <c r="J1522" s="20">
        <v>109</v>
      </c>
      <c r="K1522" s="20">
        <f>Sales!$B1522-Sales!$J1522</f>
        <v>-9</v>
      </c>
      <c r="L1522" s="23">
        <f>(Sales!$J1522-Sales!$B1522)/Sales!$J1522</f>
        <v>8.2568807339449546E-2</v>
      </c>
      <c r="M1522" s="23" t="str">
        <f t="shared" si="23"/>
        <v>5%-10%</v>
      </c>
      <c r="N1522" s="22" t="s">
        <v>22</v>
      </c>
      <c r="O1522" s="22" t="s">
        <v>12</v>
      </c>
      <c r="P1522" s="22" t="s">
        <v>13</v>
      </c>
      <c r="Q1522" s="22" t="s">
        <v>19</v>
      </c>
    </row>
    <row r="1523" spans="1:17" x14ac:dyDescent="0.3">
      <c r="A1523" s="27">
        <v>27</v>
      </c>
      <c r="B1523" s="24">
        <v>98.48</v>
      </c>
      <c r="C1523" s="25">
        <f>Sales!$B1523*Sales!$A1523</f>
        <v>2658.96</v>
      </c>
      <c r="D1523" s="26">
        <v>37998</v>
      </c>
      <c r="E1523" s="27" t="s">
        <v>9</v>
      </c>
      <c r="F1523" s="27">
        <v>1</v>
      </c>
      <c r="G1523" s="27">
        <v>1</v>
      </c>
      <c r="H1523" s="27">
        <v>2004</v>
      </c>
      <c r="I1523" s="27" t="s">
        <v>115</v>
      </c>
      <c r="J1523" s="25">
        <v>109</v>
      </c>
      <c r="K1523" s="25">
        <f>Sales!$B1523-Sales!$J1523</f>
        <v>-10.519999999999996</v>
      </c>
      <c r="L1523" s="28">
        <f>(Sales!$J1523-Sales!$B1523)/Sales!$J1523</f>
        <v>9.6513761467889869E-2</v>
      </c>
      <c r="M1523" s="28" t="str">
        <f t="shared" si="23"/>
        <v>5%-10%</v>
      </c>
      <c r="N1523" s="27" t="s">
        <v>70</v>
      </c>
      <c r="O1523" s="27" t="s">
        <v>51</v>
      </c>
      <c r="P1523" s="27" t="s">
        <v>51</v>
      </c>
      <c r="Q1523" s="27" t="s">
        <v>14</v>
      </c>
    </row>
    <row r="1524" spans="1:17" x14ac:dyDescent="0.3">
      <c r="A1524" s="22">
        <v>34</v>
      </c>
      <c r="B1524" s="19">
        <v>100</v>
      </c>
      <c r="C1524" s="20">
        <f>Sales!$B1524*Sales!$A1524</f>
        <v>3400</v>
      </c>
      <c r="D1524" s="21">
        <v>38037</v>
      </c>
      <c r="E1524" s="22" t="s">
        <v>9</v>
      </c>
      <c r="F1524" s="22">
        <v>1</v>
      </c>
      <c r="G1524" s="22">
        <v>2</v>
      </c>
      <c r="H1524" s="22">
        <v>2004</v>
      </c>
      <c r="I1524" s="22" t="s">
        <v>115</v>
      </c>
      <c r="J1524" s="20">
        <v>109</v>
      </c>
      <c r="K1524" s="20">
        <f>Sales!$B1524-Sales!$J1524</f>
        <v>-9</v>
      </c>
      <c r="L1524" s="23">
        <f>(Sales!$J1524-Sales!$B1524)/Sales!$J1524</f>
        <v>8.2568807339449546E-2</v>
      </c>
      <c r="M1524" s="23" t="str">
        <f t="shared" si="23"/>
        <v>5%-10%</v>
      </c>
      <c r="N1524" s="22" t="s">
        <v>26</v>
      </c>
      <c r="O1524" s="22" t="s">
        <v>27</v>
      </c>
      <c r="P1524" s="22" t="s">
        <v>28</v>
      </c>
      <c r="Q1524" s="22" t="s">
        <v>19</v>
      </c>
    </row>
    <row r="1525" spans="1:17" x14ac:dyDescent="0.3">
      <c r="A1525" s="27">
        <v>23</v>
      </c>
      <c r="B1525" s="24">
        <v>96.29</v>
      </c>
      <c r="C1525" s="25">
        <f>Sales!$B1525*Sales!$A1525</f>
        <v>2214.67</v>
      </c>
      <c r="D1525" s="26">
        <v>38079</v>
      </c>
      <c r="E1525" s="27" t="s">
        <v>9</v>
      </c>
      <c r="F1525" s="27">
        <v>2</v>
      </c>
      <c r="G1525" s="27">
        <v>4</v>
      </c>
      <c r="H1525" s="27">
        <v>2004</v>
      </c>
      <c r="I1525" s="27" t="s">
        <v>115</v>
      </c>
      <c r="J1525" s="25">
        <v>109</v>
      </c>
      <c r="K1525" s="25">
        <f>Sales!$B1525-Sales!$J1525</f>
        <v>-12.709999999999994</v>
      </c>
      <c r="L1525" s="28">
        <f>(Sales!$J1525-Sales!$B1525)/Sales!$J1525</f>
        <v>0.11660550458715591</v>
      </c>
      <c r="M1525" s="28" t="str">
        <f t="shared" si="23"/>
        <v>10%-15%</v>
      </c>
      <c r="N1525" s="27" t="s">
        <v>82</v>
      </c>
      <c r="O1525" s="27" t="s">
        <v>56</v>
      </c>
      <c r="P1525" s="27" t="s">
        <v>13</v>
      </c>
      <c r="Q1525" s="27" t="s">
        <v>14</v>
      </c>
    </row>
    <row r="1526" spans="1:17" x14ac:dyDescent="0.3">
      <c r="A1526" s="22">
        <v>31</v>
      </c>
      <c r="B1526" s="19">
        <v>88.63</v>
      </c>
      <c r="C1526" s="20">
        <f>Sales!$B1526*Sales!$A1526</f>
        <v>2747.5299999999997</v>
      </c>
      <c r="D1526" s="21">
        <v>38118</v>
      </c>
      <c r="E1526" s="22" t="s">
        <v>9</v>
      </c>
      <c r="F1526" s="22">
        <v>2</v>
      </c>
      <c r="G1526" s="22">
        <v>5</v>
      </c>
      <c r="H1526" s="22">
        <v>2004</v>
      </c>
      <c r="I1526" s="22" t="s">
        <v>115</v>
      </c>
      <c r="J1526" s="20">
        <v>109</v>
      </c>
      <c r="K1526" s="20">
        <f>Sales!$B1526-Sales!$J1526</f>
        <v>-20.370000000000005</v>
      </c>
      <c r="L1526" s="23">
        <f>(Sales!$J1526-Sales!$B1526)/Sales!$J1526</f>
        <v>0.18688073394495416</v>
      </c>
      <c r="M1526" s="23" t="str">
        <f t="shared" si="23"/>
        <v>15%-20%</v>
      </c>
      <c r="N1526" s="22" t="s">
        <v>86</v>
      </c>
      <c r="O1526" s="22" t="s">
        <v>12</v>
      </c>
      <c r="P1526" s="22" t="s">
        <v>13</v>
      </c>
      <c r="Q1526" s="22" t="s">
        <v>14</v>
      </c>
    </row>
    <row r="1527" spans="1:17" x14ac:dyDescent="0.3">
      <c r="A1527" s="27">
        <v>34</v>
      </c>
      <c r="B1527" s="24">
        <v>97.38</v>
      </c>
      <c r="C1527" s="25">
        <f>Sales!$B1527*Sales!$A1527</f>
        <v>3310.92</v>
      </c>
      <c r="D1527" s="26">
        <v>38162</v>
      </c>
      <c r="E1527" s="27" t="s">
        <v>75</v>
      </c>
      <c r="F1527" s="27">
        <v>2</v>
      </c>
      <c r="G1527" s="27">
        <v>6</v>
      </c>
      <c r="H1527" s="27">
        <v>2004</v>
      </c>
      <c r="I1527" s="27" t="s">
        <v>115</v>
      </c>
      <c r="J1527" s="25">
        <v>109</v>
      </c>
      <c r="K1527" s="25">
        <f>Sales!$B1527-Sales!$J1527</f>
        <v>-11.620000000000005</v>
      </c>
      <c r="L1527" s="28">
        <f>(Sales!$J1527-Sales!$B1527)/Sales!$J1527</f>
        <v>0.10660550458715601</v>
      </c>
      <c r="M1527" s="28" t="str">
        <f t="shared" si="23"/>
        <v>10%-15%</v>
      </c>
      <c r="N1527" s="27" t="s">
        <v>45</v>
      </c>
      <c r="O1527" s="27" t="s">
        <v>46</v>
      </c>
      <c r="P1527" s="27" t="s">
        <v>17</v>
      </c>
      <c r="Q1527" s="27" t="s">
        <v>19</v>
      </c>
    </row>
    <row r="1528" spans="1:17" x14ac:dyDescent="0.3">
      <c r="A1528" s="22">
        <v>25</v>
      </c>
      <c r="B1528" s="19">
        <v>95.2</v>
      </c>
      <c r="C1528" s="20">
        <f>Sales!$B1528*Sales!$A1528</f>
        <v>2380</v>
      </c>
      <c r="D1528" s="21">
        <v>38191</v>
      </c>
      <c r="E1528" s="22" t="s">
        <v>9</v>
      </c>
      <c r="F1528" s="22">
        <v>3</v>
      </c>
      <c r="G1528" s="22">
        <v>7</v>
      </c>
      <c r="H1528" s="22">
        <v>2004</v>
      </c>
      <c r="I1528" s="22" t="s">
        <v>115</v>
      </c>
      <c r="J1528" s="20">
        <v>109</v>
      </c>
      <c r="K1528" s="20">
        <f>Sales!$B1528-Sales!$J1528</f>
        <v>-13.799999999999997</v>
      </c>
      <c r="L1528" s="23">
        <f>(Sales!$J1528-Sales!$B1528)/Sales!$J1528</f>
        <v>0.12660550458715594</v>
      </c>
      <c r="M1528" s="23" t="str">
        <f t="shared" si="23"/>
        <v>10%-15%</v>
      </c>
      <c r="N1528" s="22" t="s">
        <v>31</v>
      </c>
      <c r="O1528" s="22" t="s">
        <v>16</v>
      </c>
      <c r="P1528" s="22" t="s">
        <v>17</v>
      </c>
      <c r="Q1528" s="22" t="s">
        <v>14</v>
      </c>
    </row>
    <row r="1529" spans="1:17" x14ac:dyDescent="0.3">
      <c r="A1529" s="27">
        <v>22</v>
      </c>
      <c r="B1529" s="24">
        <v>100</v>
      </c>
      <c r="C1529" s="25">
        <f>Sales!$B1529*Sales!$A1529</f>
        <v>2200</v>
      </c>
      <c r="D1529" s="26">
        <v>38220</v>
      </c>
      <c r="E1529" s="27" t="s">
        <v>9</v>
      </c>
      <c r="F1529" s="27">
        <v>3</v>
      </c>
      <c r="G1529" s="27">
        <v>8</v>
      </c>
      <c r="H1529" s="27">
        <v>2004</v>
      </c>
      <c r="I1529" s="27" t="s">
        <v>115</v>
      </c>
      <c r="J1529" s="25">
        <v>109</v>
      </c>
      <c r="K1529" s="25">
        <f>Sales!$B1529-Sales!$J1529</f>
        <v>-9</v>
      </c>
      <c r="L1529" s="28">
        <f>(Sales!$J1529-Sales!$B1529)/Sales!$J1529</f>
        <v>8.2568807339449546E-2</v>
      </c>
      <c r="M1529" s="28" t="str">
        <f t="shared" si="23"/>
        <v>5%-10%</v>
      </c>
      <c r="N1529" s="27" t="s">
        <v>110</v>
      </c>
      <c r="O1529" s="27" t="s">
        <v>25</v>
      </c>
      <c r="P1529" s="27" t="s">
        <v>17</v>
      </c>
      <c r="Q1529" s="27" t="s">
        <v>14</v>
      </c>
    </row>
    <row r="1530" spans="1:17" x14ac:dyDescent="0.3">
      <c r="A1530" s="22">
        <v>32</v>
      </c>
      <c r="B1530" s="19">
        <v>100</v>
      </c>
      <c r="C1530" s="20">
        <f>Sales!$B1530*Sales!$A1530</f>
        <v>3200</v>
      </c>
      <c r="D1530" s="21">
        <v>38246</v>
      </c>
      <c r="E1530" s="22" t="s">
        <v>9</v>
      </c>
      <c r="F1530" s="22">
        <v>3</v>
      </c>
      <c r="G1530" s="22">
        <v>9</v>
      </c>
      <c r="H1530" s="22">
        <v>2004</v>
      </c>
      <c r="I1530" s="22" t="s">
        <v>115</v>
      </c>
      <c r="J1530" s="20">
        <v>109</v>
      </c>
      <c r="K1530" s="20">
        <f>Sales!$B1530-Sales!$J1530</f>
        <v>-9</v>
      </c>
      <c r="L1530" s="23">
        <f>(Sales!$J1530-Sales!$B1530)/Sales!$J1530</f>
        <v>8.2568807339449546E-2</v>
      </c>
      <c r="M1530" s="23" t="str">
        <f t="shared" si="23"/>
        <v>5%-10%</v>
      </c>
      <c r="N1530" s="22" t="s">
        <v>100</v>
      </c>
      <c r="O1530" s="22" t="s">
        <v>101</v>
      </c>
      <c r="P1530" s="22" t="s">
        <v>17</v>
      </c>
      <c r="Q1530" s="22" t="s">
        <v>19</v>
      </c>
    </row>
    <row r="1531" spans="1:17" x14ac:dyDescent="0.3">
      <c r="A1531" s="27">
        <v>31</v>
      </c>
      <c r="B1531" s="24">
        <v>100</v>
      </c>
      <c r="C1531" s="25">
        <f>Sales!$B1531*Sales!$A1531</f>
        <v>3100</v>
      </c>
      <c r="D1531" s="26">
        <v>38275</v>
      </c>
      <c r="E1531" s="27" t="s">
        <v>9</v>
      </c>
      <c r="F1531" s="27">
        <v>4</v>
      </c>
      <c r="G1531" s="27">
        <v>10</v>
      </c>
      <c r="H1531" s="27">
        <v>2004</v>
      </c>
      <c r="I1531" s="27" t="s">
        <v>115</v>
      </c>
      <c r="J1531" s="25">
        <v>109</v>
      </c>
      <c r="K1531" s="25">
        <f>Sales!$B1531-Sales!$J1531</f>
        <v>-9</v>
      </c>
      <c r="L1531" s="28">
        <f>(Sales!$J1531-Sales!$B1531)/Sales!$J1531</f>
        <v>8.2568807339449546E-2</v>
      </c>
      <c r="M1531" s="28" t="str">
        <f t="shared" si="23"/>
        <v>5%-10%</v>
      </c>
      <c r="N1531" s="27" t="s">
        <v>71</v>
      </c>
      <c r="O1531" s="27" t="s">
        <v>12</v>
      </c>
      <c r="P1531" s="27" t="s">
        <v>13</v>
      </c>
      <c r="Q1531" s="27" t="s">
        <v>19</v>
      </c>
    </row>
    <row r="1532" spans="1:17" x14ac:dyDescent="0.3">
      <c r="A1532" s="22">
        <v>25</v>
      </c>
      <c r="B1532" s="19">
        <v>100</v>
      </c>
      <c r="C1532" s="20">
        <f>Sales!$B1532*Sales!$A1532</f>
        <v>2500</v>
      </c>
      <c r="D1532" s="21">
        <v>38292</v>
      </c>
      <c r="E1532" s="22" t="s">
        <v>9</v>
      </c>
      <c r="F1532" s="22">
        <v>4</v>
      </c>
      <c r="G1532" s="22">
        <v>11</v>
      </c>
      <c r="H1532" s="22">
        <v>2004</v>
      </c>
      <c r="I1532" s="22" t="s">
        <v>115</v>
      </c>
      <c r="J1532" s="20">
        <v>109</v>
      </c>
      <c r="K1532" s="20">
        <f>Sales!$B1532-Sales!$J1532</f>
        <v>-9</v>
      </c>
      <c r="L1532" s="23">
        <f>(Sales!$J1532-Sales!$B1532)/Sales!$J1532</f>
        <v>8.2568807339449546E-2</v>
      </c>
      <c r="M1532" s="23" t="str">
        <f t="shared" si="23"/>
        <v>5%-10%</v>
      </c>
      <c r="N1532" s="22" t="s">
        <v>84</v>
      </c>
      <c r="O1532" s="22" t="s">
        <v>43</v>
      </c>
      <c r="P1532" s="22" t="s">
        <v>17</v>
      </c>
      <c r="Q1532" s="22" t="s">
        <v>14</v>
      </c>
    </row>
    <row r="1533" spans="1:17" x14ac:dyDescent="0.3">
      <c r="A1533" s="27">
        <v>47</v>
      </c>
      <c r="B1533" s="24">
        <v>87.54</v>
      </c>
      <c r="C1533" s="25">
        <f>Sales!$B1533*Sales!$A1533</f>
        <v>4114.38</v>
      </c>
      <c r="D1533" s="26">
        <v>38303</v>
      </c>
      <c r="E1533" s="27" t="s">
        <v>9</v>
      </c>
      <c r="F1533" s="27">
        <v>4</v>
      </c>
      <c r="G1533" s="27">
        <v>11</v>
      </c>
      <c r="H1533" s="27">
        <v>2004</v>
      </c>
      <c r="I1533" s="27" t="s">
        <v>115</v>
      </c>
      <c r="J1533" s="25">
        <v>109</v>
      </c>
      <c r="K1533" s="25">
        <f>Sales!$B1533-Sales!$J1533</f>
        <v>-21.459999999999994</v>
      </c>
      <c r="L1533" s="28">
        <f>(Sales!$J1533-Sales!$B1533)/Sales!$J1533</f>
        <v>0.19688073394495406</v>
      </c>
      <c r="M1533" s="28" t="str">
        <f t="shared" si="23"/>
        <v>15%-20%</v>
      </c>
      <c r="N1533" s="27" t="s">
        <v>113</v>
      </c>
      <c r="O1533" s="27" t="s">
        <v>61</v>
      </c>
      <c r="P1533" s="27" t="s">
        <v>17</v>
      </c>
      <c r="Q1533" s="27" t="s">
        <v>19</v>
      </c>
    </row>
    <row r="1534" spans="1:17" x14ac:dyDescent="0.3">
      <c r="A1534" s="22">
        <v>21</v>
      </c>
      <c r="B1534" s="19">
        <v>50.65</v>
      </c>
      <c r="C1534" s="20">
        <f>Sales!$B1534*Sales!$A1534</f>
        <v>1063.6499999999999</v>
      </c>
      <c r="D1534" s="21">
        <v>38314</v>
      </c>
      <c r="E1534" s="22" t="s">
        <v>9</v>
      </c>
      <c r="F1534" s="22">
        <v>4</v>
      </c>
      <c r="G1534" s="22">
        <v>11</v>
      </c>
      <c r="H1534" s="22">
        <v>2004</v>
      </c>
      <c r="I1534" s="22" t="s">
        <v>115</v>
      </c>
      <c r="J1534" s="20">
        <v>109</v>
      </c>
      <c r="K1534" s="20">
        <f>Sales!$B1534-Sales!$J1534</f>
        <v>-58.35</v>
      </c>
      <c r="L1534" s="23">
        <f>(Sales!$J1534-Sales!$B1534)/Sales!$J1534</f>
        <v>0.53532110091743124</v>
      </c>
      <c r="M1534" s="23" t="str">
        <f t="shared" si="23"/>
        <v>+20%</v>
      </c>
      <c r="N1534" s="22" t="s">
        <v>59</v>
      </c>
      <c r="O1534" s="22" t="s">
        <v>51</v>
      </c>
      <c r="P1534" s="22" t="s">
        <v>51</v>
      </c>
      <c r="Q1534" s="22" t="s">
        <v>14</v>
      </c>
    </row>
    <row r="1535" spans="1:17" x14ac:dyDescent="0.3">
      <c r="A1535" s="27">
        <v>28</v>
      </c>
      <c r="B1535" s="24">
        <v>71.73</v>
      </c>
      <c r="C1535" s="25">
        <f>Sales!$B1535*Sales!$A1535</f>
        <v>2008.44</v>
      </c>
      <c r="D1535" s="26">
        <v>38325</v>
      </c>
      <c r="E1535" s="27" t="s">
        <v>9</v>
      </c>
      <c r="F1535" s="27">
        <v>4</v>
      </c>
      <c r="G1535" s="27">
        <v>12</v>
      </c>
      <c r="H1535" s="27">
        <v>2004</v>
      </c>
      <c r="I1535" s="27" t="s">
        <v>115</v>
      </c>
      <c r="J1535" s="25">
        <v>109</v>
      </c>
      <c r="K1535" s="25">
        <f>Sales!$B1535-Sales!$J1535</f>
        <v>-37.269999999999996</v>
      </c>
      <c r="L1535" s="28">
        <f>(Sales!$J1535-Sales!$B1535)/Sales!$J1535</f>
        <v>0.34192660550458714</v>
      </c>
      <c r="M1535" s="28" t="str">
        <f t="shared" si="23"/>
        <v>+20%</v>
      </c>
      <c r="N1535" s="27" t="s">
        <v>105</v>
      </c>
      <c r="O1535" s="27" t="s">
        <v>12</v>
      </c>
      <c r="P1535" s="27" t="s">
        <v>13</v>
      </c>
      <c r="Q1535" s="27" t="s">
        <v>14</v>
      </c>
    </row>
    <row r="1536" spans="1:17" x14ac:dyDescent="0.3">
      <c r="A1536" s="22">
        <v>46</v>
      </c>
      <c r="B1536" s="19">
        <v>94.1</v>
      </c>
      <c r="C1536" s="20">
        <f>Sales!$B1536*Sales!$A1536</f>
        <v>4328.5999999999995</v>
      </c>
      <c r="D1536" s="21">
        <v>38385</v>
      </c>
      <c r="E1536" s="22" t="s">
        <v>9</v>
      </c>
      <c r="F1536" s="22">
        <v>1</v>
      </c>
      <c r="G1536" s="22">
        <v>2</v>
      </c>
      <c r="H1536" s="22">
        <v>2005</v>
      </c>
      <c r="I1536" s="22" t="s">
        <v>115</v>
      </c>
      <c r="J1536" s="20">
        <v>109</v>
      </c>
      <c r="K1536" s="20">
        <f>Sales!$B1536-Sales!$J1536</f>
        <v>-14.900000000000006</v>
      </c>
      <c r="L1536" s="23">
        <f>(Sales!$J1536-Sales!$B1536)/Sales!$J1536</f>
        <v>0.13669724770642208</v>
      </c>
      <c r="M1536" s="23" t="str">
        <f t="shared" si="23"/>
        <v>10%-15%</v>
      </c>
      <c r="N1536" s="22" t="s">
        <v>52</v>
      </c>
      <c r="O1536" s="22" t="s">
        <v>27</v>
      </c>
      <c r="P1536" s="22" t="s">
        <v>28</v>
      </c>
      <c r="Q1536" s="22" t="s">
        <v>19</v>
      </c>
    </row>
    <row r="1537" spans="1:17" x14ac:dyDescent="0.3">
      <c r="A1537" s="27">
        <v>33</v>
      </c>
      <c r="B1537" s="24">
        <v>41.71</v>
      </c>
      <c r="C1537" s="25">
        <f>Sales!$B1537*Sales!$A1537</f>
        <v>1376.43</v>
      </c>
      <c r="D1537" s="26">
        <v>38412</v>
      </c>
      <c r="E1537" s="27" t="s">
        <v>88</v>
      </c>
      <c r="F1537" s="27">
        <v>1</v>
      </c>
      <c r="G1537" s="27">
        <v>3</v>
      </c>
      <c r="H1537" s="27">
        <v>2005</v>
      </c>
      <c r="I1537" s="27" t="s">
        <v>115</v>
      </c>
      <c r="J1537" s="25">
        <v>109</v>
      </c>
      <c r="K1537" s="25">
        <f>Sales!$B1537-Sales!$J1537</f>
        <v>-67.289999999999992</v>
      </c>
      <c r="L1537" s="28">
        <f>(Sales!$J1537-Sales!$B1537)/Sales!$J1537</f>
        <v>0.61733944954128428</v>
      </c>
      <c r="M1537" s="28" t="str">
        <f t="shared" si="23"/>
        <v>+20%</v>
      </c>
      <c r="N1537" s="27" t="s">
        <v>45</v>
      </c>
      <c r="O1537" s="27" t="s">
        <v>46</v>
      </c>
      <c r="P1537" s="27" t="s">
        <v>17</v>
      </c>
      <c r="Q1537" s="27" t="s">
        <v>14</v>
      </c>
    </row>
    <row r="1538" spans="1:17" x14ac:dyDescent="0.3">
      <c r="A1538" s="22">
        <v>43</v>
      </c>
      <c r="B1538" s="19">
        <v>100</v>
      </c>
      <c r="C1538" s="20">
        <f>Sales!$B1538*Sales!$A1538</f>
        <v>4300</v>
      </c>
      <c r="D1538" s="21">
        <v>38441</v>
      </c>
      <c r="E1538" s="22" t="s">
        <v>9</v>
      </c>
      <c r="F1538" s="22">
        <v>1</v>
      </c>
      <c r="G1538" s="22">
        <v>3</v>
      </c>
      <c r="H1538" s="22">
        <v>2005</v>
      </c>
      <c r="I1538" s="22" t="s">
        <v>115</v>
      </c>
      <c r="J1538" s="20">
        <v>109</v>
      </c>
      <c r="K1538" s="20">
        <f>Sales!$B1538-Sales!$J1538</f>
        <v>-9</v>
      </c>
      <c r="L1538" s="23">
        <f>(Sales!$J1538-Sales!$B1538)/Sales!$J1538</f>
        <v>8.2568807339449546E-2</v>
      </c>
      <c r="M1538" s="23" t="str">
        <f t="shared" si="23"/>
        <v>5%-10%</v>
      </c>
      <c r="N1538" s="22" t="s">
        <v>15</v>
      </c>
      <c r="O1538" s="22" t="s">
        <v>16</v>
      </c>
      <c r="P1538" s="22" t="s">
        <v>17</v>
      </c>
      <c r="Q1538" s="22" t="s">
        <v>19</v>
      </c>
    </row>
    <row r="1539" spans="1:17" x14ac:dyDescent="0.3">
      <c r="A1539" s="27">
        <v>38</v>
      </c>
      <c r="B1539" s="24">
        <v>96.29</v>
      </c>
      <c r="C1539" s="25">
        <f>Sales!$B1539*Sales!$A1539</f>
        <v>3659.0200000000004</v>
      </c>
      <c r="D1539" s="26">
        <v>38445</v>
      </c>
      <c r="E1539" s="27" t="s">
        <v>87</v>
      </c>
      <c r="F1539" s="27">
        <v>2</v>
      </c>
      <c r="G1539" s="27">
        <v>4</v>
      </c>
      <c r="H1539" s="27">
        <v>2005</v>
      </c>
      <c r="I1539" s="27" t="s">
        <v>115</v>
      </c>
      <c r="J1539" s="25">
        <v>109</v>
      </c>
      <c r="K1539" s="25">
        <f>Sales!$B1539-Sales!$J1539</f>
        <v>-12.709999999999994</v>
      </c>
      <c r="L1539" s="28">
        <f>(Sales!$J1539-Sales!$B1539)/Sales!$J1539</f>
        <v>0.11660550458715591</v>
      </c>
      <c r="M1539" s="28" t="str">
        <f t="shared" ref="M1539:M1602" si="24">IF(L1539&lt;0%,"Below 0%",IF(L1539=0%,"0%",IF(AND(L1539&lt;=5%,L1539&gt;0%),"0%-5%",IF(AND(L1539&lt;=10%,L1539&gt;5%),"5%-10%",IF(AND(L1539&lt;=15%,L1539&gt;10%),"10%-15%",IF(AND(L1539&lt;=20%,L1539&gt;15%),"15%-20%","+20%"))))))</f>
        <v>10%-15%</v>
      </c>
      <c r="N1539" s="27" t="s">
        <v>29</v>
      </c>
      <c r="O1539" s="27" t="s">
        <v>12</v>
      </c>
      <c r="P1539" s="27" t="s">
        <v>13</v>
      </c>
      <c r="Q1539" s="27" t="s">
        <v>19</v>
      </c>
    </row>
    <row r="1540" spans="1:17" x14ac:dyDescent="0.3">
      <c r="A1540" s="22">
        <v>47</v>
      </c>
      <c r="B1540" s="19">
        <v>88.63</v>
      </c>
      <c r="C1540" s="20">
        <f>Sales!$B1540*Sales!$A1540</f>
        <v>4165.6099999999997</v>
      </c>
      <c r="D1540" s="21">
        <v>38482</v>
      </c>
      <c r="E1540" s="22" t="s">
        <v>9</v>
      </c>
      <c r="F1540" s="22">
        <v>2</v>
      </c>
      <c r="G1540" s="22">
        <v>5</v>
      </c>
      <c r="H1540" s="22">
        <v>2005</v>
      </c>
      <c r="I1540" s="22" t="s">
        <v>115</v>
      </c>
      <c r="J1540" s="20">
        <v>109</v>
      </c>
      <c r="K1540" s="20">
        <f>Sales!$B1540-Sales!$J1540</f>
        <v>-20.370000000000005</v>
      </c>
      <c r="L1540" s="23">
        <f>(Sales!$J1540-Sales!$B1540)/Sales!$J1540</f>
        <v>0.18688073394495416</v>
      </c>
      <c r="M1540" s="23" t="str">
        <f t="shared" si="24"/>
        <v>15%-20%</v>
      </c>
      <c r="N1540" s="22" t="s">
        <v>97</v>
      </c>
      <c r="O1540" s="22" t="s">
        <v>61</v>
      </c>
      <c r="P1540" s="22" t="s">
        <v>17</v>
      </c>
      <c r="Q1540" s="22" t="s">
        <v>19</v>
      </c>
    </row>
    <row r="1541" spans="1:17" x14ac:dyDescent="0.3">
      <c r="A1541" s="27">
        <v>45</v>
      </c>
      <c r="B1541" s="24">
        <v>31.2</v>
      </c>
      <c r="C1541" s="25">
        <f>Sales!$B1541*Sales!$A1541</f>
        <v>1404</v>
      </c>
      <c r="D1541" s="26">
        <v>37630</v>
      </c>
      <c r="E1541" s="27" t="s">
        <v>9</v>
      </c>
      <c r="F1541" s="27">
        <v>1</v>
      </c>
      <c r="G1541" s="27">
        <v>1</v>
      </c>
      <c r="H1541" s="27">
        <v>2003</v>
      </c>
      <c r="I1541" s="27" t="s">
        <v>112</v>
      </c>
      <c r="J1541" s="25">
        <v>33</v>
      </c>
      <c r="K1541" s="25">
        <f>Sales!$B1541-Sales!$J1541</f>
        <v>-1.8000000000000007</v>
      </c>
      <c r="L1541" s="28">
        <f>(Sales!$J1541-Sales!$B1541)/Sales!$J1541</f>
        <v>5.4545454545454564E-2</v>
      </c>
      <c r="M1541" s="28" t="s">
        <v>131</v>
      </c>
      <c r="N1541" s="27" t="s">
        <v>98</v>
      </c>
      <c r="O1541" s="27" t="s">
        <v>94</v>
      </c>
      <c r="P1541" s="27" t="s">
        <v>17</v>
      </c>
      <c r="Q1541" s="27" t="s">
        <v>14</v>
      </c>
    </row>
    <row r="1542" spans="1:17" x14ac:dyDescent="0.3">
      <c r="A1542" s="22">
        <v>20</v>
      </c>
      <c r="B1542" s="19">
        <v>35.51</v>
      </c>
      <c r="C1542" s="20">
        <f>Sales!$B1542*Sales!$A1542</f>
        <v>710.19999999999993</v>
      </c>
      <c r="D1542" s="21">
        <v>37698</v>
      </c>
      <c r="E1542" s="22" t="s">
        <v>9</v>
      </c>
      <c r="F1542" s="22">
        <v>1</v>
      </c>
      <c r="G1542" s="22">
        <v>3</v>
      </c>
      <c r="H1542" s="22">
        <v>2003</v>
      </c>
      <c r="I1542" s="22" t="s">
        <v>112</v>
      </c>
      <c r="J1542" s="20">
        <v>33</v>
      </c>
      <c r="K1542" s="20">
        <f>Sales!$B1542-Sales!$J1542</f>
        <v>2.509999999999998</v>
      </c>
      <c r="L1542" s="23">
        <f>(Sales!$J1542-Sales!$B1542)/Sales!$J1542</f>
        <v>-7.6060606060605995E-2</v>
      </c>
      <c r="M1542" s="23" t="str">
        <f t="shared" si="24"/>
        <v>Below 0%</v>
      </c>
      <c r="N1542" s="22" t="s">
        <v>102</v>
      </c>
      <c r="O1542" s="22" t="s">
        <v>43</v>
      </c>
      <c r="P1542" s="22" t="s">
        <v>17</v>
      </c>
      <c r="Q1542" s="22" t="s">
        <v>14</v>
      </c>
    </row>
    <row r="1543" spans="1:17" x14ac:dyDescent="0.3">
      <c r="A1543" s="27">
        <v>45</v>
      </c>
      <c r="B1543" s="24">
        <v>37.840000000000003</v>
      </c>
      <c r="C1543" s="25">
        <f>Sales!$B1543*Sales!$A1543</f>
        <v>1702.8000000000002</v>
      </c>
      <c r="D1543" s="26">
        <v>37762</v>
      </c>
      <c r="E1543" s="27" t="s">
        <v>9</v>
      </c>
      <c r="F1543" s="27">
        <v>2</v>
      </c>
      <c r="G1543" s="27">
        <v>5</v>
      </c>
      <c r="H1543" s="27">
        <v>2003</v>
      </c>
      <c r="I1543" s="27" t="s">
        <v>112</v>
      </c>
      <c r="J1543" s="25">
        <v>33</v>
      </c>
      <c r="K1543" s="25">
        <f>Sales!$B1543-Sales!$J1543</f>
        <v>4.8400000000000034</v>
      </c>
      <c r="L1543" s="28">
        <f>(Sales!$J1543-Sales!$B1543)/Sales!$J1543</f>
        <v>-0.14666666666666678</v>
      </c>
      <c r="M1543" s="28" t="str">
        <f t="shared" si="24"/>
        <v>Below 0%</v>
      </c>
      <c r="N1543" s="27" t="s">
        <v>109</v>
      </c>
      <c r="O1543" s="27" t="s">
        <v>12</v>
      </c>
      <c r="P1543" s="27" t="s">
        <v>13</v>
      </c>
      <c r="Q1543" s="27" t="s">
        <v>14</v>
      </c>
    </row>
    <row r="1544" spans="1:17" x14ac:dyDescent="0.3">
      <c r="A1544" s="22">
        <v>36</v>
      </c>
      <c r="B1544" s="19">
        <v>33.19</v>
      </c>
      <c r="C1544" s="20">
        <f>Sales!$B1544*Sales!$A1544</f>
        <v>1194.8399999999999</v>
      </c>
      <c r="D1544" s="21">
        <v>37876</v>
      </c>
      <c r="E1544" s="22" t="s">
        <v>9</v>
      </c>
      <c r="F1544" s="22">
        <v>3</v>
      </c>
      <c r="G1544" s="22">
        <v>9</v>
      </c>
      <c r="H1544" s="22">
        <v>2003</v>
      </c>
      <c r="I1544" s="22" t="s">
        <v>112</v>
      </c>
      <c r="J1544" s="20">
        <v>33</v>
      </c>
      <c r="K1544" s="20">
        <f>Sales!$B1544-Sales!$J1544</f>
        <v>0.18999999999999773</v>
      </c>
      <c r="L1544" s="23">
        <f>(Sales!$J1544-Sales!$B1544)/Sales!$J1544</f>
        <v>-5.7575757575756888E-3</v>
      </c>
      <c r="M1544" s="23" t="str">
        <f t="shared" si="24"/>
        <v>Below 0%</v>
      </c>
      <c r="N1544" s="22" t="s">
        <v>107</v>
      </c>
      <c r="O1544" s="22" t="s">
        <v>12</v>
      </c>
      <c r="P1544" s="22" t="s">
        <v>13</v>
      </c>
      <c r="Q1544" s="22" t="s">
        <v>14</v>
      </c>
    </row>
    <row r="1545" spans="1:17" x14ac:dyDescent="0.3">
      <c r="A1545" s="27">
        <v>37</v>
      </c>
      <c r="B1545" s="24">
        <v>27.22</v>
      </c>
      <c r="C1545" s="25">
        <f>Sales!$B1545*Sales!$A1545</f>
        <v>1007.14</v>
      </c>
      <c r="D1545" s="26">
        <v>37912</v>
      </c>
      <c r="E1545" s="27" t="s">
        <v>9</v>
      </c>
      <c r="F1545" s="27">
        <v>4</v>
      </c>
      <c r="G1545" s="27">
        <v>10</v>
      </c>
      <c r="H1545" s="27">
        <v>2003</v>
      </c>
      <c r="I1545" s="27" t="s">
        <v>112</v>
      </c>
      <c r="J1545" s="25">
        <v>33</v>
      </c>
      <c r="K1545" s="25">
        <f>Sales!$B1545-Sales!$J1545</f>
        <v>-5.7800000000000011</v>
      </c>
      <c r="L1545" s="28">
        <f>(Sales!$J1545-Sales!$B1545)/Sales!$J1545</f>
        <v>0.1751515151515152</v>
      </c>
      <c r="M1545" s="28" t="str">
        <f t="shared" si="24"/>
        <v>15%-20%</v>
      </c>
      <c r="N1545" s="27" t="s">
        <v>21</v>
      </c>
      <c r="O1545" s="27" t="s">
        <v>12</v>
      </c>
      <c r="P1545" s="27" t="s">
        <v>13</v>
      </c>
      <c r="Q1545" s="27" t="s">
        <v>14</v>
      </c>
    </row>
    <row r="1546" spans="1:17" x14ac:dyDescent="0.3">
      <c r="A1546" s="22">
        <v>31</v>
      </c>
      <c r="B1546" s="19">
        <v>31.53</v>
      </c>
      <c r="C1546" s="20">
        <f>Sales!$B1546*Sales!$A1546</f>
        <v>977.43000000000006</v>
      </c>
      <c r="D1546" s="21">
        <v>37930</v>
      </c>
      <c r="E1546" s="22" t="s">
        <v>9</v>
      </c>
      <c r="F1546" s="22">
        <v>4</v>
      </c>
      <c r="G1546" s="22">
        <v>11</v>
      </c>
      <c r="H1546" s="22">
        <v>2003</v>
      </c>
      <c r="I1546" s="22" t="s">
        <v>112</v>
      </c>
      <c r="J1546" s="20">
        <v>33</v>
      </c>
      <c r="K1546" s="20">
        <f>Sales!$B1546-Sales!$J1546</f>
        <v>-1.4699999999999989</v>
      </c>
      <c r="L1546" s="23">
        <f>(Sales!$J1546-Sales!$B1546)/Sales!$J1546</f>
        <v>4.4545454545454513E-2</v>
      </c>
      <c r="M1546" s="23" t="str">
        <f t="shared" si="24"/>
        <v>0%-5%</v>
      </c>
      <c r="N1546" s="22" t="s">
        <v>113</v>
      </c>
      <c r="O1546" s="22" t="s">
        <v>61</v>
      </c>
      <c r="P1546" s="22" t="s">
        <v>17</v>
      </c>
      <c r="Q1546" s="22" t="s">
        <v>14</v>
      </c>
    </row>
    <row r="1547" spans="1:17" x14ac:dyDescent="0.3">
      <c r="A1547" s="27">
        <v>39</v>
      </c>
      <c r="B1547" s="24">
        <v>36.840000000000003</v>
      </c>
      <c r="C1547" s="25">
        <f>Sales!$B1547*Sales!$A1547</f>
        <v>1436.7600000000002</v>
      </c>
      <c r="D1547" s="26">
        <v>37937</v>
      </c>
      <c r="E1547" s="27" t="s">
        <v>9</v>
      </c>
      <c r="F1547" s="27">
        <v>4</v>
      </c>
      <c r="G1547" s="27">
        <v>11</v>
      </c>
      <c r="H1547" s="27">
        <v>2003</v>
      </c>
      <c r="I1547" s="27" t="s">
        <v>112</v>
      </c>
      <c r="J1547" s="25">
        <v>33</v>
      </c>
      <c r="K1547" s="25">
        <f>Sales!$B1547-Sales!$J1547</f>
        <v>3.8400000000000034</v>
      </c>
      <c r="L1547" s="28">
        <f>(Sales!$J1547-Sales!$B1547)/Sales!$J1547</f>
        <v>-0.11636363636363646</v>
      </c>
      <c r="M1547" s="28" t="str">
        <f t="shared" si="24"/>
        <v>Below 0%</v>
      </c>
      <c r="N1547" s="27" t="s">
        <v>64</v>
      </c>
      <c r="O1547" s="27" t="s">
        <v>12</v>
      </c>
      <c r="P1547" s="27" t="s">
        <v>13</v>
      </c>
      <c r="Q1547" s="27" t="s">
        <v>14</v>
      </c>
    </row>
    <row r="1548" spans="1:17" x14ac:dyDescent="0.3">
      <c r="A1548" s="22">
        <v>26</v>
      </c>
      <c r="B1548" s="19">
        <v>29.21</v>
      </c>
      <c r="C1548" s="20">
        <f>Sales!$B1548*Sales!$A1548</f>
        <v>759.46</v>
      </c>
      <c r="D1548" s="21">
        <v>37946</v>
      </c>
      <c r="E1548" s="22" t="s">
        <v>9</v>
      </c>
      <c r="F1548" s="22">
        <v>4</v>
      </c>
      <c r="G1548" s="22">
        <v>11</v>
      </c>
      <c r="H1548" s="22">
        <v>2003</v>
      </c>
      <c r="I1548" s="22" t="s">
        <v>112</v>
      </c>
      <c r="J1548" s="20">
        <v>33</v>
      </c>
      <c r="K1548" s="20">
        <f>Sales!$B1548-Sales!$J1548</f>
        <v>-3.7899999999999991</v>
      </c>
      <c r="L1548" s="23">
        <f>(Sales!$J1548-Sales!$B1548)/Sales!$J1548</f>
        <v>0.11484848484848482</v>
      </c>
      <c r="M1548" s="23" t="str">
        <f t="shared" si="24"/>
        <v>10%-15%</v>
      </c>
      <c r="N1548" s="22" t="s">
        <v>114</v>
      </c>
      <c r="O1548" s="22" t="s">
        <v>27</v>
      </c>
      <c r="P1548" s="22" t="s">
        <v>28</v>
      </c>
      <c r="Q1548" s="22" t="s">
        <v>14</v>
      </c>
    </row>
    <row r="1549" spans="1:17" x14ac:dyDescent="0.3">
      <c r="A1549" s="27">
        <v>32</v>
      </c>
      <c r="B1549" s="24">
        <v>37.17</v>
      </c>
      <c r="C1549" s="25">
        <f>Sales!$B1549*Sales!$A1549</f>
        <v>1189.44</v>
      </c>
      <c r="D1549" s="26">
        <v>37958</v>
      </c>
      <c r="E1549" s="27" t="s">
        <v>9</v>
      </c>
      <c r="F1549" s="27">
        <v>4</v>
      </c>
      <c r="G1549" s="27">
        <v>12</v>
      </c>
      <c r="H1549" s="27">
        <v>2003</v>
      </c>
      <c r="I1549" s="27" t="s">
        <v>112</v>
      </c>
      <c r="J1549" s="25">
        <v>33</v>
      </c>
      <c r="K1549" s="25">
        <f>Sales!$B1549-Sales!$J1549</f>
        <v>4.1700000000000017</v>
      </c>
      <c r="L1549" s="28">
        <f>(Sales!$J1549-Sales!$B1549)/Sales!$J1549</f>
        <v>-0.12636363636363643</v>
      </c>
      <c r="M1549" s="28" t="str">
        <f t="shared" si="24"/>
        <v>Below 0%</v>
      </c>
      <c r="N1549" s="27" t="s">
        <v>45</v>
      </c>
      <c r="O1549" s="27" t="s">
        <v>46</v>
      </c>
      <c r="P1549" s="27" t="s">
        <v>17</v>
      </c>
      <c r="Q1549" s="27" t="s">
        <v>14</v>
      </c>
    </row>
    <row r="1550" spans="1:17" x14ac:dyDescent="0.3">
      <c r="A1550" s="22">
        <v>20</v>
      </c>
      <c r="B1550" s="19">
        <v>34.19</v>
      </c>
      <c r="C1550" s="20">
        <f>Sales!$B1550*Sales!$A1550</f>
        <v>683.8</v>
      </c>
      <c r="D1550" s="21">
        <v>38012</v>
      </c>
      <c r="E1550" s="22" t="s">
        <v>9</v>
      </c>
      <c r="F1550" s="22">
        <v>1</v>
      </c>
      <c r="G1550" s="22">
        <v>1</v>
      </c>
      <c r="H1550" s="22">
        <v>2004</v>
      </c>
      <c r="I1550" s="22" t="s">
        <v>112</v>
      </c>
      <c r="J1550" s="20">
        <v>33</v>
      </c>
      <c r="K1550" s="20">
        <f>Sales!$B1550-Sales!$J1550</f>
        <v>1.1899999999999977</v>
      </c>
      <c r="L1550" s="23">
        <f>(Sales!$J1550-Sales!$B1550)/Sales!$J1550</f>
        <v>-3.6060606060605994E-2</v>
      </c>
      <c r="M1550" s="23" t="str">
        <f t="shared" si="24"/>
        <v>Below 0%</v>
      </c>
      <c r="N1550" s="22" t="s">
        <v>45</v>
      </c>
      <c r="O1550" s="22" t="s">
        <v>46</v>
      </c>
      <c r="P1550" s="22" t="s">
        <v>17</v>
      </c>
      <c r="Q1550" s="22" t="s">
        <v>14</v>
      </c>
    </row>
    <row r="1551" spans="1:17" x14ac:dyDescent="0.3">
      <c r="A1551" s="27">
        <v>42</v>
      </c>
      <c r="B1551" s="24">
        <v>29.21</v>
      </c>
      <c r="C1551" s="25">
        <f>Sales!$B1551*Sales!$A1551</f>
        <v>1226.82</v>
      </c>
      <c r="D1551" s="26">
        <v>38048</v>
      </c>
      <c r="E1551" s="27" t="s">
        <v>9</v>
      </c>
      <c r="F1551" s="27">
        <v>1</v>
      </c>
      <c r="G1551" s="27">
        <v>3</v>
      </c>
      <c r="H1551" s="27">
        <v>2004</v>
      </c>
      <c r="I1551" s="27" t="s">
        <v>112</v>
      </c>
      <c r="J1551" s="25">
        <v>33</v>
      </c>
      <c r="K1551" s="25">
        <f>Sales!$B1551-Sales!$J1551</f>
        <v>-3.7899999999999991</v>
      </c>
      <c r="L1551" s="28">
        <f>(Sales!$J1551-Sales!$B1551)/Sales!$J1551</f>
        <v>0.11484848484848482</v>
      </c>
      <c r="M1551" s="28" t="str">
        <f t="shared" si="24"/>
        <v>10%-15%</v>
      </c>
      <c r="N1551" s="27" t="s">
        <v>54</v>
      </c>
      <c r="O1551" s="27" t="s">
        <v>16</v>
      </c>
      <c r="P1551" s="27" t="s">
        <v>17</v>
      </c>
      <c r="Q1551" s="27" t="s">
        <v>14</v>
      </c>
    </row>
    <row r="1552" spans="1:17" x14ac:dyDescent="0.3">
      <c r="A1552" s="22">
        <v>33</v>
      </c>
      <c r="B1552" s="19">
        <v>29.54</v>
      </c>
      <c r="C1552" s="20">
        <f>Sales!$B1552*Sales!$A1552</f>
        <v>974.81999999999994</v>
      </c>
      <c r="D1552" s="21">
        <v>38103</v>
      </c>
      <c r="E1552" s="22" t="s">
        <v>9</v>
      </c>
      <c r="F1552" s="22">
        <v>2</v>
      </c>
      <c r="G1552" s="22">
        <v>4</v>
      </c>
      <c r="H1552" s="22">
        <v>2004</v>
      </c>
      <c r="I1552" s="22" t="s">
        <v>112</v>
      </c>
      <c r="J1552" s="20">
        <v>33</v>
      </c>
      <c r="K1552" s="20">
        <f>Sales!$B1552-Sales!$J1552</f>
        <v>-3.4600000000000009</v>
      </c>
      <c r="L1552" s="23">
        <f>(Sales!$J1552-Sales!$B1552)/Sales!$J1552</f>
        <v>0.10484848484848487</v>
      </c>
      <c r="M1552" s="23" t="s">
        <v>134</v>
      </c>
      <c r="N1552" s="22" t="s">
        <v>83</v>
      </c>
      <c r="O1552" s="22" t="s">
        <v>12</v>
      </c>
      <c r="P1552" s="22" t="s">
        <v>13</v>
      </c>
      <c r="Q1552" s="22" t="s">
        <v>14</v>
      </c>
    </row>
    <row r="1553" spans="1:17" x14ac:dyDescent="0.3">
      <c r="A1553" s="27">
        <v>20</v>
      </c>
      <c r="B1553" s="24">
        <v>28.88</v>
      </c>
      <c r="C1553" s="25">
        <f>Sales!$B1553*Sales!$A1553</f>
        <v>577.6</v>
      </c>
      <c r="D1553" s="26">
        <v>38216</v>
      </c>
      <c r="E1553" s="27" t="s">
        <v>9</v>
      </c>
      <c r="F1553" s="27">
        <v>3</v>
      </c>
      <c r="G1553" s="27">
        <v>8</v>
      </c>
      <c r="H1553" s="27">
        <v>2004</v>
      </c>
      <c r="I1553" s="27" t="s">
        <v>112</v>
      </c>
      <c r="J1553" s="25">
        <v>33</v>
      </c>
      <c r="K1553" s="25">
        <f>Sales!$B1553-Sales!$J1553</f>
        <v>-4.120000000000001</v>
      </c>
      <c r="L1553" s="28">
        <f>(Sales!$J1553-Sales!$B1553)/Sales!$J1553</f>
        <v>0.12484848484848488</v>
      </c>
      <c r="M1553" s="28" t="str">
        <f t="shared" si="24"/>
        <v>10%-15%</v>
      </c>
      <c r="N1553" s="27" t="s">
        <v>60</v>
      </c>
      <c r="O1553" s="27" t="s">
        <v>61</v>
      </c>
      <c r="P1553" s="27" t="s">
        <v>17</v>
      </c>
      <c r="Q1553" s="27" t="s">
        <v>14</v>
      </c>
    </row>
    <row r="1554" spans="1:17" x14ac:dyDescent="0.3">
      <c r="A1554" s="22">
        <v>29</v>
      </c>
      <c r="B1554" s="19">
        <v>38.17</v>
      </c>
      <c r="C1554" s="20">
        <f>Sales!$B1554*Sales!$A1554</f>
        <v>1106.93</v>
      </c>
      <c r="D1554" s="21">
        <v>38231</v>
      </c>
      <c r="E1554" s="22" t="s">
        <v>9</v>
      </c>
      <c r="F1554" s="22">
        <v>3</v>
      </c>
      <c r="G1554" s="22">
        <v>9</v>
      </c>
      <c r="H1554" s="22">
        <v>2004</v>
      </c>
      <c r="I1554" s="22" t="s">
        <v>112</v>
      </c>
      <c r="J1554" s="20">
        <v>33</v>
      </c>
      <c r="K1554" s="20">
        <f>Sales!$B1554-Sales!$J1554</f>
        <v>5.1700000000000017</v>
      </c>
      <c r="L1554" s="23">
        <f>(Sales!$J1554-Sales!$B1554)/Sales!$J1554</f>
        <v>-0.15666666666666673</v>
      </c>
      <c r="M1554" s="23" t="str">
        <f t="shared" si="24"/>
        <v>Below 0%</v>
      </c>
      <c r="N1554" s="22" t="s">
        <v>50</v>
      </c>
      <c r="O1554" s="22" t="s">
        <v>50</v>
      </c>
      <c r="P1554" s="22" t="s">
        <v>28</v>
      </c>
      <c r="Q1554" s="22" t="s">
        <v>14</v>
      </c>
    </row>
    <row r="1555" spans="1:17" x14ac:dyDescent="0.3">
      <c r="A1555" s="27">
        <v>23</v>
      </c>
      <c r="B1555" s="24">
        <v>30.2</v>
      </c>
      <c r="C1555" s="25">
        <f>Sales!$B1555*Sales!$A1555</f>
        <v>694.6</v>
      </c>
      <c r="D1555" s="26">
        <v>38271</v>
      </c>
      <c r="E1555" s="27" t="s">
        <v>9</v>
      </c>
      <c r="F1555" s="27">
        <v>4</v>
      </c>
      <c r="G1555" s="27">
        <v>10</v>
      </c>
      <c r="H1555" s="27">
        <v>2004</v>
      </c>
      <c r="I1555" s="27" t="s">
        <v>112</v>
      </c>
      <c r="J1555" s="25">
        <v>33</v>
      </c>
      <c r="K1555" s="25">
        <f>Sales!$B1555-Sales!$J1555</f>
        <v>-2.8000000000000007</v>
      </c>
      <c r="L1555" s="28">
        <f>(Sales!$J1555-Sales!$B1555)/Sales!$J1555</f>
        <v>8.4848484848484867E-2</v>
      </c>
      <c r="M1555" s="28" t="str">
        <f t="shared" si="24"/>
        <v>5%-10%</v>
      </c>
      <c r="N1555" s="27" t="s">
        <v>63</v>
      </c>
      <c r="O1555" s="27" t="s">
        <v>16</v>
      </c>
      <c r="P1555" s="27" t="s">
        <v>17</v>
      </c>
      <c r="Q1555" s="27" t="s">
        <v>14</v>
      </c>
    </row>
    <row r="1556" spans="1:17" x14ac:dyDescent="0.3">
      <c r="A1556" s="22">
        <v>39</v>
      </c>
      <c r="B1556" s="19">
        <v>29.54</v>
      </c>
      <c r="C1556" s="20">
        <f>Sales!$B1556*Sales!$A1556</f>
        <v>1152.06</v>
      </c>
      <c r="D1556" s="21">
        <v>38281</v>
      </c>
      <c r="E1556" s="22" t="s">
        <v>9</v>
      </c>
      <c r="F1556" s="22">
        <v>4</v>
      </c>
      <c r="G1556" s="22">
        <v>10</v>
      </c>
      <c r="H1556" s="22">
        <v>2004</v>
      </c>
      <c r="I1556" s="22" t="s">
        <v>112</v>
      </c>
      <c r="J1556" s="20">
        <v>33</v>
      </c>
      <c r="K1556" s="20">
        <f>Sales!$B1556-Sales!$J1556</f>
        <v>-3.4600000000000009</v>
      </c>
      <c r="L1556" s="23">
        <f>(Sales!$J1556-Sales!$B1556)/Sales!$J1556</f>
        <v>0.10484848484848487</v>
      </c>
      <c r="M1556" s="23" t="s">
        <v>134</v>
      </c>
      <c r="N1556" s="22" t="s">
        <v>64</v>
      </c>
      <c r="O1556" s="22" t="s">
        <v>12</v>
      </c>
      <c r="P1556" s="22" t="s">
        <v>13</v>
      </c>
      <c r="Q1556" s="22" t="s">
        <v>14</v>
      </c>
    </row>
    <row r="1557" spans="1:17" x14ac:dyDescent="0.3">
      <c r="A1557" s="27">
        <v>20</v>
      </c>
      <c r="B1557" s="24">
        <v>100</v>
      </c>
      <c r="C1557" s="25">
        <f>Sales!$B1557*Sales!$A1557</f>
        <v>2000</v>
      </c>
      <c r="D1557" s="26">
        <v>38295</v>
      </c>
      <c r="E1557" s="27" t="s">
        <v>9</v>
      </c>
      <c r="F1557" s="27">
        <v>4</v>
      </c>
      <c r="G1557" s="27">
        <v>11</v>
      </c>
      <c r="H1557" s="27">
        <v>2004</v>
      </c>
      <c r="I1557" s="27" t="s">
        <v>112</v>
      </c>
      <c r="J1557" s="25">
        <v>33</v>
      </c>
      <c r="K1557" s="25">
        <f>Sales!$B1557-Sales!$J1557</f>
        <v>67</v>
      </c>
      <c r="L1557" s="28">
        <f>(Sales!$J1557-Sales!$B1557)/Sales!$J1557</f>
        <v>-2.0303030303030303</v>
      </c>
      <c r="M1557" s="28" t="str">
        <f t="shared" si="24"/>
        <v>Below 0%</v>
      </c>
      <c r="N1557" s="27" t="s">
        <v>65</v>
      </c>
      <c r="O1557" s="27" t="s">
        <v>12</v>
      </c>
      <c r="P1557" s="27" t="s">
        <v>13</v>
      </c>
      <c r="Q1557" s="27" t="s">
        <v>14</v>
      </c>
    </row>
    <row r="1558" spans="1:17" x14ac:dyDescent="0.3">
      <c r="A1558" s="22">
        <v>45</v>
      </c>
      <c r="B1558" s="19">
        <v>81.91</v>
      </c>
      <c r="C1558" s="20">
        <f>Sales!$B1558*Sales!$A1558</f>
        <v>3685.95</v>
      </c>
      <c r="D1558" s="21">
        <v>38308</v>
      </c>
      <c r="E1558" s="22" t="s">
        <v>9</v>
      </c>
      <c r="F1558" s="22">
        <v>4</v>
      </c>
      <c r="G1558" s="22">
        <v>11</v>
      </c>
      <c r="H1558" s="22">
        <v>2004</v>
      </c>
      <c r="I1558" s="22" t="s">
        <v>112</v>
      </c>
      <c r="J1558" s="20">
        <v>33</v>
      </c>
      <c r="K1558" s="20">
        <f>Sales!$B1558-Sales!$J1558</f>
        <v>48.91</v>
      </c>
      <c r="L1558" s="23">
        <f>(Sales!$J1558-Sales!$B1558)/Sales!$J1558</f>
        <v>-1.482121212121212</v>
      </c>
      <c r="M1558" s="23" t="str">
        <f t="shared" si="24"/>
        <v>Below 0%</v>
      </c>
      <c r="N1558" s="22" t="s">
        <v>102</v>
      </c>
      <c r="O1558" s="22" t="s">
        <v>43</v>
      </c>
      <c r="P1558" s="22" t="s">
        <v>17</v>
      </c>
      <c r="Q1558" s="22" t="s">
        <v>19</v>
      </c>
    </row>
    <row r="1559" spans="1:17" x14ac:dyDescent="0.3">
      <c r="A1559" s="27">
        <v>20</v>
      </c>
      <c r="B1559" s="24">
        <v>35.18</v>
      </c>
      <c r="C1559" s="25">
        <f>Sales!$B1559*Sales!$A1559</f>
        <v>703.6</v>
      </c>
      <c r="D1559" s="26">
        <v>38316</v>
      </c>
      <c r="E1559" s="27" t="s">
        <v>9</v>
      </c>
      <c r="F1559" s="27">
        <v>4</v>
      </c>
      <c r="G1559" s="27">
        <v>11</v>
      </c>
      <c r="H1559" s="27">
        <v>2004</v>
      </c>
      <c r="I1559" s="27" t="s">
        <v>112</v>
      </c>
      <c r="J1559" s="25">
        <v>33</v>
      </c>
      <c r="K1559" s="25">
        <f>Sales!$B1559-Sales!$J1559</f>
        <v>2.1799999999999997</v>
      </c>
      <c r="L1559" s="28">
        <f>(Sales!$J1559-Sales!$B1559)/Sales!$J1559</f>
        <v>-6.6060606060606056E-2</v>
      </c>
      <c r="M1559" s="28" t="str">
        <f t="shared" si="24"/>
        <v>Below 0%</v>
      </c>
      <c r="N1559" s="27" t="s">
        <v>92</v>
      </c>
      <c r="O1559" s="27" t="s">
        <v>16</v>
      </c>
      <c r="P1559" s="27" t="s">
        <v>17</v>
      </c>
      <c r="Q1559" s="27" t="s">
        <v>14</v>
      </c>
    </row>
    <row r="1560" spans="1:17" x14ac:dyDescent="0.3">
      <c r="A1560" s="22">
        <v>48</v>
      </c>
      <c r="B1560" s="19">
        <v>100</v>
      </c>
      <c r="C1560" s="20">
        <f>Sales!$B1560*Sales!$A1560</f>
        <v>4800</v>
      </c>
      <c r="D1560" s="21">
        <v>38330</v>
      </c>
      <c r="E1560" s="22" t="s">
        <v>9</v>
      </c>
      <c r="F1560" s="22">
        <v>4</v>
      </c>
      <c r="G1560" s="22">
        <v>12</v>
      </c>
      <c r="H1560" s="22">
        <v>2004</v>
      </c>
      <c r="I1560" s="22" t="s">
        <v>112</v>
      </c>
      <c r="J1560" s="20">
        <v>33</v>
      </c>
      <c r="K1560" s="20">
        <f>Sales!$B1560-Sales!$J1560</f>
        <v>67</v>
      </c>
      <c r="L1560" s="23">
        <f>(Sales!$J1560-Sales!$B1560)/Sales!$J1560</f>
        <v>-2.0303030303030303</v>
      </c>
      <c r="M1560" s="23" t="str">
        <f t="shared" si="24"/>
        <v>Below 0%</v>
      </c>
      <c r="N1560" s="22" t="s">
        <v>18</v>
      </c>
      <c r="O1560" s="22" t="s">
        <v>16</v>
      </c>
      <c r="P1560" s="22" t="s">
        <v>17</v>
      </c>
      <c r="Q1560" s="22" t="s">
        <v>39</v>
      </c>
    </row>
    <row r="1561" spans="1:17" x14ac:dyDescent="0.3">
      <c r="A1561" s="27">
        <v>23</v>
      </c>
      <c r="B1561" s="24">
        <v>36.29</v>
      </c>
      <c r="C1561" s="25">
        <f>Sales!$B1561*Sales!$A1561</f>
        <v>834.67</v>
      </c>
      <c r="D1561" s="26">
        <v>38364</v>
      </c>
      <c r="E1561" s="27" t="s">
        <v>88</v>
      </c>
      <c r="F1561" s="27">
        <v>1</v>
      </c>
      <c r="G1561" s="27">
        <v>1</v>
      </c>
      <c r="H1561" s="27">
        <v>2005</v>
      </c>
      <c r="I1561" s="27" t="s">
        <v>112</v>
      </c>
      <c r="J1561" s="25">
        <v>33</v>
      </c>
      <c r="K1561" s="25">
        <f>Sales!$B1561-Sales!$J1561</f>
        <v>3.2899999999999991</v>
      </c>
      <c r="L1561" s="28">
        <f>(Sales!$J1561-Sales!$B1561)/Sales!$J1561</f>
        <v>-9.9696969696969673E-2</v>
      </c>
      <c r="M1561" s="28" t="str">
        <f t="shared" si="24"/>
        <v>Below 0%</v>
      </c>
      <c r="N1561" s="27" t="s">
        <v>20</v>
      </c>
      <c r="O1561" s="27" t="s">
        <v>12</v>
      </c>
      <c r="P1561" s="27" t="s">
        <v>13</v>
      </c>
      <c r="Q1561" s="27" t="s">
        <v>14</v>
      </c>
    </row>
    <row r="1562" spans="1:17" x14ac:dyDescent="0.3">
      <c r="A1562" s="22">
        <v>32</v>
      </c>
      <c r="B1562" s="19">
        <v>70.56</v>
      </c>
      <c r="C1562" s="20">
        <f>Sales!$B1562*Sales!$A1562</f>
        <v>2257.92</v>
      </c>
      <c r="D1562" s="21">
        <v>38399</v>
      </c>
      <c r="E1562" s="22" t="s">
        <v>9</v>
      </c>
      <c r="F1562" s="22">
        <v>1</v>
      </c>
      <c r="G1562" s="22">
        <v>2</v>
      </c>
      <c r="H1562" s="22">
        <v>2005</v>
      </c>
      <c r="I1562" s="22" t="s">
        <v>112</v>
      </c>
      <c r="J1562" s="20">
        <v>33</v>
      </c>
      <c r="K1562" s="20">
        <f>Sales!$B1562-Sales!$J1562</f>
        <v>37.56</v>
      </c>
      <c r="L1562" s="23">
        <f>(Sales!$J1562-Sales!$B1562)/Sales!$J1562</f>
        <v>-1.1381818181818182</v>
      </c>
      <c r="M1562" s="23" t="str">
        <f t="shared" si="24"/>
        <v>Below 0%</v>
      </c>
      <c r="N1562" s="22" t="s">
        <v>45</v>
      </c>
      <c r="O1562" s="22" t="s">
        <v>46</v>
      </c>
      <c r="P1562" s="22" t="s">
        <v>17</v>
      </c>
      <c r="Q1562" s="22" t="s">
        <v>14</v>
      </c>
    </row>
    <row r="1563" spans="1:17" x14ac:dyDescent="0.3">
      <c r="A1563" s="27">
        <v>33</v>
      </c>
      <c r="B1563" s="24">
        <v>100</v>
      </c>
      <c r="C1563" s="25">
        <f>Sales!$B1563*Sales!$A1563</f>
        <v>3300</v>
      </c>
      <c r="D1563" s="26">
        <v>38420</v>
      </c>
      <c r="E1563" s="27" t="s">
        <v>9</v>
      </c>
      <c r="F1563" s="27">
        <v>1</v>
      </c>
      <c r="G1563" s="27">
        <v>3</v>
      </c>
      <c r="H1563" s="27">
        <v>2005</v>
      </c>
      <c r="I1563" s="27" t="s">
        <v>112</v>
      </c>
      <c r="J1563" s="25">
        <v>33</v>
      </c>
      <c r="K1563" s="25">
        <f>Sales!$B1563-Sales!$J1563</f>
        <v>67</v>
      </c>
      <c r="L1563" s="28">
        <f>(Sales!$J1563-Sales!$B1563)/Sales!$J1563</f>
        <v>-2.0303030303030303</v>
      </c>
      <c r="M1563" s="28" t="str">
        <f t="shared" si="24"/>
        <v>Below 0%</v>
      </c>
      <c r="N1563" s="27" t="s">
        <v>67</v>
      </c>
      <c r="O1563" s="27" t="s">
        <v>27</v>
      </c>
      <c r="P1563" s="27" t="s">
        <v>28</v>
      </c>
      <c r="Q1563" s="27" t="s">
        <v>39</v>
      </c>
    </row>
    <row r="1564" spans="1:17" x14ac:dyDescent="0.3">
      <c r="A1564" s="22">
        <v>61</v>
      </c>
      <c r="B1564" s="19">
        <v>29.54</v>
      </c>
      <c r="C1564" s="20">
        <f>Sales!$B1564*Sales!$A1564</f>
        <v>1801.94</v>
      </c>
      <c r="D1564" s="21">
        <v>38465</v>
      </c>
      <c r="E1564" s="22" t="s">
        <v>9</v>
      </c>
      <c r="F1564" s="22">
        <v>2</v>
      </c>
      <c r="G1564" s="22">
        <v>4</v>
      </c>
      <c r="H1564" s="22">
        <v>2005</v>
      </c>
      <c r="I1564" s="22" t="s">
        <v>112</v>
      </c>
      <c r="J1564" s="20">
        <v>33</v>
      </c>
      <c r="K1564" s="20">
        <f>Sales!$B1564-Sales!$J1564</f>
        <v>-3.4600000000000009</v>
      </c>
      <c r="L1564" s="23">
        <f>(Sales!$J1564-Sales!$B1564)/Sales!$J1564</f>
        <v>0.10484848484848487</v>
      </c>
      <c r="M1564" s="23" t="s">
        <v>134</v>
      </c>
      <c r="N1564" s="22" t="s">
        <v>50</v>
      </c>
      <c r="O1564" s="22" t="s">
        <v>50</v>
      </c>
      <c r="P1564" s="22" t="s">
        <v>28</v>
      </c>
      <c r="Q1564" s="22" t="s">
        <v>14</v>
      </c>
    </row>
    <row r="1565" spans="1:17" x14ac:dyDescent="0.3">
      <c r="A1565" s="27">
        <v>45</v>
      </c>
      <c r="B1565" s="24">
        <v>26.88</v>
      </c>
      <c r="C1565" s="25">
        <f>Sales!$B1565*Sales!$A1565</f>
        <v>1209.5999999999999</v>
      </c>
      <c r="D1565" s="26">
        <v>38501</v>
      </c>
      <c r="E1565" s="27" t="s">
        <v>69</v>
      </c>
      <c r="F1565" s="27">
        <v>2</v>
      </c>
      <c r="G1565" s="27">
        <v>5</v>
      </c>
      <c r="H1565" s="27">
        <v>2005</v>
      </c>
      <c r="I1565" s="27" t="s">
        <v>112</v>
      </c>
      <c r="J1565" s="25">
        <v>33</v>
      </c>
      <c r="K1565" s="25">
        <f>Sales!$B1565-Sales!$J1565</f>
        <v>-6.120000000000001</v>
      </c>
      <c r="L1565" s="28">
        <f>(Sales!$J1565-Sales!$B1565)/Sales!$J1565</f>
        <v>0.18545454545454548</v>
      </c>
      <c r="M1565" s="28" t="str">
        <f t="shared" si="24"/>
        <v>15%-20%</v>
      </c>
      <c r="N1565" s="27" t="s">
        <v>40</v>
      </c>
      <c r="O1565" s="27" t="s">
        <v>27</v>
      </c>
      <c r="P1565" s="27" t="s">
        <v>28</v>
      </c>
      <c r="Q1565" s="27" t="s">
        <v>14</v>
      </c>
    </row>
    <row r="1566" spans="1:17" x14ac:dyDescent="0.3">
      <c r="A1566" s="22">
        <v>38</v>
      </c>
      <c r="B1566" s="19">
        <v>83.03</v>
      </c>
      <c r="C1566" s="20">
        <f>Sales!$B1566*Sales!$A1566</f>
        <v>3155.14</v>
      </c>
      <c r="D1566" s="21">
        <v>37676</v>
      </c>
      <c r="E1566" s="22" t="s">
        <v>9</v>
      </c>
      <c r="F1566" s="22">
        <v>1</v>
      </c>
      <c r="G1566" s="22">
        <v>2</v>
      </c>
      <c r="H1566" s="22">
        <v>2003</v>
      </c>
      <c r="I1566" s="22" t="s">
        <v>10</v>
      </c>
      <c r="J1566" s="20">
        <v>76</v>
      </c>
      <c r="K1566" s="20">
        <f>Sales!$B1566-Sales!$J1566</f>
        <v>7.0300000000000011</v>
      </c>
      <c r="L1566" s="23">
        <f>(Sales!$J1566-Sales!$B1566)/Sales!$J1566</f>
        <v>-9.2500000000000013E-2</v>
      </c>
      <c r="M1566" s="23" t="str">
        <f t="shared" si="24"/>
        <v>Below 0%</v>
      </c>
      <c r="N1566" s="22" t="s">
        <v>11</v>
      </c>
      <c r="O1566" s="22" t="s">
        <v>12</v>
      </c>
      <c r="P1566" s="22" t="s">
        <v>13</v>
      </c>
      <c r="Q1566" s="22" t="s">
        <v>19</v>
      </c>
    </row>
    <row r="1567" spans="1:17" x14ac:dyDescent="0.3">
      <c r="A1567" s="27">
        <v>34</v>
      </c>
      <c r="B1567" s="24">
        <v>83.79</v>
      </c>
      <c r="C1567" s="25">
        <f>Sales!$B1567*Sales!$A1567</f>
        <v>2848.86</v>
      </c>
      <c r="D1567" s="26">
        <v>37740</v>
      </c>
      <c r="E1567" s="27" t="s">
        <v>9</v>
      </c>
      <c r="F1567" s="27">
        <v>2</v>
      </c>
      <c r="G1567" s="27">
        <v>4</v>
      </c>
      <c r="H1567" s="27">
        <v>2003</v>
      </c>
      <c r="I1567" s="27" t="s">
        <v>10</v>
      </c>
      <c r="J1567" s="25">
        <v>76</v>
      </c>
      <c r="K1567" s="25">
        <f>Sales!$B1567-Sales!$J1567</f>
        <v>7.7900000000000063</v>
      </c>
      <c r="L1567" s="28">
        <f>(Sales!$J1567-Sales!$B1567)/Sales!$J1567</f>
        <v>-0.10250000000000008</v>
      </c>
      <c r="M1567" s="28" t="str">
        <f t="shared" si="24"/>
        <v>Below 0%</v>
      </c>
      <c r="N1567" s="27" t="s">
        <v>26</v>
      </c>
      <c r="O1567" s="27" t="s">
        <v>27</v>
      </c>
      <c r="P1567" s="27" t="s">
        <v>28</v>
      </c>
      <c r="Q1567" s="27" t="s">
        <v>14</v>
      </c>
    </row>
    <row r="1568" spans="1:17" x14ac:dyDescent="0.3">
      <c r="A1568" s="22">
        <v>43</v>
      </c>
      <c r="B1568" s="19">
        <v>83.03</v>
      </c>
      <c r="C1568" s="20">
        <f>Sales!$B1568*Sales!$A1568</f>
        <v>3570.29</v>
      </c>
      <c r="D1568" s="21">
        <v>37803</v>
      </c>
      <c r="E1568" s="22" t="s">
        <v>9</v>
      </c>
      <c r="F1568" s="22">
        <v>3</v>
      </c>
      <c r="G1568" s="22">
        <v>7</v>
      </c>
      <c r="H1568" s="22">
        <v>2003</v>
      </c>
      <c r="I1568" s="22" t="s">
        <v>10</v>
      </c>
      <c r="J1568" s="20">
        <v>76</v>
      </c>
      <c r="K1568" s="20">
        <f>Sales!$B1568-Sales!$J1568</f>
        <v>7.0300000000000011</v>
      </c>
      <c r="L1568" s="23">
        <f>(Sales!$J1568-Sales!$B1568)/Sales!$J1568</f>
        <v>-9.2500000000000013E-2</v>
      </c>
      <c r="M1568" s="23" t="str">
        <f t="shared" si="24"/>
        <v>Below 0%</v>
      </c>
      <c r="N1568" s="22" t="s">
        <v>18</v>
      </c>
      <c r="O1568" s="22" t="s">
        <v>16</v>
      </c>
      <c r="P1568" s="22" t="s">
        <v>17</v>
      </c>
      <c r="Q1568" s="22" t="s">
        <v>19</v>
      </c>
    </row>
    <row r="1569" spans="1:17" x14ac:dyDescent="0.3">
      <c r="A1569" s="27">
        <v>47</v>
      </c>
      <c r="B1569" s="24">
        <v>83.03</v>
      </c>
      <c r="C1569" s="25">
        <f>Sales!$B1569*Sales!$A1569</f>
        <v>3902.41</v>
      </c>
      <c r="D1569" s="26">
        <v>37858</v>
      </c>
      <c r="E1569" s="27" t="s">
        <v>9</v>
      </c>
      <c r="F1569" s="27">
        <v>3</v>
      </c>
      <c r="G1569" s="27">
        <v>8</v>
      </c>
      <c r="H1569" s="27">
        <v>2003</v>
      </c>
      <c r="I1569" s="27" t="s">
        <v>10</v>
      </c>
      <c r="J1569" s="25">
        <v>76</v>
      </c>
      <c r="K1569" s="25">
        <f>Sales!$B1569-Sales!$J1569</f>
        <v>7.0300000000000011</v>
      </c>
      <c r="L1569" s="28">
        <f>(Sales!$J1569-Sales!$B1569)/Sales!$J1569</f>
        <v>-9.2500000000000013E-2</v>
      </c>
      <c r="M1569" s="28" t="str">
        <f t="shared" si="24"/>
        <v>Below 0%</v>
      </c>
      <c r="N1569" s="27" t="s">
        <v>20</v>
      </c>
      <c r="O1569" s="27" t="s">
        <v>12</v>
      </c>
      <c r="P1569" s="27" t="s">
        <v>13</v>
      </c>
      <c r="Q1569" s="27" t="s">
        <v>19</v>
      </c>
    </row>
    <row r="1570" spans="1:17" x14ac:dyDescent="0.3">
      <c r="A1570" s="22">
        <v>22</v>
      </c>
      <c r="B1570" s="19">
        <v>67.03</v>
      </c>
      <c r="C1570" s="20">
        <f>Sales!$B1570*Sales!$A1570</f>
        <v>1474.66</v>
      </c>
      <c r="D1570" s="21">
        <v>37904</v>
      </c>
      <c r="E1570" s="22" t="s">
        <v>9</v>
      </c>
      <c r="F1570" s="22">
        <v>4</v>
      </c>
      <c r="G1570" s="22">
        <v>10</v>
      </c>
      <c r="H1570" s="22">
        <v>2003</v>
      </c>
      <c r="I1570" s="22" t="s">
        <v>10</v>
      </c>
      <c r="J1570" s="20">
        <v>76</v>
      </c>
      <c r="K1570" s="20">
        <f>Sales!$B1570-Sales!$J1570</f>
        <v>-8.9699999999999989</v>
      </c>
      <c r="L1570" s="23">
        <f>(Sales!$J1570-Sales!$B1570)/Sales!$J1570</f>
        <v>0.11802631578947367</v>
      </c>
      <c r="M1570" s="23" t="str">
        <f t="shared" si="24"/>
        <v>10%-15%</v>
      </c>
      <c r="N1570" s="22" t="s">
        <v>35</v>
      </c>
      <c r="O1570" s="22" t="s">
        <v>25</v>
      </c>
      <c r="P1570" s="22" t="s">
        <v>17</v>
      </c>
      <c r="Q1570" s="22" t="s">
        <v>14</v>
      </c>
    </row>
    <row r="1571" spans="1:17" x14ac:dyDescent="0.3">
      <c r="A1571" s="27">
        <v>29</v>
      </c>
      <c r="B1571" s="24">
        <v>75.41</v>
      </c>
      <c r="C1571" s="25">
        <f>Sales!$B1571*Sales!$A1571</f>
        <v>2186.89</v>
      </c>
      <c r="D1571" s="26">
        <v>37922</v>
      </c>
      <c r="E1571" s="27" t="s">
        <v>9</v>
      </c>
      <c r="F1571" s="27">
        <v>4</v>
      </c>
      <c r="G1571" s="27">
        <v>10</v>
      </c>
      <c r="H1571" s="27">
        <v>2003</v>
      </c>
      <c r="I1571" s="27" t="s">
        <v>10</v>
      </c>
      <c r="J1571" s="25">
        <v>76</v>
      </c>
      <c r="K1571" s="25">
        <f>Sales!$B1571-Sales!$J1571</f>
        <v>-0.59000000000000341</v>
      </c>
      <c r="L1571" s="28">
        <f>(Sales!$J1571-Sales!$B1571)/Sales!$J1571</f>
        <v>7.7631578947368867E-3</v>
      </c>
      <c r="M1571" s="28" t="str">
        <f t="shared" si="24"/>
        <v>0%-5%</v>
      </c>
      <c r="N1571" s="27" t="s">
        <v>22</v>
      </c>
      <c r="O1571" s="27" t="s">
        <v>12</v>
      </c>
      <c r="P1571" s="27" t="s">
        <v>13</v>
      </c>
      <c r="Q1571" s="27" t="s">
        <v>14</v>
      </c>
    </row>
    <row r="1572" spans="1:17" x14ac:dyDescent="0.3">
      <c r="A1572" s="22">
        <v>28</v>
      </c>
      <c r="B1572" s="19">
        <v>68.55</v>
      </c>
      <c r="C1572" s="20">
        <f>Sales!$B1572*Sales!$A1572</f>
        <v>1919.3999999999999</v>
      </c>
      <c r="D1572" s="21">
        <v>37936</v>
      </c>
      <c r="E1572" s="22" t="s">
        <v>9</v>
      </c>
      <c r="F1572" s="22">
        <v>4</v>
      </c>
      <c r="G1572" s="22">
        <v>11</v>
      </c>
      <c r="H1572" s="22">
        <v>2003</v>
      </c>
      <c r="I1572" s="22" t="s">
        <v>10</v>
      </c>
      <c r="J1572" s="20">
        <v>76</v>
      </c>
      <c r="K1572" s="20">
        <f>Sales!$B1572-Sales!$J1572</f>
        <v>-7.4500000000000028</v>
      </c>
      <c r="L1572" s="23">
        <f>(Sales!$J1572-Sales!$B1572)/Sales!$J1572</f>
        <v>9.8026315789473725E-2</v>
      </c>
      <c r="M1572" s="23" t="str">
        <f t="shared" si="24"/>
        <v>5%-10%</v>
      </c>
      <c r="N1572" s="22" t="s">
        <v>23</v>
      </c>
      <c r="O1572" s="22" t="s">
        <v>16</v>
      </c>
      <c r="P1572" s="22" t="s">
        <v>17</v>
      </c>
      <c r="Q1572" s="22" t="s">
        <v>14</v>
      </c>
    </row>
    <row r="1573" spans="1:17" x14ac:dyDescent="0.3">
      <c r="A1573" s="27">
        <v>40</v>
      </c>
      <c r="B1573" s="24">
        <v>91.4</v>
      </c>
      <c r="C1573" s="25">
        <f>Sales!$B1573*Sales!$A1573</f>
        <v>3656</v>
      </c>
      <c r="D1573" s="26">
        <v>37943</v>
      </c>
      <c r="E1573" s="27" t="s">
        <v>9</v>
      </c>
      <c r="F1573" s="27">
        <v>4</v>
      </c>
      <c r="G1573" s="27">
        <v>11</v>
      </c>
      <c r="H1573" s="27">
        <v>2003</v>
      </c>
      <c r="I1573" s="27" t="s">
        <v>10</v>
      </c>
      <c r="J1573" s="25">
        <v>76</v>
      </c>
      <c r="K1573" s="25">
        <f>Sales!$B1573-Sales!$J1573</f>
        <v>15.400000000000006</v>
      </c>
      <c r="L1573" s="28">
        <f>(Sales!$J1573-Sales!$B1573)/Sales!$J1573</f>
        <v>-0.2026315789473685</v>
      </c>
      <c r="M1573" s="28" t="str">
        <f t="shared" si="24"/>
        <v>Below 0%</v>
      </c>
      <c r="N1573" s="27" t="s">
        <v>24</v>
      </c>
      <c r="O1573" s="27" t="s">
        <v>25</v>
      </c>
      <c r="P1573" s="27" t="s">
        <v>17</v>
      </c>
      <c r="Q1573" s="27" t="s">
        <v>19</v>
      </c>
    </row>
    <row r="1574" spans="1:17" x14ac:dyDescent="0.3">
      <c r="A1574" s="22">
        <v>25</v>
      </c>
      <c r="B1574" s="19">
        <v>73.88</v>
      </c>
      <c r="C1574" s="20">
        <f>Sales!$B1574*Sales!$A1574</f>
        <v>1847</v>
      </c>
      <c r="D1574" s="21">
        <v>37956</v>
      </c>
      <c r="E1574" s="22" t="s">
        <v>9</v>
      </c>
      <c r="F1574" s="22">
        <v>4</v>
      </c>
      <c r="G1574" s="22">
        <v>12</v>
      </c>
      <c r="H1574" s="22">
        <v>2003</v>
      </c>
      <c r="I1574" s="22" t="s">
        <v>10</v>
      </c>
      <c r="J1574" s="20">
        <v>76</v>
      </c>
      <c r="K1574" s="20">
        <f>Sales!$B1574-Sales!$J1574</f>
        <v>-2.1200000000000045</v>
      </c>
      <c r="L1574" s="23">
        <f>(Sales!$J1574-Sales!$B1574)/Sales!$J1574</f>
        <v>2.7894736842105323E-2</v>
      </c>
      <c r="M1574" s="23" t="str">
        <f t="shared" si="24"/>
        <v>0%-5%</v>
      </c>
      <c r="N1574" s="22" t="s">
        <v>21</v>
      </c>
      <c r="O1574" s="22" t="s">
        <v>12</v>
      </c>
      <c r="P1574" s="22" t="s">
        <v>13</v>
      </c>
      <c r="Q1574" s="22" t="s">
        <v>14</v>
      </c>
    </row>
    <row r="1575" spans="1:17" x14ac:dyDescent="0.3">
      <c r="A1575" s="27">
        <v>30</v>
      </c>
      <c r="B1575" s="24">
        <v>61.7</v>
      </c>
      <c r="C1575" s="25">
        <f>Sales!$B1575*Sales!$A1575</f>
        <v>1851</v>
      </c>
      <c r="D1575" s="26">
        <v>37998</v>
      </c>
      <c r="E1575" s="27" t="s">
        <v>9</v>
      </c>
      <c r="F1575" s="27">
        <v>1</v>
      </c>
      <c r="G1575" s="27">
        <v>1</v>
      </c>
      <c r="H1575" s="27">
        <v>2004</v>
      </c>
      <c r="I1575" s="27" t="s">
        <v>10</v>
      </c>
      <c r="J1575" s="25">
        <v>76</v>
      </c>
      <c r="K1575" s="25">
        <f>Sales!$B1575-Sales!$J1575</f>
        <v>-14.299999999999997</v>
      </c>
      <c r="L1575" s="28">
        <f>(Sales!$J1575-Sales!$B1575)/Sales!$J1575</f>
        <v>0.18815789473684208</v>
      </c>
      <c r="M1575" s="28" t="str">
        <f t="shared" si="24"/>
        <v>15%-20%</v>
      </c>
      <c r="N1575" s="27" t="s">
        <v>70</v>
      </c>
      <c r="O1575" s="27" t="s">
        <v>51</v>
      </c>
      <c r="P1575" s="27" t="s">
        <v>51</v>
      </c>
      <c r="Q1575" s="27" t="s">
        <v>14</v>
      </c>
    </row>
    <row r="1576" spans="1:17" x14ac:dyDescent="0.3">
      <c r="A1576" s="22">
        <v>38</v>
      </c>
      <c r="B1576" s="19">
        <v>69.31</v>
      </c>
      <c r="C1576" s="20">
        <f>Sales!$B1576*Sales!$A1576</f>
        <v>2633.78</v>
      </c>
      <c r="D1576" s="21">
        <v>38037</v>
      </c>
      <c r="E1576" s="22" t="s">
        <v>9</v>
      </c>
      <c r="F1576" s="22">
        <v>1</v>
      </c>
      <c r="G1576" s="22">
        <v>2</v>
      </c>
      <c r="H1576" s="22">
        <v>2004</v>
      </c>
      <c r="I1576" s="22" t="s">
        <v>10</v>
      </c>
      <c r="J1576" s="20">
        <v>76</v>
      </c>
      <c r="K1576" s="20">
        <f>Sales!$B1576-Sales!$J1576</f>
        <v>-6.6899999999999977</v>
      </c>
      <c r="L1576" s="23">
        <f>(Sales!$J1576-Sales!$B1576)/Sales!$J1576</f>
        <v>8.8026315789473661E-2</v>
      </c>
      <c r="M1576" s="23" t="str">
        <f t="shared" si="24"/>
        <v>5%-10%</v>
      </c>
      <c r="N1576" s="22" t="s">
        <v>26</v>
      </c>
      <c r="O1576" s="22" t="s">
        <v>27</v>
      </c>
      <c r="P1576" s="22" t="s">
        <v>28</v>
      </c>
      <c r="Q1576" s="22" t="s">
        <v>14</v>
      </c>
    </row>
    <row r="1577" spans="1:17" x14ac:dyDescent="0.3">
      <c r="A1577" s="27">
        <v>36</v>
      </c>
      <c r="B1577" s="24">
        <v>87.6</v>
      </c>
      <c r="C1577" s="25">
        <f>Sales!$B1577*Sales!$A1577</f>
        <v>3153.6</v>
      </c>
      <c r="D1577" s="26">
        <v>38080</v>
      </c>
      <c r="E1577" s="27" t="s">
        <v>9</v>
      </c>
      <c r="F1577" s="27">
        <v>2</v>
      </c>
      <c r="G1577" s="27">
        <v>4</v>
      </c>
      <c r="H1577" s="27">
        <v>2004</v>
      </c>
      <c r="I1577" s="27" t="s">
        <v>10</v>
      </c>
      <c r="J1577" s="25">
        <v>76</v>
      </c>
      <c r="K1577" s="25">
        <f>Sales!$B1577-Sales!$J1577</f>
        <v>11.599999999999994</v>
      </c>
      <c r="L1577" s="28">
        <f>(Sales!$J1577-Sales!$B1577)/Sales!$J1577</f>
        <v>-0.15263157894736834</v>
      </c>
      <c r="M1577" s="28" t="str">
        <f t="shared" si="24"/>
        <v>Below 0%</v>
      </c>
      <c r="N1577" s="27" t="s">
        <v>53</v>
      </c>
      <c r="O1577" s="27" t="s">
        <v>12</v>
      </c>
      <c r="P1577" s="27" t="s">
        <v>13</v>
      </c>
      <c r="Q1577" s="27" t="s">
        <v>19</v>
      </c>
    </row>
    <row r="1578" spans="1:17" x14ac:dyDescent="0.3">
      <c r="A1578" s="22">
        <v>32</v>
      </c>
      <c r="B1578" s="19">
        <v>87.6</v>
      </c>
      <c r="C1578" s="20">
        <f>Sales!$B1578*Sales!$A1578</f>
        <v>2803.2</v>
      </c>
      <c r="D1578" s="21">
        <v>38118</v>
      </c>
      <c r="E1578" s="22" t="s">
        <v>9</v>
      </c>
      <c r="F1578" s="22">
        <v>2</v>
      </c>
      <c r="G1578" s="22">
        <v>5</v>
      </c>
      <c r="H1578" s="22">
        <v>2004</v>
      </c>
      <c r="I1578" s="22" t="s">
        <v>10</v>
      </c>
      <c r="J1578" s="20">
        <v>76</v>
      </c>
      <c r="K1578" s="20">
        <f>Sales!$B1578-Sales!$J1578</f>
        <v>11.599999999999994</v>
      </c>
      <c r="L1578" s="23">
        <f>(Sales!$J1578-Sales!$B1578)/Sales!$J1578</f>
        <v>-0.15263157894736834</v>
      </c>
      <c r="M1578" s="23" t="str">
        <f t="shared" si="24"/>
        <v>Below 0%</v>
      </c>
      <c r="N1578" s="22" t="s">
        <v>86</v>
      </c>
      <c r="O1578" s="22" t="s">
        <v>12</v>
      </c>
      <c r="P1578" s="22" t="s">
        <v>13</v>
      </c>
      <c r="Q1578" s="22" t="s">
        <v>14</v>
      </c>
    </row>
    <row r="1579" spans="1:17" x14ac:dyDescent="0.3">
      <c r="A1579" s="27">
        <v>37</v>
      </c>
      <c r="B1579" s="24">
        <v>62.46</v>
      </c>
      <c r="C1579" s="25">
        <f>Sales!$B1579*Sales!$A1579</f>
        <v>2311.02</v>
      </c>
      <c r="D1579" s="26">
        <v>38166</v>
      </c>
      <c r="E1579" s="27" t="s">
        <v>9</v>
      </c>
      <c r="F1579" s="27">
        <v>2</v>
      </c>
      <c r="G1579" s="27">
        <v>6</v>
      </c>
      <c r="H1579" s="27">
        <v>2004</v>
      </c>
      <c r="I1579" s="27" t="s">
        <v>10</v>
      </c>
      <c r="J1579" s="25">
        <v>76</v>
      </c>
      <c r="K1579" s="25">
        <f>Sales!$B1579-Sales!$J1579</f>
        <v>-13.54</v>
      </c>
      <c r="L1579" s="28">
        <f>(Sales!$J1579-Sales!$B1579)/Sales!$J1579</f>
        <v>0.1781578947368421</v>
      </c>
      <c r="M1579" s="28" t="str">
        <f t="shared" si="24"/>
        <v>15%-20%</v>
      </c>
      <c r="N1579" s="27" t="s">
        <v>30</v>
      </c>
      <c r="O1579" s="27" t="s">
        <v>12</v>
      </c>
      <c r="P1579" s="27" t="s">
        <v>13</v>
      </c>
      <c r="Q1579" s="27" t="s">
        <v>14</v>
      </c>
    </row>
    <row r="1580" spans="1:17" x14ac:dyDescent="0.3">
      <c r="A1580" s="22">
        <v>30</v>
      </c>
      <c r="B1580" s="19">
        <v>79.98</v>
      </c>
      <c r="C1580" s="20">
        <f>Sales!$B1580*Sales!$A1580</f>
        <v>2399.4</v>
      </c>
      <c r="D1580" s="21">
        <v>38191</v>
      </c>
      <c r="E1580" s="22" t="s">
        <v>9</v>
      </c>
      <c r="F1580" s="22">
        <v>3</v>
      </c>
      <c r="G1580" s="22">
        <v>7</v>
      </c>
      <c r="H1580" s="22">
        <v>2004</v>
      </c>
      <c r="I1580" s="22" t="s">
        <v>10</v>
      </c>
      <c r="J1580" s="20">
        <v>76</v>
      </c>
      <c r="K1580" s="20">
        <f>Sales!$B1580-Sales!$J1580</f>
        <v>3.980000000000004</v>
      </c>
      <c r="L1580" s="23">
        <f>(Sales!$J1580-Sales!$B1580)/Sales!$J1580</f>
        <v>-5.2368421052631633E-2</v>
      </c>
      <c r="M1580" s="23" t="str">
        <f t="shared" si="24"/>
        <v>Below 0%</v>
      </c>
      <c r="N1580" s="22" t="s">
        <v>31</v>
      </c>
      <c r="O1580" s="22" t="s">
        <v>16</v>
      </c>
      <c r="P1580" s="22" t="s">
        <v>17</v>
      </c>
      <c r="Q1580" s="22" t="s">
        <v>14</v>
      </c>
    </row>
    <row r="1581" spans="1:17" x14ac:dyDescent="0.3">
      <c r="A1581" s="27">
        <v>39</v>
      </c>
      <c r="B1581" s="24">
        <v>70.08</v>
      </c>
      <c r="C1581" s="25">
        <f>Sales!$B1581*Sales!$A1581</f>
        <v>2733.12</v>
      </c>
      <c r="D1581" s="26">
        <v>38226</v>
      </c>
      <c r="E1581" s="27" t="s">
        <v>9</v>
      </c>
      <c r="F1581" s="27">
        <v>3</v>
      </c>
      <c r="G1581" s="27">
        <v>8</v>
      </c>
      <c r="H1581" s="27">
        <v>2004</v>
      </c>
      <c r="I1581" s="27" t="s">
        <v>10</v>
      </c>
      <c r="J1581" s="25">
        <v>76</v>
      </c>
      <c r="K1581" s="25">
        <f>Sales!$B1581-Sales!$J1581</f>
        <v>-5.9200000000000017</v>
      </c>
      <c r="L1581" s="28">
        <f>(Sales!$J1581-Sales!$B1581)/Sales!$J1581</f>
        <v>7.789473684210528E-2</v>
      </c>
      <c r="M1581" s="28" t="str">
        <f t="shared" si="24"/>
        <v>5%-10%</v>
      </c>
      <c r="N1581" s="27" t="s">
        <v>32</v>
      </c>
      <c r="O1581" s="27" t="s">
        <v>12</v>
      </c>
      <c r="P1581" s="27" t="s">
        <v>13</v>
      </c>
      <c r="Q1581" s="27" t="s">
        <v>14</v>
      </c>
    </row>
    <row r="1582" spans="1:17" x14ac:dyDescent="0.3">
      <c r="A1582" s="22">
        <v>32</v>
      </c>
      <c r="B1582" s="19">
        <v>65.510000000000005</v>
      </c>
      <c r="C1582" s="20">
        <f>Sales!$B1582*Sales!$A1582</f>
        <v>2096.3200000000002</v>
      </c>
      <c r="D1582" s="21">
        <v>38246</v>
      </c>
      <c r="E1582" s="22" t="s">
        <v>9</v>
      </c>
      <c r="F1582" s="22">
        <v>3</v>
      </c>
      <c r="G1582" s="22">
        <v>9</v>
      </c>
      <c r="H1582" s="22">
        <v>2004</v>
      </c>
      <c r="I1582" s="22" t="s">
        <v>10</v>
      </c>
      <c r="J1582" s="20">
        <v>76</v>
      </c>
      <c r="K1582" s="20">
        <f>Sales!$B1582-Sales!$J1582</f>
        <v>-10.489999999999995</v>
      </c>
      <c r="L1582" s="23">
        <f>(Sales!$J1582-Sales!$B1582)/Sales!$J1582</f>
        <v>0.13802631578947361</v>
      </c>
      <c r="M1582" s="23" t="str">
        <f t="shared" si="24"/>
        <v>10%-15%</v>
      </c>
      <c r="N1582" s="22" t="s">
        <v>100</v>
      </c>
      <c r="O1582" s="22" t="s">
        <v>101</v>
      </c>
      <c r="P1582" s="22" t="s">
        <v>17</v>
      </c>
      <c r="Q1582" s="22" t="s">
        <v>14</v>
      </c>
    </row>
    <row r="1583" spans="1:17" x14ac:dyDescent="0.3">
      <c r="A1583" s="27">
        <v>47</v>
      </c>
      <c r="B1583" s="24">
        <v>63.22</v>
      </c>
      <c r="C1583" s="25">
        <f>Sales!$B1583*Sales!$A1583</f>
        <v>2971.34</v>
      </c>
      <c r="D1583" s="26">
        <v>38275</v>
      </c>
      <c r="E1583" s="27" t="s">
        <v>9</v>
      </c>
      <c r="F1583" s="27">
        <v>4</v>
      </c>
      <c r="G1583" s="27">
        <v>10</v>
      </c>
      <c r="H1583" s="27">
        <v>2004</v>
      </c>
      <c r="I1583" s="27" t="s">
        <v>10</v>
      </c>
      <c r="J1583" s="25">
        <v>76</v>
      </c>
      <c r="K1583" s="25">
        <f>Sales!$B1583-Sales!$J1583</f>
        <v>-12.780000000000001</v>
      </c>
      <c r="L1583" s="28">
        <f>(Sales!$J1583-Sales!$B1583)/Sales!$J1583</f>
        <v>0.16815789473684212</v>
      </c>
      <c r="M1583" s="28" t="str">
        <f t="shared" si="24"/>
        <v>15%-20%</v>
      </c>
      <c r="N1583" s="27" t="s">
        <v>71</v>
      </c>
      <c r="O1583" s="27" t="s">
        <v>12</v>
      </c>
      <c r="P1583" s="27" t="s">
        <v>13</v>
      </c>
      <c r="Q1583" s="27" t="s">
        <v>14</v>
      </c>
    </row>
    <row r="1584" spans="1:17" x14ac:dyDescent="0.3">
      <c r="A1584" s="22">
        <v>26</v>
      </c>
      <c r="B1584" s="19">
        <v>86.83</v>
      </c>
      <c r="C1584" s="20">
        <f>Sales!$B1584*Sales!$A1584</f>
        <v>2257.58</v>
      </c>
      <c r="D1584" s="21">
        <v>38293</v>
      </c>
      <c r="E1584" s="22" t="s">
        <v>9</v>
      </c>
      <c r="F1584" s="22">
        <v>4</v>
      </c>
      <c r="G1584" s="22">
        <v>11</v>
      </c>
      <c r="H1584" s="22">
        <v>2004</v>
      </c>
      <c r="I1584" s="22" t="s">
        <v>10</v>
      </c>
      <c r="J1584" s="20">
        <v>76</v>
      </c>
      <c r="K1584" s="20">
        <f>Sales!$B1584-Sales!$J1584</f>
        <v>10.829999999999998</v>
      </c>
      <c r="L1584" s="23">
        <f>(Sales!$J1584-Sales!$B1584)/Sales!$J1584</f>
        <v>-0.14249999999999999</v>
      </c>
      <c r="M1584" s="23" t="str">
        <f t="shared" si="24"/>
        <v>Below 0%</v>
      </c>
      <c r="N1584" s="22" t="s">
        <v>36</v>
      </c>
      <c r="O1584" s="22" t="s">
        <v>12</v>
      </c>
      <c r="P1584" s="22" t="s">
        <v>13</v>
      </c>
      <c r="Q1584" s="22" t="s">
        <v>14</v>
      </c>
    </row>
    <row r="1585" spans="1:17" x14ac:dyDescent="0.3">
      <c r="A1585" s="27">
        <v>37</v>
      </c>
      <c r="B1585" s="24">
        <v>94.43</v>
      </c>
      <c r="C1585" s="25">
        <f>Sales!$B1585*Sales!$A1585</f>
        <v>3493.9100000000003</v>
      </c>
      <c r="D1585" s="26">
        <v>38306</v>
      </c>
      <c r="E1585" s="27" t="s">
        <v>9</v>
      </c>
      <c r="F1585" s="27">
        <v>4</v>
      </c>
      <c r="G1585" s="27">
        <v>11</v>
      </c>
      <c r="H1585" s="27">
        <v>2004</v>
      </c>
      <c r="I1585" s="27" t="s">
        <v>10</v>
      </c>
      <c r="J1585" s="25">
        <v>76</v>
      </c>
      <c r="K1585" s="25">
        <f>Sales!$B1585-Sales!$J1585</f>
        <v>18.430000000000007</v>
      </c>
      <c r="L1585" s="28">
        <f>(Sales!$J1585-Sales!$B1585)/Sales!$J1585</f>
        <v>-0.24250000000000008</v>
      </c>
      <c r="M1585" s="28" t="str">
        <f t="shared" si="24"/>
        <v>Below 0%</v>
      </c>
      <c r="N1585" s="27" t="s">
        <v>11</v>
      </c>
      <c r="O1585" s="27" t="s">
        <v>12</v>
      </c>
      <c r="P1585" s="27" t="s">
        <v>13</v>
      </c>
      <c r="Q1585" s="27" t="s">
        <v>19</v>
      </c>
    </row>
    <row r="1586" spans="1:17" x14ac:dyDescent="0.3">
      <c r="A1586" s="22">
        <v>55</v>
      </c>
      <c r="B1586" s="19">
        <v>79.98</v>
      </c>
      <c r="C1586" s="20">
        <f>Sales!$B1586*Sales!$A1586</f>
        <v>4398.9000000000005</v>
      </c>
      <c r="D1586" s="21">
        <v>38315</v>
      </c>
      <c r="E1586" s="22" t="s">
        <v>9</v>
      </c>
      <c r="F1586" s="22">
        <v>4</v>
      </c>
      <c r="G1586" s="22">
        <v>11</v>
      </c>
      <c r="H1586" s="22">
        <v>2004</v>
      </c>
      <c r="I1586" s="22" t="s">
        <v>10</v>
      </c>
      <c r="J1586" s="20">
        <v>76</v>
      </c>
      <c r="K1586" s="20">
        <f>Sales!$B1586-Sales!$J1586</f>
        <v>3.980000000000004</v>
      </c>
      <c r="L1586" s="23">
        <f>(Sales!$J1586-Sales!$B1586)/Sales!$J1586</f>
        <v>-5.2368421052631633E-2</v>
      </c>
      <c r="M1586" s="23" t="str">
        <f t="shared" si="24"/>
        <v>Below 0%</v>
      </c>
      <c r="N1586" s="22" t="s">
        <v>77</v>
      </c>
      <c r="O1586" s="22" t="s">
        <v>46</v>
      </c>
      <c r="P1586" s="22" t="s">
        <v>17</v>
      </c>
      <c r="Q1586" s="22" t="s">
        <v>19</v>
      </c>
    </row>
    <row r="1587" spans="1:17" x14ac:dyDescent="0.3">
      <c r="A1587" s="27">
        <v>21</v>
      </c>
      <c r="B1587" s="24">
        <v>100</v>
      </c>
      <c r="C1587" s="25">
        <f>Sales!$B1587*Sales!$A1587</f>
        <v>2100</v>
      </c>
      <c r="D1587" s="26">
        <v>38358</v>
      </c>
      <c r="E1587" s="27" t="s">
        <v>9</v>
      </c>
      <c r="F1587" s="27">
        <v>1</v>
      </c>
      <c r="G1587" s="27">
        <v>1</v>
      </c>
      <c r="H1587" s="27">
        <v>2005</v>
      </c>
      <c r="I1587" s="27" t="s">
        <v>10</v>
      </c>
      <c r="J1587" s="25">
        <v>76</v>
      </c>
      <c r="K1587" s="25">
        <f>Sales!$B1587-Sales!$J1587</f>
        <v>24</v>
      </c>
      <c r="L1587" s="28">
        <f>(Sales!$J1587-Sales!$B1587)/Sales!$J1587</f>
        <v>-0.31578947368421051</v>
      </c>
      <c r="M1587" s="28" t="str">
        <f t="shared" si="24"/>
        <v>Below 0%</v>
      </c>
      <c r="N1587" s="27" t="s">
        <v>99</v>
      </c>
      <c r="O1587" s="27" t="s">
        <v>34</v>
      </c>
      <c r="P1587" s="27" t="s">
        <v>17</v>
      </c>
      <c r="Q1587" s="27" t="s">
        <v>19</v>
      </c>
    </row>
    <row r="1588" spans="1:17" x14ac:dyDescent="0.3">
      <c r="A1588" s="22">
        <v>23</v>
      </c>
      <c r="B1588" s="19">
        <v>100</v>
      </c>
      <c r="C1588" s="20">
        <f>Sales!$B1588*Sales!$A1588</f>
        <v>2300</v>
      </c>
      <c r="D1588" s="21">
        <v>38386</v>
      </c>
      <c r="E1588" s="22" t="s">
        <v>9</v>
      </c>
      <c r="F1588" s="22">
        <v>1</v>
      </c>
      <c r="G1588" s="22">
        <v>2</v>
      </c>
      <c r="H1588" s="22">
        <v>2005</v>
      </c>
      <c r="I1588" s="22" t="s">
        <v>10</v>
      </c>
      <c r="J1588" s="20">
        <v>76</v>
      </c>
      <c r="K1588" s="20">
        <f>Sales!$B1588-Sales!$J1588</f>
        <v>24</v>
      </c>
      <c r="L1588" s="23">
        <f>(Sales!$J1588-Sales!$B1588)/Sales!$J1588</f>
        <v>-0.31578947368421051</v>
      </c>
      <c r="M1588" s="23" t="str">
        <f t="shared" si="24"/>
        <v>Below 0%</v>
      </c>
      <c r="N1588" s="22" t="s">
        <v>31</v>
      </c>
      <c r="O1588" s="22" t="s">
        <v>16</v>
      </c>
      <c r="P1588" s="22" t="s">
        <v>17</v>
      </c>
      <c r="Q1588" s="22" t="s">
        <v>14</v>
      </c>
    </row>
    <row r="1589" spans="1:17" x14ac:dyDescent="0.3">
      <c r="A1589" s="27">
        <v>49</v>
      </c>
      <c r="B1589" s="24">
        <v>81.400000000000006</v>
      </c>
      <c r="C1589" s="25">
        <f>Sales!$B1589*Sales!$A1589</f>
        <v>3988.6000000000004</v>
      </c>
      <c r="D1589" s="26">
        <v>38414</v>
      </c>
      <c r="E1589" s="27" t="s">
        <v>9</v>
      </c>
      <c r="F1589" s="27">
        <v>1</v>
      </c>
      <c r="G1589" s="27">
        <v>3</v>
      </c>
      <c r="H1589" s="27">
        <v>2005</v>
      </c>
      <c r="I1589" s="27" t="s">
        <v>10</v>
      </c>
      <c r="J1589" s="25">
        <v>76</v>
      </c>
      <c r="K1589" s="25">
        <f>Sales!$B1589-Sales!$J1589</f>
        <v>5.4000000000000057</v>
      </c>
      <c r="L1589" s="28">
        <f>(Sales!$J1589-Sales!$B1589)/Sales!$J1589</f>
        <v>-7.1052631578947437E-2</v>
      </c>
      <c r="M1589" s="28" t="str">
        <f t="shared" si="24"/>
        <v>Below 0%</v>
      </c>
      <c r="N1589" s="27" t="s">
        <v>62</v>
      </c>
      <c r="O1589" s="27" t="s">
        <v>49</v>
      </c>
      <c r="P1589" s="27" t="s">
        <v>17</v>
      </c>
      <c r="Q1589" s="27" t="s">
        <v>19</v>
      </c>
    </row>
    <row r="1590" spans="1:17" x14ac:dyDescent="0.3">
      <c r="A1590" s="22">
        <v>59</v>
      </c>
      <c r="B1590" s="19">
        <v>87.6</v>
      </c>
      <c r="C1590" s="20">
        <f>Sales!$B1590*Sales!$A1590</f>
        <v>5168.3999999999996</v>
      </c>
      <c r="D1590" s="21">
        <v>38449</v>
      </c>
      <c r="E1590" s="22" t="s">
        <v>9</v>
      </c>
      <c r="F1590" s="22">
        <v>2</v>
      </c>
      <c r="G1590" s="22">
        <v>4</v>
      </c>
      <c r="H1590" s="22">
        <v>2005</v>
      </c>
      <c r="I1590" s="22" t="s">
        <v>10</v>
      </c>
      <c r="J1590" s="20">
        <v>76</v>
      </c>
      <c r="K1590" s="20">
        <f>Sales!$B1590-Sales!$J1590</f>
        <v>11.599999999999994</v>
      </c>
      <c r="L1590" s="23">
        <f>(Sales!$J1590-Sales!$B1590)/Sales!$J1590</f>
        <v>-0.15263157894736834</v>
      </c>
      <c r="M1590" s="23" t="str">
        <f t="shared" si="24"/>
        <v>Below 0%</v>
      </c>
      <c r="N1590" s="22" t="s">
        <v>18</v>
      </c>
      <c r="O1590" s="22" t="s">
        <v>16</v>
      </c>
      <c r="P1590" s="22" t="s">
        <v>17</v>
      </c>
      <c r="Q1590" s="22" t="s">
        <v>19</v>
      </c>
    </row>
    <row r="1591" spans="1:17" x14ac:dyDescent="0.3">
      <c r="A1591" s="27">
        <v>32</v>
      </c>
      <c r="B1591" s="24">
        <v>87.6</v>
      </c>
      <c r="C1591" s="25">
        <f>Sales!$B1591*Sales!$A1591</f>
        <v>2803.2</v>
      </c>
      <c r="D1591" s="26">
        <v>38482</v>
      </c>
      <c r="E1591" s="27" t="s">
        <v>9</v>
      </c>
      <c r="F1591" s="27">
        <v>2</v>
      </c>
      <c r="G1591" s="27">
        <v>5</v>
      </c>
      <c r="H1591" s="27">
        <v>2005</v>
      </c>
      <c r="I1591" s="27" t="s">
        <v>10</v>
      </c>
      <c r="J1591" s="25">
        <v>76</v>
      </c>
      <c r="K1591" s="25">
        <f>Sales!$B1591-Sales!$J1591</f>
        <v>11.599999999999994</v>
      </c>
      <c r="L1591" s="28">
        <f>(Sales!$J1591-Sales!$B1591)/Sales!$J1591</f>
        <v>-0.15263157894736834</v>
      </c>
      <c r="M1591" s="28" t="str">
        <f t="shared" si="24"/>
        <v>Below 0%</v>
      </c>
      <c r="N1591" s="27" t="s">
        <v>97</v>
      </c>
      <c r="O1591" s="27" t="s">
        <v>61</v>
      </c>
      <c r="P1591" s="27" t="s">
        <v>17</v>
      </c>
      <c r="Q1591" s="27" t="s">
        <v>14</v>
      </c>
    </row>
    <row r="1592" spans="1:17" x14ac:dyDescent="0.3">
      <c r="A1592" s="22">
        <v>43</v>
      </c>
      <c r="B1592" s="19">
        <v>100</v>
      </c>
      <c r="C1592" s="20">
        <f>Sales!$B1592*Sales!$A1592</f>
        <v>4300</v>
      </c>
      <c r="D1592" s="21">
        <v>37663</v>
      </c>
      <c r="E1592" s="22" t="s">
        <v>9</v>
      </c>
      <c r="F1592" s="22">
        <v>1</v>
      </c>
      <c r="G1592" s="22">
        <v>2</v>
      </c>
      <c r="H1592" s="22">
        <v>2003</v>
      </c>
      <c r="I1592" s="22" t="s">
        <v>118</v>
      </c>
      <c r="J1592" s="20">
        <v>122</v>
      </c>
      <c r="K1592" s="20">
        <f>Sales!$B1592-Sales!$J1592</f>
        <v>-22</v>
      </c>
      <c r="L1592" s="23">
        <f>(Sales!$J1592-Sales!$B1592)/Sales!$J1592</f>
        <v>0.18032786885245902</v>
      </c>
      <c r="M1592" s="23" t="str">
        <f t="shared" si="24"/>
        <v>15%-20%</v>
      </c>
      <c r="N1592" s="22" t="s">
        <v>72</v>
      </c>
      <c r="O1592" s="22" t="s">
        <v>73</v>
      </c>
      <c r="P1592" s="22" t="s">
        <v>17</v>
      </c>
      <c r="Q1592" s="22" t="s">
        <v>19</v>
      </c>
    </row>
    <row r="1593" spans="1:17" x14ac:dyDescent="0.3">
      <c r="A1593" s="27">
        <v>41</v>
      </c>
      <c r="B1593" s="24">
        <v>100</v>
      </c>
      <c r="C1593" s="25">
        <f>Sales!$B1593*Sales!$A1593</f>
        <v>4100</v>
      </c>
      <c r="D1593" s="26">
        <v>37727</v>
      </c>
      <c r="E1593" s="27" t="s">
        <v>9</v>
      </c>
      <c r="F1593" s="27">
        <v>2</v>
      </c>
      <c r="G1593" s="27">
        <v>4</v>
      </c>
      <c r="H1593" s="27">
        <v>2003</v>
      </c>
      <c r="I1593" s="27" t="s">
        <v>118</v>
      </c>
      <c r="J1593" s="25">
        <v>122</v>
      </c>
      <c r="K1593" s="25">
        <f>Sales!$B1593-Sales!$J1593</f>
        <v>-22</v>
      </c>
      <c r="L1593" s="28">
        <f>(Sales!$J1593-Sales!$B1593)/Sales!$J1593</f>
        <v>0.18032786885245902</v>
      </c>
      <c r="M1593" s="28" t="str">
        <f t="shared" si="24"/>
        <v>15%-20%</v>
      </c>
      <c r="N1593" s="27" t="s">
        <v>50</v>
      </c>
      <c r="O1593" s="27" t="s">
        <v>50</v>
      </c>
      <c r="P1593" s="27" t="s">
        <v>28</v>
      </c>
      <c r="Q1593" s="27" t="s">
        <v>19</v>
      </c>
    </row>
    <row r="1594" spans="1:17" x14ac:dyDescent="0.3">
      <c r="A1594" s="22">
        <v>45</v>
      </c>
      <c r="B1594" s="19">
        <v>100</v>
      </c>
      <c r="C1594" s="20">
        <f>Sales!$B1594*Sales!$A1594</f>
        <v>4500</v>
      </c>
      <c r="D1594" s="21">
        <v>37784</v>
      </c>
      <c r="E1594" s="22" t="s">
        <v>9</v>
      </c>
      <c r="F1594" s="22">
        <v>2</v>
      </c>
      <c r="G1594" s="22">
        <v>6</v>
      </c>
      <c r="H1594" s="22">
        <v>2003</v>
      </c>
      <c r="I1594" s="22" t="s">
        <v>118</v>
      </c>
      <c r="J1594" s="20">
        <v>122</v>
      </c>
      <c r="K1594" s="20">
        <f>Sales!$B1594-Sales!$J1594</f>
        <v>-22</v>
      </c>
      <c r="L1594" s="23">
        <f>(Sales!$J1594-Sales!$B1594)/Sales!$J1594</f>
        <v>0.18032786885245902</v>
      </c>
      <c r="M1594" s="23" t="str">
        <f t="shared" si="24"/>
        <v>15%-20%</v>
      </c>
      <c r="N1594" s="22" t="s">
        <v>74</v>
      </c>
      <c r="O1594" s="22" t="s">
        <v>43</v>
      </c>
      <c r="P1594" s="22" t="s">
        <v>17</v>
      </c>
      <c r="Q1594" s="22" t="s">
        <v>19</v>
      </c>
    </row>
    <row r="1595" spans="1:17" x14ac:dyDescent="0.3">
      <c r="A1595" s="27">
        <v>33</v>
      </c>
      <c r="B1595" s="24">
        <v>100</v>
      </c>
      <c r="C1595" s="25">
        <f>Sales!$B1595*Sales!$A1595</f>
        <v>3300</v>
      </c>
      <c r="D1595" s="26">
        <v>37841</v>
      </c>
      <c r="E1595" s="27" t="s">
        <v>9</v>
      </c>
      <c r="F1595" s="27">
        <v>3</v>
      </c>
      <c r="G1595" s="27">
        <v>8</v>
      </c>
      <c r="H1595" s="27">
        <v>2003</v>
      </c>
      <c r="I1595" s="27" t="s">
        <v>118</v>
      </c>
      <c r="J1595" s="25">
        <v>122</v>
      </c>
      <c r="K1595" s="25">
        <f>Sales!$B1595-Sales!$J1595</f>
        <v>-22</v>
      </c>
      <c r="L1595" s="28">
        <f>(Sales!$J1595-Sales!$B1595)/Sales!$J1595</f>
        <v>0.18032786885245902</v>
      </c>
      <c r="M1595" s="28" t="str">
        <f t="shared" si="24"/>
        <v>15%-20%</v>
      </c>
      <c r="N1595" s="27" t="s">
        <v>64</v>
      </c>
      <c r="O1595" s="27" t="s">
        <v>12</v>
      </c>
      <c r="P1595" s="27" t="s">
        <v>13</v>
      </c>
      <c r="Q1595" s="27" t="s">
        <v>19</v>
      </c>
    </row>
    <row r="1596" spans="1:17" x14ac:dyDescent="0.3">
      <c r="A1596" s="22">
        <v>40</v>
      </c>
      <c r="B1596" s="19">
        <v>100</v>
      </c>
      <c r="C1596" s="20">
        <f>Sales!$B1596*Sales!$A1596</f>
        <v>4000</v>
      </c>
      <c r="D1596" s="21">
        <v>37892</v>
      </c>
      <c r="E1596" s="22" t="s">
        <v>9</v>
      </c>
      <c r="F1596" s="22">
        <v>3</v>
      </c>
      <c r="G1596" s="22">
        <v>9</v>
      </c>
      <c r="H1596" s="22">
        <v>2003</v>
      </c>
      <c r="I1596" s="22" t="s">
        <v>118</v>
      </c>
      <c r="J1596" s="20">
        <v>122</v>
      </c>
      <c r="K1596" s="20">
        <f>Sales!$B1596-Sales!$J1596</f>
        <v>-22</v>
      </c>
      <c r="L1596" s="23">
        <f>(Sales!$J1596-Sales!$B1596)/Sales!$J1596</f>
        <v>0.18032786885245902</v>
      </c>
      <c r="M1596" s="23" t="str">
        <f t="shared" si="24"/>
        <v>15%-20%</v>
      </c>
      <c r="N1596" s="22" t="s">
        <v>45</v>
      </c>
      <c r="O1596" s="22" t="s">
        <v>46</v>
      </c>
      <c r="P1596" s="22" t="s">
        <v>17</v>
      </c>
      <c r="Q1596" s="22" t="s">
        <v>19</v>
      </c>
    </row>
    <row r="1597" spans="1:17" x14ac:dyDescent="0.3">
      <c r="A1597" s="27">
        <v>33</v>
      </c>
      <c r="B1597" s="24">
        <v>100</v>
      </c>
      <c r="C1597" s="25">
        <f>Sales!$B1597*Sales!$A1597</f>
        <v>3300</v>
      </c>
      <c r="D1597" s="26">
        <v>37917</v>
      </c>
      <c r="E1597" s="27" t="s">
        <v>75</v>
      </c>
      <c r="F1597" s="27">
        <v>4</v>
      </c>
      <c r="G1597" s="27">
        <v>10</v>
      </c>
      <c r="H1597" s="27">
        <v>2003</v>
      </c>
      <c r="I1597" s="27" t="s">
        <v>118</v>
      </c>
      <c r="J1597" s="25">
        <v>122</v>
      </c>
      <c r="K1597" s="25">
        <f>Sales!$B1597-Sales!$J1597</f>
        <v>-22</v>
      </c>
      <c r="L1597" s="28">
        <f>(Sales!$J1597-Sales!$B1597)/Sales!$J1597</f>
        <v>0.18032786885245902</v>
      </c>
      <c r="M1597" s="28" t="str">
        <f t="shared" si="24"/>
        <v>15%-20%</v>
      </c>
      <c r="N1597" s="27" t="s">
        <v>62</v>
      </c>
      <c r="O1597" s="27" t="s">
        <v>49</v>
      </c>
      <c r="P1597" s="27" t="s">
        <v>17</v>
      </c>
      <c r="Q1597" s="27" t="s">
        <v>19</v>
      </c>
    </row>
    <row r="1598" spans="1:17" x14ac:dyDescent="0.3">
      <c r="A1598" s="22">
        <v>50</v>
      </c>
      <c r="B1598" s="19">
        <v>100</v>
      </c>
      <c r="C1598" s="20">
        <f>Sales!$B1598*Sales!$A1598</f>
        <v>5000</v>
      </c>
      <c r="D1598" s="21">
        <v>37932</v>
      </c>
      <c r="E1598" s="22" t="s">
        <v>9</v>
      </c>
      <c r="F1598" s="22">
        <v>4</v>
      </c>
      <c r="G1598" s="22">
        <v>11</v>
      </c>
      <c r="H1598" s="22">
        <v>2003</v>
      </c>
      <c r="I1598" s="22" t="s">
        <v>118</v>
      </c>
      <c r="J1598" s="20">
        <v>122</v>
      </c>
      <c r="K1598" s="20">
        <f>Sales!$B1598-Sales!$J1598</f>
        <v>-22</v>
      </c>
      <c r="L1598" s="23">
        <f>(Sales!$J1598-Sales!$B1598)/Sales!$J1598</f>
        <v>0.18032786885245902</v>
      </c>
      <c r="M1598" s="23" t="str">
        <f t="shared" si="24"/>
        <v>15%-20%</v>
      </c>
      <c r="N1598" s="22" t="s">
        <v>45</v>
      </c>
      <c r="O1598" s="22" t="s">
        <v>46</v>
      </c>
      <c r="P1598" s="22" t="s">
        <v>17</v>
      </c>
      <c r="Q1598" s="22" t="s">
        <v>19</v>
      </c>
    </row>
    <row r="1599" spans="1:17" x14ac:dyDescent="0.3">
      <c r="A1599" s="27">
        <v>30</v>
      </c>
      <c r="B1599" s="24">
        <v>100</v>
      </c>
      <c r="C1599" s="25">
        <f>Sales!$B1599*Sales!$A1599</f>
        <v>3000</v>
      </c>
      <c r="D1599" s="26">
        <v>37939</v>
      </c>
      <c r="E1599" s="27" t="s">
        <v>9</v>
      </c>
      <c r="F1599" s="27">
        <v>4</v>
      </c>
      <c r="G1599" s="27">
        <v>11</v>
      </c>
      <c r="H1599" s="27">
        <v>2003</v>
      </c>
      <c r="I1599" s="27" t="s">
        <v>118</v>
      </c>
      <c r="J1599" s="25">
        <v>122</v>
      </c>
      <c r="K1599" s="25">
        <f>Sales!$B1599-Sales!$J1599</f>
        <v>-22</v>
      </c>
      <c r="L1599" s="28">
        <f>(Sales!$J1599-Sales!$B1599)/Sales!$J1599</f>
        <v>0.18032786885245902</v>
      </c>
      <c r="M1599" s="28" t="str">
        <f t="shared" si="24"/>
        <v>15%-20%</v>
      </c>
      <c r="N1599" s="27" t="s">
        <v>41</v>
      </c>
      <c r="O1599" s="27" t="s">
        <v>12</v>
      </c>
      <c r="P1599" s="27" t="s">
        <v>13</v>
      </c>
      <c r="Q1599" s="27" t="s">
        <v>19</v>
      </c>
    </row>
    <row r="1600" spans="1:17" x14ac:dyDescent="0.3">
      <c r="A1600" s="22">
        <v>41</v>
      </c>
      <c r="B1600" s="19">
        <v>100</v>
      </c>
      <c r="C1600" s="20">
        <f>Sales!$B1600*Sales!$A1600</f>
        <v>4100</v>
      </c>
      <c r="D1600" s="21">
        <v>37951</v>
      </c>
      <c r="E1600" s="22" t="s">
        <v>9</v>
      </c>
      <c r="F1600" s="22">
        <v>4</v>
      </c>
      <c r="G1600" s="22">
        <v>11</v>
      </c>
      <c r="H1600" s="22">
        <v>2003</v>
      </c>
      <c r="I1600" s="22" t="s">
        <v>118</v>
      </c>
      <c r="J1600" s="20">
        <v>122</v>
      </c>
      <c r="K1600" s="20">
        <f>Sales!$B1600-Sales!$J1600</f>
        <v>-22</v>
      </c>
      <c r="L1600" s="23">
        <f>(Sales!$J1600-Sales!$B1600)/Sales!$J1600</f>
        <v>0.18032786885245902</v>
      </c>
      <c r="M1600" s="23" t="str">
        <f t="shared" si="24"/>
        <v>15%-20%</v>
      </c>
      <c r="N1600" s="22" t="s">
        <v>77</v>
      </c>
      <c r="O1600" s="22" t="s">
        <v>46</v>
      </c>
      <c r="P1600" s="22" t="s">
        <v>17</v>
      </c>
      <c r="Q1600" s="22" t="s">
        <v>19</v>
      </c>
    </row>
    <row r="1601" spans="1:17" x14ac:dyDescent="0.3">
      <c r="A1601" s="27">
        <v>35</v>
      </c>
      <c r="B1601" s="24">
        <v>100</v>
      </c>
      <c r="C1601" s="25">
        <f>Sales!$B1601*Sales!$A1601</f>
        <v>3500</v>
      </c>
      <c r="D1601" s="26">
        <v>37988</v>
      </c>
      <c r="E1601" s="27" t="s">
        <v>9</v>
      </c>
      <c r="F1601" s="27">
        <v>1</v>
      </c>
      <c r="G1601" s="27">
        <v>1</v>
      </c>
      <c r="H1601" s="27">
        <v>2004</v>
      </c>
      <c r="I1601" s="27" t="s">
        <v>118</v>
      </c>
      <c r="J1601" s="25">
        <v>122</v>
      </c>
      <c r="K1601" s="25">
        <f>Sales!$B1601-Sales!$J1601</f>
        <v>-22</v>
      </c>
      <c r="L1601" s="28">
        <f>(Sales!$J1601-Sales!$B1601)/Sales!$J1601</f>
        <v>0.18032786885245902</v>
      </c>
      <c r="M1601" s="28" t="str">
        <f t="shared" si="24"/>
        <v>15%-20%</v>
      </c>
      <c r="N1601" s="27" t="s">
        <v>54</v>
      </c>
      <c r="O1601" s="27" t="s">
        <v>16</v>
      </c>
      <c r="P1601" s="27" t="s">
        <v>17</v>
      </c>
      <c r="Q1601" s="27" t="s">
        <v>19</v>
      </c>
    </row>
    <row r="1602" spans="1:17" x14ac:dyDescent="0.3">
      <c r="A1602" s="22">
        <v>49</v>
      </c>
      <c r="B1602" s="19">
        <v>100</v>
      </c>
      <c r="C1602" s="20">
        <f>Sales!$B1602*Sales!$A1602</f>
        <v>4900</v>
      </c>
      <c r="D1602" s="21">
        <v>38035</v>
      </c>
      <c r="E1602" s="22" t="s">
        <v>9</v>
      </c>
      <c r="F1602" s="22">
        <v>1</v>
      </c>
      <c r="G1602" s="22">
        <v>2</v>
      </c>
      <c r="H1602" s="22">
        <v>2004</v>
      </c>
      <c r="I1602" s="22" t="s">
        <v>118</v>
      </c>
      <c r="J1602" s="20">
        <v>122</v>
      </c>
      <c r="K1602" s="20">
        <f>Sales!$B1602-Sales!$J1602</f>
        <v>-22</v>
      </c>
      <c r="L1602" s="23">
        <f>(Sales!$J1602-Sales!$B1602)/Sales!$J1602</f>
        <v>0.18032786885245902</v>
      </c>
      <c r="M1602" s="23" t="str">
        <f t="shared" si="24"/>
        <v>15%-20%</v>
      </c>
      <c r="N1602" s="22" t="s">
        <v>80</v>
      </c>
      <c r="O1602" s="22" t="s">
        <v>81</v>
      </c>
      <c r="P1602" s="22" t="s">
        <v>17</v>
      </c>
      <c r="Q1602" s="22" t="s">
        <v>19</v>
      </c>
    </row>
    <row r="1603" spans="1:17" x14ac:dyDescent="0.3">
      <c r="A1603" s="27">
        <v>46</v>
      </c>
      <c r="B1603" s="24">
        <v>100</v>
      </c>
      <c r="C1603" s="25">
        <f>Sales!$B1603*Sales!$A1603</f>
        <v>4600</v>
      </c>
      <c r="D1603" s="26">
        <v>38066</v>
      </c>
      <c r="E1603" s="27" t="s">
        <v>9</v>
      </c>
      <c r="F1603" s="27">
        <v>1</v>
      </c>
      <c r="G1603" s="27">
        <v>3</v>
      </c>
      <c r="H1603" s="27">
        <v>2004</v>
      </c>
      <c r="I1603" s="27" t="s">
        <v>118</v>
      </c>
      <c r="J1603" s="25">
        <v>122</v>
      </c>
      <c r="K1603" s="25">
        <f>Sales!$B1603-Sales!$J1603</f>
        <v>-22</v>
      </c>
      <c r="L1603" s="28">
        <f>(Sales!$J1603-Sales!$B1603)/Sales!$J1603</f>
        <v>0.18032786885245902</v>
      </c>
      <c r="M1603" s="28" t="str">
        <f t="shared" ref="M1603:M1666" si="25">IF(L1603&lt;0%,"Below 0%",IF(L1603=0%,"0%",IF(AND(L1603&lt;=5%,L1603&gt;0%),"0%-5%",IF(AND(L1603&lt;=10%,L1603&gt;5%),"5%-10%",IF(AND(L1603&lt;=15%,L1603&gt;10%),"10%-15%",IF(AND(L1603&lt;=20%,L1603&gt;15%),"15%-20%","+20%"))))))</f>
        <v>15%-20%</v>
      </c>
      <c r="N1603" s="27" t="s">
        <v>84</v>
      </c>
      <c r="O1603" s="27" t="s">
        <v>43</v>
      </c>
      <c r="P1603" s="27" t="s">
        <v>17</v>
      </c>
      <c r="Q1603" s="27" t="s">
        <v>19</v>
      </c>
    </row>
    <row r="1604" spans="1:17" x14ac:dyDescent="0.3">
      <c r="A1604" s="22">
        <v>48</v>
      </c>
      <c r="B1604" s="19">
        <v>100</v>
      </c>
      <c r="C1604" s="20">
        <f>Sales!$B1604*Sales!$A1604</f>
        <v>4800</v>
      </c>
      <c r="D1604" s="21">
        <v>38114</v>
      </c>
      <c r="E1604" s="22" t="s">
        <v>75</v>
      </c>
      <c r="F1604" s="22">
        <v>2</v>
      </c>
      <c r="G1604" s="22">
        <v>5</v>
      </c>
      <c r="H1604" s="22">
        <v>2004</v>
      </c>
      <c r="I1604" s="22" t="s">
        <v>118</v>
      </c>
      <c r="J1604" s="20">
        <v>122</v>
      </c>
      <c r="K1604" s="20">
        <f>Sales!$B1604-Sales!$J1604</f>
        <v>-22</v>
      </c>
      <c r="L1604" s="23">
        <f>(Sales!$J1604-Sales!$B1604)/Sales!$J1604</f>
        <v>0.18032786885245902</v>
      </c>
      <c r="M1604" s="23" t="str">
        <f t="shared" si="25"/>
        <v>15%-20%</v>
      </c>
      <c r="N1604" s="22" t="s">
        <v>11</v>
      </c>
      <c r="O1604" s="22" t="s">
        <v>12</v>
      </c>
      <c r="P1604" s="22" t="s">
        <v>13</v>
      </c>
      <c r="Q1604" s="22" t="s">
        <v>19</v>
      </c>
    </row>
    <row r="1605" spans="1:17" x14ac:dyDescent="0.3">
      <c r="A1605" s="27">
        <v>36</v>
      </c>
      <c r="B1605" s="24">
        <v>100</v>
      </c>
      <c r="C1605" s="25">
        <f>Sales!$B1605*Sales!$A1605</f>
        <v>3600</v>
      </c>
      <c r="D1605" s="26">
        <v>38155</v>
      </c>
      <c r="E1605" s="27" t="s">
        <v>9</v>
      </c>
      <c r="F1605" s="27">
        <v>2</v>
      </c>
      <c r="G1605" s="27">
        <v>6</v>
      </c>
      <c r="H1605" s="27">
        <v>2004</v>
      </c>
      <c r="I1605" s="27" t="s">
        <v>118</v>
      </c>
      <c r="J1605" s="25">
        <v>122</v>
      </c>
      <c r="K1605" s="25">
        <f>Sales!$B1605-Sales!$J1605</f>
        <v>-22</v>
      </c>
      <c r="L1605" s="28">
        <f>(Sales!$J1605-Sales!$B1605)/Sales!$J1605</f>
        <v>0.18032786885245902</v>
      </c>
      <c r="M1605" s="28" t="str">
        <f t="shared" si="25"/>
        <v>15%-20%</v>
      </c>
      <c r="N1605" s="27" t="s">
        <v>68</v>
      </c>
      <c r="O1605" s="27" t="s">
        <v>56</v>
      </c>
      <c r="P1605" s="27" t="s">
        <v>13</v>
      </c>
      <c r="Q1605" s="27" t="s">
        <v>19</v>
      </c>
    </row>
    <row r="1606" spans="1:17" x14ac:dyDescent="0.3">
      <c r="A1606" s="22">
        <v>22</v>
      </c>
      <c r="B1606" s="19">
        <v>100</v>
      </c>
      <c r="C1606" s="20">
        <f>Sales!$B1606*Sales!$A1606</f>
        <v>2200</v>
      </c>
      <c r="D1606" s="21">
        <v>38189</v>
      </c>
      <c r="E1606" s="22" t="s">
        <v>9</v>
      </c>
      <c r="F1606" s="22">
        <v>3</v>
      </c>
      <c r="G1606" s="22">
        <v>7</v>
      </c>
      <c r="H1606" s="22">
        <v>2004</v>
      </c>
      <c r="I1606" s="22" t="s">
        <v>118</v>
      </c>
      <c r="J1606" s="20">
        <v>122</v>
      </c>
      <c r="K1606" s="20">
        <f>Sales!$B1606-Sales!$J1606</f>
        <v>-22</v>
      </c>
      <c r="L1606" s="23">
        <f>(Sales!$J1606-Sales!$B1606)/Sales!$J1606</f>
        <v>0.18032786885245902</v>
      </c>
      <c r="M1606" s="23" t="str">
        <f t="shared" si="25"/>
        <v>15%-20%</v>
      </c>
      <c r="N1606" s="22" t="s">
        <v>80</v>
      </c>
      <c r="O1606" s="22" t="s">
        <v>81</v>
      </c>
      <c r="P1606" s="22" t="s">
        <v>17</v>
      </c>
      <c r="Q1606" s="22" t="s">
        <v>14</v>
      </c>
    </row>
    <row r="1607" spans="1:17" x14ac:dyDescent="0.3">
      <c r="A1607" s="27">
        <v>42</v>
      </c>
      <c r="B1607" s="24">
        <v>100</v>
      </c>
      <c r="C1607" s="25">
        <f>Sales!$B1607*Sales!$A1607</f>
        <v>4200</v>
      </c>
      <c r="D1607" s="26">
        <v>38219</v>
      </c>
      <c r="E1607" s="27" t="s">
        <v>9</v>
      </c>
      <c r="F1607" s="27">
        <v>3</v>
      </c>
      <c r="G1607" s="27">
        <v>8</v>
      </c>
      <c r="H1607" s="27">
        <v>2004</v>
      </c>
      <c r="I1607" s="27" t="s">
        <v>118</v>
      </c>
      <c r="J1607" s="25">
        <v>122</v>
      </c>
      <c r="K1607" s="25">
        <f>Sales!$B1607-Sales!$J1607</f>
        <v>-22</v>
      </c>
      <c r="L1607" s="28">
        <f>(Sales!$J1607-Sales!$B1607)/Sales!$J1607</f>
        <v>0.18032786885245902</v>
      </c>
      <c r="M1607" s="28" t="str">
        <f t="shared" si="25"/>
        <v>15%-20%</v>
      </c>
      <c r="N1607" s="27" t="s">
        <v>82</v>
      </c>
      <c r="O1607" s="27" t="s">
        <v>56</v>
      </c>
      <c r="P1607" s="27" t="s">
        <v>13</v>
      </c>
      <c r="Q1607" s="27" t="s">
        <v>19</v>
      </c>
    </row>
    <row r="1608" spans="1:17" x14ac:dyDescent="0.3">
      <c r="A1608" s="22">
        <v>21</v>
      </c>
      <c r="B1608" s="19">
        <v>100</v>
      </c>
      <c r="C1608" s="20">
        <f>Sales!$B1608*Sales!$A1608</f>
        <v>2100</v>
      </c>
      <c r="D1608" s="21">
        <v>38239</v>
      </c>
      <c r="E1608" s="22" t="s">
        <v>9</v>
      </c>
      <c r="F1608" s="22">
        <v>3</v>
      </c>
      <c r="G1608" s="22">
        <v>9</v>
      </c>
      <c r="H1608" s="22">
        <v>2004</v>
      </c>
      <c r="I1608" s="22" t="s">
        <v>118</v>
      </c>
      <c r="J1608" s="20">
        <v>122</v>
      </c>
      <c r="K1608" s="20">
        <f>Sales!$B1608-Sales!$J1608</f>
        <v>-22</v>
      </c>
      <c r="L1608" s="23">
        <f>(Sales!$J1608-Sales!$B1608)/Sales!$J1608</f>
        <v>0.18032786885245902</v>
      </c>
      <c r="M1608" s="23" t="str">
        <f t="shared" si="25"/>
        <v>15%-20%</v>
      </c>
      <c r="N1608" s="22" t="s">
        <v>60</v>
      </c>
      <c r="O1608" s="22" t="s">
        <v>61</v>
      </c>
      <c r="P1608" s="22" t="s">
        <v>17</v>
      </c>
      <c r="Q1608" s="22" t="s">
        <v>14</v>
      </c>
    </row>
    <row r="1609" spans="1:17" x14ac:dyDescent="0.3">
      <c r="A1609" s="27">
        <v>29</v>
      </c>
      <c r="B1609" s="24">
        <v>100</v>
      </c>
      <c r="C1609" s="25">
        <f>Sales!$B1609*Sales!$A1609</f>
        <v>2900</v>
      </c>
      <c r="D1609" s="26">
        <v>38274</v>
      </c>
      <c r="E1609" s="27" t="s">
        <v>9</v>
      </c>
      <c r="F1609" s="27">
        <v>4</v>
      </c>
      <c r="G1609" s="27">
        <v>10</v>
      </c>
      <c r="H1609" s="27">
        <v>2004</v>
      </c>
      <c r="I1609" s="27" t="s">
        <v>118</v>
      </c>
      <c r="J1609" s="25">
        <v>122</v>
      </c>
      <c r="K1609" s="25">
        <f>Sales!$B1609-Sales!$J1609</f>
        <v>-22</v>
      </c>
      <c r="L1609" s="28">
        <f>(Sales!$J1609-Sales!$B1609)/Sales!$J1609</f>
        <v>0.18032786885245902</v>
      </c>
      <c r="M1609" s="28" t="str">
        <f t="shared" si="25"/>
        <v>15%-20%</v>
      </c>
      <c r="N1609" s="27" t="s">
        <v>102</v>
      </c>
      <c r="O1609" s="27" t="s">
        <v>43</v>
      </c>
      <c r="P1609" s="27" t="s">
        <v>17</v>
      </c>
      <c r="Q1609" s="27" t="s">
        <v>19</v>
      </c>
    </row>
    <row r="1610" spans="1:17" x14ac:dyDescent="0.3">
      <c r="A1610" s="22">
        <v>35</v>
      </c>
      <c r="B1610" s="19">
        <v>100</v>
      </c>
      <c r="C1610" s="20">
        <f>Sales!$B1610*Sales!$A1610</f>
        <v>3500</v>
      </c>
      <c r="D1610" s="21">
        <v>38289</v>
      </c>
      <c r="E1610" s="22" t="s">
        <v>9</v>
      </c>
      <c r="F1610" s="22">
        <v>4</v>
      </c>
      <c r="G1610" s="22">
        <v>10</v>
      </c>
      <c r="H1610" s="22">
        <v>2004</v>
      </c>
      <c r="I1610" s="22" t="s">
        <v>118</v>
      </c>
      <c r="J1610" s="20">
        <v>122</v>
      </c>
      <c r="K1610" s="20">
        <f>Sales!$B1610-Sales!$J1610</f>
        <v>-22</v>
      </c>
      <c r="L1610" s="23">
        <f>(Sales!$J1610-Sales!$B1610)/Sales!$J1610</f>
        <v>0.18032786885245902</v>
      </c>
      <c r="M1610" s="23" t="str">
        <f t="shared" si="25"/>
        <v>15%-20%</v>
      </c>
      <c r="N1610" s="22" t="s">
        <v>31</v>
      </c>
      <c r="O1610" s="22" t="s">
        <v>16</v>
      </c>
      <c r="P1610" s="22" t="s">
        <v>17</v>
      </c>
      <c r="Q1610" s="22" t="s">
        <v>19</v>
      </c>
    </row>
    <row r="1611" spans="1:17" x14ac:dyDescent="0.3">
      <c r="A1611" s="27">
        <v>41</v>
      </c>
      <c r="B1611" s="24">
        <v>100</v>
      </c>
      <c r="C1611" s="25">
        <f>Sales!$B1611*Sales!$A1611</f>
        <v>4100</v>
      </c>
      <c r="D1611" s="26">
        <v>38300</v>
      </c>
      <c r="E1611" s="27" t="s">
        <v>9</v>
      </c>
      <c r="F1611" s="27">
        <v>4</v>
      </c>
      <c r="G1611" s="27">
        <v>11</v>
      </c>
      <c r="H1611" s="27">
        <v>2004</v>
      </c>
      <c r="I1611" s="27" t="s">
        <v>118</v>
      </c>
      <c r="J1611" s="25">
        <v>122</v>
      </c>
      <c r="K1611" s="25">
        <f>Sales!$B1611-Sales!$J1611</f>
        <v>-22</v>
      </c>
      <c r="L1611" s="28">
        <f>(Sales!$J1611-Sales!$B1611)/Sales!$J1611</f>
        <v>0.18032786885245902</v>
      </c>
      <c r="M1611" s="28" t="str">
        <f t="shared" si="25"/>
        <v>15%-20%</v>
      </c>
      <c r="N1611" s="27" t="s">
        <v>48</v>
      </c>
      <c r="O1611" s="27" t="s">
        <v>49</v>
      </c>
      <c r="P1611" s="27" t="s">
        <v>17</v>
      </c>
      <c r="Q1611" s="27" t="s">
        <v>19</v>
      </c>
    </row>
    <row r="1612" spans="1:17" x14ac:dyDescent="0.3">
      <c r="A1612" s="22">
        <v>29</v>
      </c>
      <c r="B1612" s="19">
        <v>71.97</v>
      </c>
      <c r="C1612" s="20">
        <f>Sales!$B1612*Sales!$A1612</f>
        <v>2087.13</v>
      </c>
      <c r="D1612" s="21">
        <v>38312</v>
      </c>
      <c r="E1612" s="22" t="s">
        <v>9</v>
      </c>
      <c r="F1612" s="22">
        <v>4</v>
      </c>
      <c r="G1612" s="22">
        <v>11</v>
      </c>
      <c r="H1612" s="22">
        <v>2004</v>
      </c>
      <c r="I1612" s="22" t="s">
        <v>118</v>
      </c>
      <c r="J1612" s="20">
        <v>122</v>
      </c>
      <c r="K1612" s="20">
        <f>Sales!$B1612-Sales!$J1612</f>
        <v>-50.03</v>
      </c>
      <c r="L1612" s="23">
        <f>(Sales!$J1612-Sales!$B1612)/Sales!$J1612</f>
        <v>0.41008196721311474</v>
      </c>
      <c r="M1612" s="23" t="str">
        <f t="shared" si="25"/>
        <v>+20%</v>
      </c>
      <c r="N1612" s="22" t="s">
        <v>11</v>
      </c>
      <c r="O1612" s="22" t="s">
        <v>12</v>
      </c>
      <c r="P1612" s="22" t="s">
        <v>13</v>
      </c>
      <c r="Q1612" s="22" t="s">
        <v>14</v>
      </c>
    </row>
    <row r="1613" spans="1:17" x14ac:dyDescent="0.3">
      <c r="A1613" s="27">
        <v>34</v>
      </c>
      <c r="B1613" s="24">
        <v>50.33</v>
      </c>
      <c r="C1613" s="25">
        <f>Sales!$B1613*Sales!$A1613</f>
        <v>1711.22</v>
      </c>
      <c r="D1613" s="26">
        <v>38323</v>
      </c>
      <c r="E1613" s="27" t="s">
        <v>9</v>
      </c>
      <c r="F1613" s="27">
        <v>4</v>
      </c>
      <c r="G1613" s="27">
        <v>12</v>
      </c>
      <c r="H1613" s="27">
        <v>2004</v>
      </c>
      <c r="I1613" s="27" t="s">
        <v>118</v>
      </c>
      <c r="J1613" s="25">
        <v>122</v>
      </c>
      <c r="K1613" s="25">
        <f>Sales!$B1613-Sales!$J1613</f>
        <v>-71.67</v>
      </c>
      <c r="L1613" s="28">
        <f>(Sales!$J1613-Sales!$B1613)/Sales!$J1613</f>
        <v>0.58745901639344267</v>
      </c>
      <c r="M1613" s="28" t="str">
        <f t="shared" si="25"/>
        <v>+20%</v>
      </c>
      <c r="N1613" s="27" t="s">
        <v>45</v>
      </c>
      <c r="O1613" s="27" t="s">
        <v>46</v>
      </c>
      <c r="P1613" s="27" t="s">
        <v>17</v>
      </c>
      <c r="Q1613" s="27" t="s">
        <v>14</v>
      </c>
    </row>
    <row r="1614" spans="1:17" x14ac:dyDescent="0.3">
      <c r="A1614" s="22">
        <v>37</v>
      </c>
      <c r="B1614" s="19">
        <v>100</v>
      </c>
      <c r="C1614" s="20">
        <f>Sales!$B1614*Sales!$A1614</f>
        <v>3700</v>
      </c>
      <c r="D1614" s="21">
        <v>38378</v>
      </c>
      <c r="E1614" s="22" t="s">
        <v>9</v>
      </c>
      <c r="F1614" s="22">
        <v>1</v>
      </c>
      <c r="G1614" s="22">
        <v>1</v>
      </c>
      <c r="H1614" s="22">
        <v>2005</v>
      </c>
      <c r="I1614" s="22" t="s">
        <v>118</v>
      </c>
      <c r="J1614" s="20">
        <v>122</v>
      </c>
      <c r="K1614" s="20">
        <f>Sales!$B1614-Sales!$J1614</f>
        <v>-22</v>
      </c>
      <c r="L1614" s="23">
        <f>(Sales!$J1614-Sales!$B1614)/Sales!$J1614</f>
        <v>0.18032786885245902</v>
      </c>
      <c r="M1614" s="23" t="str">
        <f t="shared" si="25"/>
        <v>15%-20%</v>
      </c>
      <c r="N1614" s="22" t="s">
        <v>59</v>
      </c>
      <c r="O1614" s="22" t="s">
        <v>51</v>
      </c>
      <c r="P1614" s="22" t="s">
        <v>51</v>
      </c>
      <c r="Q1614" s="22" t="s">
        <v>19</v>
      </c>
    </row>
    <row r="1615" spans="1:17" x14ac:dyDescent="0.3">
      <c r="A1615" s="27">
        <v>28</v>
      </c>
      <c r="B1615" s="24">
        <v>80.540000000000006</v>
      </c>
      <c r="C1615" s="25">
        <f>Sales!$B1615*Sales!$A1615</f>
        <v>2255.1200000000003</v>
      </c>
      <c r="D1615" s="26">
        <v>38406</v>
      </c>
      <c r="E1615" s="27" t="s">
        <v>9</v>
      </c>
      <c r="F1615" s="27">
        <v>1</v>
      </c>
      <c r="G1615" s="27">
        <v>2</v>
      </c>
      <c r="H1615" s="27">
        <v>2005</v>
      </c>
      <c r="I1615" s="27" t="s">
        <v>118</v>
      </c>
      <c r="J1615" s="25">
        <v>122</v>
      </c>
      <c r="K1615" s="25">
        <f>Sales!$B1615-Sales!$J1615</f>
        <v>-41.459999999999994</v>
      </c>
      <c r="L1615" s="28">
        <f>(Sales!$J1615-Sales!$B1615)/Sales!$J1615</f>
        <v>0.33983606557377044</v>
      </c>
      <c r="M1615" s="28" t="str">
        <f t="shared" si="25"/>
        <v>+20%</v>
      </c>
      <c r="N1615" s="27" t="s">
        <v>21</v>
      </c>
      <c r="O1615" s="27" t="s">
        <v>12</v>
      </c>
      <c r="P1615" s="27" t="s">
        <v>13</v>
      </c>
      <c r="Q1615" s="27" t="s">
        <v>14</v>
      </c>
    </row>
    <row r="1616" spans="1:17" x14ac:dyDescent="0.3">
      <c r="A1616" s="22">
        <v>49</v>
      </c>
      <c r="B1616" s="19">
        <v>100</v>
      </c>
      <c r="C1616" s="20">
        <f>Sales!$B1616*Sales!$A1616</f>
        <v>4900</v>
      </c>
      <c r="D1616" s="21">
        <v>38434</v>
      </c>
      <c r="E1616" s="22" t="s">
        <v>9</v>
      </c>
      <c r="F1616" s="22">
        <v>1</v>
      </c>
      <c r="G1616" s="22">
        <v>3</v>
      </c>
      <c r="H1616" s="22">
        <v>2005</v>
      </c>
      <c r="I1616" s="22" t="s">
        <v>118</v>
      </c>
      <c r="J1616" s="20">
        <v>122</v>
      </c>
      <c r="K1616" s="20">
        <f>Sales!$B1616-Sales!$J1616</f>
        <v>-22</v>
      </c>
      <c r="L1616" s="23">
        <f>(Sales!$J1616-Sales!$B1616)/Sales!$J1616</f>
        <v>0.18032786885245902</v>
      </c>
      <c r="M1616" s="23" t="str">
        <f t="shared" si="25"/>
        <v>15%-20%</v>
      </c>
      <c r="N1616" s="22" t="s">
        <v>64</v>
      </c>
      <c r="O1616" s="22" t="s">
        <v>12</v>
      </c>
      <c r="P1616" s="22" t="s">
        <v>13</v>
      </c>
      <c r="Q1616" s="22" t="s">
        <v>19</v>
      </c>
    </row>
    <row r="1617" spans="1:17" x14ac:dyDescent="0.3">
      <c r="A1617" s="27">
        <v>23</v>
      </c>
      <c r="B1617" s="24">
        <v>100</v>
      </c>
      <c r="C1617" s="25">
        <f>Sales!$B1617*Sales!$A1617</f>
        <v>2300</v>
      </c>
      <c r="D1617" s="26">
        <v>38478</v>
      </c>
      <c r="E1617" s="27" t="s">
        <v>87</v>
      </c>
      <c r="F1617" s="27">
        <v>2</v>
      </c>
      <c r="G1617" s="27">
        <v>5</v>
      </c>
      <c r="H1617" s="27">
        <v>2005</v>
      </c>
      <c r="I1617" s="27" t="s">
        <v>118</v>
      </c>
      <c r="J1617" s="25">
        <v>122</v>
      </c>
      <c r="K1617" s="25">
        <f>Sales!$B1617-Sales!$J1617</f>
        <v>-22</v>
      </c>
      <c r="L1617" s="28">
        <f>(Sales!$J1617-Sales!$B1617)/Sales!$J1617</f>
        <v>0.18032786885245902</v>
      </c>
      <c r="M1617" s="28" t="str">
        <f t="shared" si="25"/>
        <v>15%-20%</v>
      </c>
      <c r="N1617" s="27" t="s">
        <v>83</v>
      </c>
      <c r="O1617" s="27" t="s">
        <v>12</v>
      </c>
      <c r="P1617" s="27" t="s">
        <v>13</v>
      </c>
      <c r="Q1617" s="27" t="s">
        <v>19</v>
      </c>
    </row>
    <row r="1618" spans="1:17" x14ac:dyDescent="0.3">
      <c r="A1618" s="22">
        <v>46</v>
      </c>
      <c r="B1618" s="19">
        <v>53.76</v>
      </c>
      <c r="C1618" s="20">
        <f>Sales!$B1618*Sales!$A1618</f>
        <v>2472.96</v>
      </c>
      <c r="D1618" s="21">
        <v>37630</v>
      </c>
      <c r="E1618" s="22" t="s">
        <v>9</v>
      </c>
      <c r="F1618" s="22">
        <v>1</v>
      </c>
      <c r="G1618" s="22">
        <v>1</v>
      </c>
      <c r="H1618" s="22">
        <v>2003</v>
      </c>
      <c r="I1618" s="22" t="s">
        <v>112</v>
      </c>
      <c r="J1618" s="20">
        <v>44</v>
      </c>
      <c r="K1618" s="20">
        <f>Sales!$B1618-Sales!$J1618</f>
        <v>9.759999999999998</v>
      </c>
      <c r="L1618" s="23">
        <f>(Sales!$J1618-Sales!$B1618)/Sales!$J1618</f>
        <v>-0.22181818181818178</v>
      </c>
      <c r="M1618" s="23" t="str">
        <f t="shared" si="25"/>
        <v>Below 0%</v>
      </c>
      <c r="N1618" s="22" t="s">
        <v>98</v>
      </c>
      <c r="O1618" s="22" t="s">
        <v>94</v>
      </c>
      <c r="P1618" s="22" t="s">
        <v>17</v>
      </c>
      <c r="Q1618" s="22" t="s">
        <v>14</v>
      </c>
    </row>
    <row r="1619" spans="1:17" x14ac:dyDescent="0.3">
      <c r="A1619" s="27">
        <v>39</v>
      </c>
      <c r="B1619" s="24">
        <v>44.35</v>
      </c>
      <c r="C1619" s="25">
        <f>Sales!$B1619*Sales!$A1619</f>
        <v>1729.65</v>
      </c>
      <c r="D1619" s="26">
        <v>37698</v>
      </c>
      <c r="E1619" s="27" t="s">
        <v>9</v>
      </c>
      <c r="F1619" s="27">
        <v>1</v>
      </c>
      <c r="G1619" s="27">
        <v>3</v>
      </c>
      <c r="H1619" s="27">
        <v>2003</v>
      </c>
      <c r="I1619" s="27" t="s">
        <v>112</v>
      </c>
      <c r="J1619" s="25">
        <v>44</v>
      </c>
      <c r="K1619" s="25">
        <f>Sales!$B1619-Sales!$J1619</f>
        <v>0.35000000000000142</v>
      </c>
      <c r="L1619" s="28">
        <f>(Sales!$J1619-Sales!$B1619)/Sales!$J1619</f>
        <v>-7.9545454545454867E-3</v>
      </c>
      <c r="M1619" s="28" t="str">
        <f t="shared" si="25"/>
        <v>Below 0%</v>
      </c>
      <c r="N1619" s="27" t="s">
        <v>102</v>
      </c>
      <c r="O1619" s="27" t="s">
        <v>43</v>
      </c>
      <c r="P1619" s="27" t="s">
        <v>17</v>
      </c>
      <c r="Q1619" s="27" t="s">
        <v>14</v>
      </c>
    </row>
    <row r="1620" spans="1:17" x14ac:dyDescent="0.3">
      <c r="A1620" s="22">
        <v>22</v>
      </c>
      <c r="B1620" s="19">
        <v>45.25</v>
      </c>
      <c r="C1620" s="20">
        <f>Sales!$B1620*Sales!$A1620</f>
        <v>995.5</v>
      </c>
      <c r="D1620" s="21">
        <v>37762</v>
      </c>
      <c r="E1620" s="22" t="s">
        <v>9</v>
      </c>
      <c r="F1620" s="22">
        <v>2</v>
      </c>
      <c r="G1620" s="22">
        <v>5</v>
      </c>
      <c r="H1620" s="22">
        <v>2003</v>
      </c>
      <c r="I1620" s="22" t="s">
        <v>112</v>
      </c>
      <c r="J1620" s="20">
        <v>44</v>
      </c>
      <c r="K1620" s="20">
        <f>Sales!$B1620-Sales!$J1620</f>
        <v>1.25</v>
      </c>
      <c r="L1620" s="23">
        <f>(Sales!$J1620-Sales!$B1620)/Sales!$J1620</f>
        <v>-2.8409090909090908E-2</v>
      </c>
      <c r="M1620" s="23" t="str">
        <f t="shared" si="25"/>
        <v>Below 0%</v>
      </c>
      <c r="N1620" s="22" t="s">
        <v>109</v>
      </c>
      <c r="O1620" s="22" t="s">
        <v>12</v>
      </c>
      <c r="P1620" s="22" t="s">
        <v>13</v>
      </c>
      <c r="Q1620" s="22" t="s">
        <v>14</v>
      </c>
    </row>
    <row r="1621" spans="1:17" x14ac:dyDescent="0.3">
      <c r="A1621" s="27">
        <v>49</v>
      </c>
      <c r="B1621" s="24">
        <v>49.28</v>
      </c>
      <c r="C1621" s="25">
        <f>Sales!$B1621*Sales!$A1621</f>
        <v>2414.7200000000003</v>
      </c>
      <c r="D1621" s="26">
        <v>37876</v>
      </c>
      <c r="E1621" s="27" t="s">
        <v>9</v>
      </c>
      <c r="F1621" s="27">
        <v>3</v>
      </c>
      <c r="G1621" s="27">
        <v>9</v>
      </c>
      <c r="H1621" s="27">
        <v>2003</v>
      </c>
      <c r="I1621" s="27" t="s">
        <v>112</v>
      </c>
      <c r="J1621" s="25">
        <v>44</v>
      </c>
      <c r="K1621" s="25">
        <f>Sales!$B1621-Sales!$J1621</f>
        <v>5.2800000000000011</v>
      </c>
      <c r="L1621" s="28">
        <f>(Sales!$J1621-Sales!$B1621)/Sales!$J1621</f>
        <v>-0.12000000000000002</v>
      </c>
      <c r="M1621" s="28" t="str">
        <f t="shared" si="25"/>
        <v>Below 0%</v>
      </c>
      <c r="N1621" s="27" t="s">
        <v>107</v>
      </c>
      <c r="O1621" s="27" t="s">
        <v>12</v>
      </c>
      <c r="P1621" s="27" t="s">
        <v>13</v>
      </c>
      <c r="Q1621" s="27" t="s">
        <v>14</v>
      </c>
    </row>
    <row r="1622" spans="1:17" x14ac:dyDescent="0.3">
      <c r="A1622" s="22">
        <v>43</v>
      </c>
      <c r="B1622" s="19">
        <v>36.29</v>
      </c>
      <c r="C1622" s="20">
        <f>Sales!$B1622*Sales!$A1622</f>
        <v>1560.47</v>
      </c>
      <c r="D1622" s="21">
        <v>37912</v>
      </c>
      <c r="E1622" s="22" t="s">
        <v>9</v>
      </c>
      <c r="F1622" s="22">
        <v>4</v>
      </c>
      <c r="G1622" s="22">
        <v>10</v>
      </c>
      <c r="H1622" s="22">
        <v>2003</v>
      </c>
      <c r="I1622" s="22" t="s">
        <v>112</v>
      </c>
      <c r="J1622" s="20">
        <v>44</v>
      </c>
      <c r="K1622" s="20">
        <f>Sales!$B1622-Sales!$J1622</f>
        <v>-7.7100000000000009</v>
      </c>
      <c r="L1622" s="23">
        <f>(Sales!$J1622-Sales!$B1622)/Sales!$J1622</f>
        <v>0.17522727272727276</v>
      </c>
      <c r="M1622" s="23" t="str">
        <f t="shared" si="25"/>
        <v>15%-20%</v>
      </c>
      <c r="N1622" s="22" t="s">
        <v>21</v>
      </c>
      <c r="O1622" s="22" t="s">
        <v>12</v>
      </c>
      <c r="P1622" s="22" t="s">
        <v>13</v>
      </c>
      <c r="Q1622" s="22" t="s">
        <v>14</v>
      </c>
    </row>
    <row r="1623" spans="1:17" x14ac:dyDescent="0.3">
      <c r="A1623" s="27">
        <v>27</v>
      </c>
      <c r="B1623" s="24">
        <v>41.22</v>
      </c>
      <c r="C1623" s="25">
        <f>Sales!$B1623*Sales!$A1623</f>
        <v>1112.94</v>
      </c>
      <c r="D1623" s="26">
        <v>37930</v>
      </c>
      <c r="E1623" s="27" t="s">
        <v>9</v>
      </c>
      <c r="F1623" s="27">
        <v>4</v>
      </c>
      <c r="G1623" s="27">
        <v>11</v>
      </c>
      <c r="H1623" s="27">
        <v>2003</v>
      </c>
      <c r="I1623" s="27" t="s">
        <v>112</v>
      </c>
      <c r="J1623" s="25">
        <v>44</v>
      </c>
      <c r="K1623" s="25">
        <f>Sales!$B1623-Sales!$J1623</f>
        <v>-2.7800000000000011</v>
      </c>
      <c r="L1623" s="28">
        <f>(Sales!$J1623-Sales!$B1623)/Sales!$J1623</f>
        <v>6.3181818181818214E-2</v>
      </c>
      <c r="M1623" s="28" t="str">
        <f t="shared" si="25"/>
        <v>5%-10%</v>
      </c>
      <c r="N1623" s="27" t="s">
        <v>113</v>
      </c>
      <c r="O1623" s="27" t="s">
        <v>61</v>
      </c>
      <c r="P1623" s="27" t="s">
        <v>17</v>
      </c>
      <c r="Q1623" s="27" t="s">
        <v>14</v>
      </c>
    </row>
    <row r="1624" spans="1:17" x14ac:dyDescent="0.3">
      <c r="A1624" s="22">
        <v>31</v>
      </c>
      <c r="B1624" s="19">
        <v>36.74</v>
      </c>
      <c r="C1624" s="20">
        <f>Sales!$B1624*Sales!$A1624</f>
        <v>1138.94</v>
      </c>
      <c r="D1624" s="21">
        <v>37937</v>
      </c>
      <c r="E1624" s="22" t="s">
        <v>9</v>
      </c>
      <c r="F1624" s="22">
        <v>4</v>
      </c>
      <c r="G1624" s="22">
        <v>11</v>
      </c>
      <c r="H1624" s="22">
        <v>2003</v>
      </c>
      <c r="I1624" s="22" t="s">
        <v>112</v>
      </c>
      <c r="J1624" s="20">
        <v>44</v>
      </c>
      <c r="K1624" s="20">
        <f>Sales!$B1624-Sales!$J1624</f>
        <v>-7.259999999999998</v>
      </c>
      <c r="L1624" s="23">
        <f>(Sales!$J1624-Sales!$B1624)/Sales!$J1624</f>
        <v>0.16499999999999995</v>
      </c>
      <c r="M1624" s="23" t="str">
        <f t="shared" si="25"/>
        <v>15%-20%</v>
      </c>
      <c r="N1624" s="22" t="s">
        <v>64</v>
      </c>
      <c r="O1624" s="22" t="s">
        <v>12</v>
      </c>
      <c r="P1624" s="22" t="s">
        <v>13</v>
      </c>
      <c r="Q1624" s="22" t="s">
        <v>14</v>
      </c>
    </row>
    <row r="1625" spans="1:17" x14ac:dyDescent="0.3">
      <c r="A1625" s="27">
        <v>20</v>
      </c>
      <c r="B1625" s="24">
        <v>50.62</v>
      </c>
      <c r="C1625" s="25">
        <f>Sales!$B1625*Sales!$A1625</f>
        <v>1012.4</v>
      </c>
      <c r="D1625" s="26">
        <v>37946</v>
      </c>
      <c r="E1625" s="27" t="s">
        <v>9</v>
      </c>
      <c r="F1625" s="27">
        <v>4</v>
      </c>
      <c r="G1625" s="27">
        <v>11</v>
      </c>
      <c r="H1625" s="27">
        <v>2003</v>
      </c>
      <c r="I1625" s="27" t="s">
        <v>112</v>
      </c>
      <c r="J1625" s="25">
        <v>44</v>
      </c>
      <c r="K1625" s="25">
        <f>Sales!$B1625-Sales!$J1625</f>
        <v>6.6199999999999974</v>
      </c>
      <c r="L1625" s="28">
        <f>(Sales!$J1625-Sales!$B1625)/Sales!$J1625</f>
        <v>-0.1504545454545454</v>
      </c>
      <c r="M1625" s="28" t="str">
        <f t="shared" si="25"/>
        <v>Below 0%</v>
      </c>
      <c r="N1625" s="27" t="s">
        <v>114</v>
      </c>
      <c r="O1625" s="27" t="s">
        <v>27</v>
      </c>
      <c r="P1625" s="27" t="s">
        <v>28</v>
      </c>
      <c r="Q1625" s="27" t="s">
        <v>14</v>
      </c>
    </row>
    <row r="1626" spans="1:17" x14ac:dyDescent="0.3">
      <c r="A1626" s="22">
        <v>24</v>
      </c>
      <c r="B1626" s="19">
        <v>38.08</v>
      </c>
      <c r="C1626" s="20">
        <f>Sales!$B1626*Sales!$A1626</f>
        <v>913.92</v>
      </c>
      <c r="D1626" s="21">
        <v>37958</v>
      </c>
      <c r="E1626" s="22" t="s">
        <v>9</v>
      </c>
      <c r="F1626" s="22">
        <v>4</v>
      </c>
      <c r="G1626" s="22">
        <v>12</v>
      </c>
      <c r="H1626" s="22">
        <v>2003</v>
      </c>
      <c r="I1626" s="22" t="s">
        <v>112</v>
      </c>
      <c r="J1626" s="20">
        <v>44</v>
      </c>
      <c r="K1626" s="20">
        <f>Sales!$B1626-Sales!$J1626</f>
        <v>-5.9200000000000017</v>
      </c>
      <c r="L1626" s="23">
        <f>(Sales!$J1626-Sales!$B1626)/Sales!$J1626</f>
        <v>0.13454545454545458</v>
      </c>
      <c r="M1626" s="23" t="str">
        <f t="shared" si="25"/>
        <v>10%-15%</v>
      </c>
      <c r="N1626" s="22" t="s">
        <v>45</v>
      </c>
      <c r="O1626" s="22" t="s">
        <v>46</v>
      </c>
      <c r="P1626" s="22" t="s">
        <v>17</v>
      </c>
      <c r="Q1626" s="22" t="s">
        <v>14</v>
      </c>
    </row>
    <row r="1627" spans="1:17" x14ac:dyDescent="0.3">
      <c r="A1627" s="27">
        <v>49</v>
      </c>
      <c r="B1627" s="24">
        <v>47.94</v>
      </c>
      <c r="C1627" s="25">
        <f>Sales!$B1627*Sales!$A1627</f>
        <v>2349.06</v>
      </c>
      <c r="D1627" s="26">
        <v>38012</v>
      </c>
      <c r="E1627" s="27" t="s">
        <v>9</v>
      </c>
      <c r="F1627" s="27">
        <v>1</v>
      </c>
      <c r="G1627" s="27">
        <v>1</v>
      </c>
      <c r="H1627" s="27">
        <v>2004</v>
      </c>
      <c r="I1627" s="27" t="s">
        <v>112</v>
      </c>
      <c r="J1627" s="25">
        <v>44</v>
      </c>
      <c r="K1627" s="25">
        <f>Sales!$B1627-Sales!$J1627</f>
        <v>3.9399999999999977</v>
      </c>
      <c r="L1627" s="28">
        <f>(Sales!$J1627-Sales!$B1627)/Sales!$J1627</f>
        <v>-8.9545454545454498E-2</v>
      </c>
      <c r="M1627" s="28" t="str">
        <f t="shared" si="25"/>
        <v>Below 0%</v>
      </c>
      <c r="N1627" s="27" t="s">
        <v>45</v>
      </c>
      <c r="O1627" s="27" t="s">
        <v>46</v>
      </c>
      <c r="P1627" s="27" t="s">
        <v>17</v>
      </c>
      <c r="Q1627" s="27" t="s">
        <v>14</v>
      </c>
    </row>
    <row r="1628" spans="1:17" x14ac:dyDescent="0.3">
      <c r="A1628" s="22">
        <v>24</v>
      </c>
      <c r="B1628" s="19">
        <v>48.38</v>
      </c>
      <c r="C1628" s="20">
        <f>Sales!$B1628*Sales!$A1628</f>
        <v>1161.1200000000001</v>
      </c>
      <c r="D1628" s="21">
        <v>38048</v>
      </c>
      <c r="E1628" s="22" t="s">
        <v>9</v>
      </c>
      <c r="F1628" s="22">
        <v>1</v>
      </c>
      <c r="G1628" s="22">
        <v>3</v>
      </c>
      <c r="H1628" s="22">
        <v>2004</v>
      </c>
      <c r="I1628" s="22" t="s">
        <v>112</v>
      </c>
      <c r="J1628" s="20">
        <v>44</v>
      </c>
      <c r="K1628" s="20">
        <f>Sales!$B1628-Sales!$J1628</f>
        <v>4.3800000000000026</v>
      </c>
      <c r="L1628" s="23">
        <f>(Sales!$J1628-Sales!$B1628)/Sales!$J1628</f>
        <v>-9.9545454545454604E-2</v>
      </c>
      <c r="M1628" s="23" t="str">
        <f t="shared" si="25"/>
        <v>Below 0%</v>
      </c>
      <c r="N1628" s="22" t="s">
        <v>54</v>
      </c>
      <c r="O1628" s="22" t="s">
        <v>16</v>
      </c>
      <c r="P1628" s="22" t="s">
        <v>17</v>
      </c>
      <c r="Q1628" s="22" t="s">
        <v>14</v>
      </c>
    </row>
    <row r="1629" spans="1:17" x14ac:dyDescent="0.3">
      <c r="A1629" s="27">
        <v>39</v>
      </c>
      <c r="B1629" s="24">
        <v>45.25</v>
      </c>
      <c r="C1629" s="25">
        <f>Sales!$B1629*Sales!$A1629</f>
        <v>1764.75</v>
      </c>
      <c r="D1629" s="26">
        <v>38106</v>
      </c>
      <c r="E1629" s="27" t="s">
        <v>9</v>
      </c>
      <c r="F1629" s="27">
        <v>2</v>
      </c>
      <c r="G1629" s="27">
        <v>4</v>
      </c>
      <c r="H1629" s="27">
        <v>2004</v>
      </c>
      <c r="I1629" s="27" t="s">
        <v>112</v>
      </c>
      <c r="J1629" s="25">
        <v>44</v>
      </c>
      <c r="K1629" s="25">
        <f>Sales!$B1629-Sales!$J1629</f>
        <v>1.25</v>
      </c>
      <c r="L1629" s="28">
        <f>(Sales!$J1629-Sales!$B1629)/Sales!$J1629</f>
        <v>-2.8409090909090908E-2</v>
      </c>
      <c r="M1629" s="28" t="str">
        <f t="shared" si="25"/>
        <v>Below 0%</v>
      </c>
      <c r="N1629" s="27" t="s">
        <v>45</v>
      </c>
      <c r="O1629" s="27" t="s">
        <v>46</v>
      </c>
      <c r="P1629" s="27" t="s">
        <v>17</v>
      </c>
      <c r="Q1629" s="27" t="s">
        <v>14</v>
      </c>
    </row>
    <row r="1630" spans="1:17" x14ac:dyDescent="0.3">
      <c r="A1630" s="22">
        <v>37</v>
      </c>
      <c r="B1630" s="19">
        <v>45.7</v>
      </c>
      <c r="C1630" s="20">
        <f>Sales!$B1630*Sales!$A1630</f>
        <v>1690.9</v>
      </c>
      <c r="D1630" s="21">
        <v>38142</v>
      </c>
      <c r="E1630" s="22" t="s">
        <v>9</v>
      </c>
      <c r="F1630" s="22">
        <v>2</v>
      </c>
      <c r="G1630" s="22">
        <v>6</v>
      </c>
      <c r="H1630" s="22">
        <v>2004</v>
      </c>
      <c r="I1630" s="22" t="s">
        <v>112</v>
      </c>
      <c r="J1630" s="20">
        <v>44</v>
      </c>
      <c r="K1630" s="20">
        <f>Sales!$B1630-Sales!$J1630</f>
        <v>1.7000000000000028</v>
      </c>
      <c r="L1630" s="23">
        <f>(Sales!$J1630-Sales!$B1630)/Sales!$J1630</f>
        <v>-3.8636363636363698E-2</v>
      </c>
      <c r="M1630" s="23" t="str">
        <f t="shared" si="25"/>
        <v>Below 0%</v>
      </c>
      <c r="N1630" s="22" t="s">
        <v>108</v>
      </c>
      <c r="O1630" s="22" t="s">
        <v>16</v>
      </c>
      <c r="P1630" s="22" t="s">
        <v>17</v>
      </c>
      <c r="Q1630" s="22" t="s">
        <v>14</v>
      </c>
    </row>
    <row r="1631" spans="1:17" x14ac:dyDescent="0.3">
      <c r="A1631" s="27">
        <v>45</v>
      </c>
      <c r="B1631" s="24">
        <v>47.49</v>
      </c>
      <c r="C1631" s="25">
        <f>Sales!$B1631*Sales!$A1631</f>
        <v>2137.0500000000002</v>
      </c>
      <c r="D1631" s="26">
        <v>38216</v>
      </c>
      <c r="E1631" s="27" t="s">
        <v>9</v>
      </c>
      <c r="F1631" s="27">
        <v>3</v>
      </c>
      <c r="G1631" s="27">
        <v>8</v>
      </c>
      <c r="H1631" s="27">
        <v>2004</v>
      </c>
      <c r="I1631" s="27" t="s">
        <v>112</v>
      </c>
      <c r="J1631" s="25">
        <v>44</v>
      </c>
      <c r="K1631" s="25">
        <f>Sales!$B1631-Sales!$J1631</f>
        <v>3.490000000000002</v>
      </c>
      <c r="L1631" s="28">
        <f>(Sales!$J1631-Sales!$B1631)/Sales!$J1631</f>
        <v>-7.9318181818181857E-2</v>
      </c>
      <c r="M1631" s="28" t="str">
        <f t="shared" si="25"/>
        <v>Below 0%</v>
      </c>
      <c r="N1631" s="27" t="s">
        <v>60</v>
      </c>
      <c r="O1631" s="27" t="s">
        <v>61</v>
      </c>
      <c r="P1631" s="27" t="s">
        <v>17</v>
      </c>
      <c r="Q1631" s="27" t="s">
        <v>14</v>
      </c>
    </row>
    <row r="1632" spans="1:17" x14ac:dyDescent="0.3">
      <c r="A1632" s="22">
        <v>45</v>
      </c>
      <c r="B1632" s="19">
        <v>48.38</v>
      </c>
      <c r="C1632" s="20">
        <f>Sales!$B1632*Sales!$A1632</f>
        <v>2177.1</v>
      </c>
      <c r="D1632" s="21">
        <v>38233</v>
      </c>
      <c r="E1632" s="22" t="s">
        <v>9</v>
      </c>
      <c r="F1632" s="22">
        <v>3</v>
      </c>
      <c r="G1632" s="22">
        <v>9</v>
      </c>
      <c r="H1632" s="22">
        <v>2004</v>
      </c>
      <c r="I1632" s="22" t="s">
        <v>112</v>
      </c>
      <c r="J1632" s="20">
        <v>44</v>
      </c>
      <c r="K1632" s="20">
        <f>Sales!$B1632-Sales!$J1632</f>
        <v>4.3800000000000026</v>
      </c>
      <c r="L1632" s="23">
        <f>(Sales!$J1632-Sales!$B1632)/Sales!$J1632</f>
        <v>-9.9545454545454604E-2</v>
      </c>
      <c r="M1632" s="23" t="str">
        <f t="shared" si="25"/>
        <v>Below 0%</v>
      </c>
      <c r="N1632" s="22" t="s">
        <v>24</v>
      </c>
      <c r="O1632" s="22" t="s">
        <v>25</v>
      </c>
      <c r="P1632" s="22" t="s">
        <v>17</v>
      </c>
      <c r="Q1632" s="22" t="s">
        <v>14</v>
      </c>
    </row>
    <row r="1633" spans="1:17" x14ac:dyDescent="0.3">
      <c r="A1633" s="27">
        <v>44</v>
      </c>
      <c r="B1633" s="24">
        <v>39.42</v>
      </c>
      <c r="C1633" s="25">
        <f>Sales!$B1633*Sales!$A1633</f>
        <v>1734.48</v>
      </c>
      <c r="D1633" s="26">
        <v>38271</v>
      </c>
      <c r="E1633" s="27" t="s">
        <v>9</v>
      </c>
      <c r="F1633" s="27">
        <v>4</v>
      </c>
      <c r="G1633" s="27">
        <v>10</v>
      </c>
      <c r="H1633" s="27">
        <v>2004</v>
      </c>
      <c r="I1633" s="27" t="s">
        <v>112</v>
      </c>
      <c r="J1633" s="25">
        <v>44</v>
      </c>
      <c r="K1633" s="25">
        <f>Sales!$B1633-Sales!$J1633</f>
        <v>-4.5799999999999983</v>
      </c>
      <c r="L1633" s="28">
        <f>(Sales!$J1633-Sales!$B1633)/Sales!$J1633</f>
        <v>0.10409090909090905</v>
      </c>
      <c r="M1633" s="28" t="s">
        <v>134</v>
      </c>
      <c r="N1633" s="27" t="s">
        <v>63</v>
      </c>
      <c r="O1633" s="27" t="s">
        <v>16</v>
      </c>
      <c r="P1633" s="27" t="s">
        <v>17</v>
      </c>
      <c r="Q1633" s="27" t="s">
        <v>14</v>
      </c>
    </row>
    <row r="1634" spans="1:17" x14ac:dyDescent="0.3">
      <c r="A1634" s="22">
        <v>23</v>
      </c>
      <c r="B1634" s="19">
        <v>37.630000000000003</v>
      </c>
      <c r="C1634" s="20">
        <f>Sales!$B1634*Sales!$A1634</f>
        <v>865.49</v>
      </c>
      <c r="D1634" s="21">
        <v>38281</v>
      </c>
      <c r="E1634" s="22" t="s">
        <v>9</v>
      </c>
      <c r="F1634" s="22">
        <v>4</v>
      </c>
      <c r="G1634" s="22">
        <v>10</v>
      </c>
      <c r="H1634" s="22">
        <v>2004</v>
      </c>
      <c r="I1634" s="22" t="s">
        <v>112</v>
      </c>
      <c r="J1634" s="20">
        <v>44</v>
      </c>
      <c r="K1634" s="20">
        <f>Sales!$B1634-Sales!$J1634</f>
        <v>-6.3699999999999974</v>
      </c>
      <c r="L1634" s="23">
        <f>(Sales!$J1634-Sales!$B1634)/Sales!$J1634</f>
        <v>0.14477272727272722</v>
      </c>
      <c r="M1634" s="23" t="str">
        <f t="shared" si="25"/>
        <v>10%-15%</v>
      </c>
      <c r="N1634" s="22" t="s">
        <v>64</v>
      </c>
      <c r="O1634" s="22" t="s">
        <v>12</v>
      </c>
      <c r="P1634" s="22" t="s">
        <v>13</v>
      </c>
      <c r="Q1634" s="22" t="s">
        <v>14</v>
      </c>
    </row>
    <row r="1635" spans="1:17" x14ac:dyDescent="0.3">
      <c r="A1635" s="27">
        <v>30</v>
      </c>
      <c r="B1635" s="24">
        <v>100</v>
      </c>
      <c r="C1635" s="25">
        <f>Sales!$B1635*Sales!$A1635</f>
        <v>3000</v>
      </c>
      <c r="D1635" s="26">
        <v>38295</v>
      </c>
      <c r="E1635" s="27" t="s">
        <v>9</v>
      </c>
      <c r="F1635" s="27">
        <v>4</v>
      </c>
      <c r="G1635" s="27">
        <v>11</v>
      </c>
      <c r="H1635" s="27">
        <v>2004</v>
      </c>
      <c r="I1635" s="27" t="s">
        <v>112</v>
      </c>
      <c r="J1635" s="25">
        <v>44</v>
      </c>
      <c r="K1635" s="25">
        <f>Sales!$B1635-Sales!$J1635</f>
        <v>56</v>
      </c>
      <c r="L1635" s="28">
        <f>(Sales!$J1635-Sales!$B1635)/Sales!$J1635</f>
        <v>-1.2727272727272727</v>
      </c>
      <c r="M1635" s="28" t="str">
        <f t="shared" si="25"/>
        <v>Below 0%</v>
      </c>
      <c r="N1635" s="27" t="s">
        <v>65</v>
      </c>
      <c r="O1635" s="27" t="s">
        <v>12</v>
      </c>
      <c r="P1635" s="27" t="s">
        <v>13</v>
      </c>
      <c r="Q1635" s="27" t="s">
        <v>19</v>
      </c>
    </row>
    <row r="1636" spans="1:17" x14ac:dyDescent="0.3">
      <c r="A1636" s="22">
        <v>26</v>
      </c>
      <c r="B1636" s="19">
        <v>85.52</v>
      </c>
      <c r="C1636" s="20">
        <f>Sales!$B1636*Sales!$A1636</f>
        <v>2223.52</v>
      </c>
      <c r="D1636" s="21">
        <v>38308</v>
      </c>
      <c r="E1636" s="22" t="s">
        <v>9</v>
      </c>
      <c r="F1636" s="22">
        <v>4</v>
      </c>
      <c r="G1636" s="22">
        <v>11</v>
      </c>
      <c r="H1636" s="22">
        <v>2004</v>
      </c>
      <c r="I1636" s="22" t="s">
        <v>112</v>
      </c>
      <c r="J1636" s="20">
        <v>44</v>
      </c>
      <c r="K1636" s="20">
        <f>Sales!$B1636-Sales!$J1636</f>
        <v>41.519999999999996</v>
      </c>
      <c r="L1636" s="23">
        <f>(Sales!$J1636-Sales!$B1636)/Sales!$J1636</f>
        <v>-0.9436363636363635</v>
      </c>
      <c r="M1636" s="23" t="str">
        <f t="shared" si="25"/>
        <v>Below 0%</v>
      </c>
      <c r="N1636" s="22" t="s">
        <v>102</v>
      </c>
      <c r="O1636" s="22" t="s">
        <v>43</v>
      </c>
      <c r="P1636" s="22" t="s">
        <v>17</v>
      </c>
      <c r="Q1636" s="22" t="s">
        <v>14</v>
      </c>
    </row>
    <row r="1637" spans="1:17" x14ac:dyDescent="0.3">
      <c r="A1637" s="27">
        <v>43</v>
      </c>
      <c r="B1637" s="24">
        <v>53.76</v>
      </c>
      <c r="C1637" s="25">
        <f>Sales!$B1637*Sales!$A1637</f>
        <v>2311.6799999999998</v>
      </c>
      <c r="D1637" s="26">
        <v>38316</v>
      </c>
      <c r="E1637" s="27" t="s">
        <v>9</v>
      </c>
      <c r="F1637" s="27">
        <v>4</v>
      </c>
      <c r="G1637" s="27">
        <v>11</v>
      </c>
      <c r="H1637" s="27">
        <v>2004</v>
      </c>
      <c r="I1637" s="27" t="s">
        <v>112</v>
      </c>
      <c r="J1637" s="25">
        <v>44</v>
      </c>
      <c r="K1637" s="25">
        <f>Sales!$B1637-Sales!$J1637</f>
        <v>9.759999999999998</v>
      </c>
      <c r="L1637" s="28">
        <f>(Sales!$J1637-Sales!$B1637)/Sales!$J1637</f>
        <v>-0.22181818181818178</v>
      </c>
      <c r="M1637" s="28" t="str">
        <f t="shared" si="25"/>
        <v>Below 0%</v>
      </c>
      <c r="N1637" s="27" t="s">
        <v>31</v>
      </c>
      <c r="O1637" s="27" t="s">
        <v>16</v>
      </c>
      <c r="P1637" s="27" t="s">
        <v>17</v>
      </c>
      <c r="Q1637" s="27" t="s">
        <v>14</v>
      </c>
    </row>
    <row r="1638" spans="1:17" x14ac:dyDescent="0.3">
      <c r="A1638" s="22">
        <v>26</v>
      </c>
      <c r="B1638" s="19">
        <v>31.86</v>
      </c>
      <c r="C1638" s="20">
        <f>Sales!$B1638*Sales!$A1638</f>
        <v>828.36</v>
      </c>
      <c r="D1638" s="21">
        <v>38330</v>
      </c>
      <c r="E1638" s="22" t="s">
        <v>9</v>
      </c>
      <c r="F1638" s="22">
        <v>4</v>
      </c>
      <c r="G1638" s="22">
        <v>12</v>
      </c>
      <c r="H1638" s="22">
        <v>2004</v>
      </c>
      <c r="I1638" s="22" t="s">
        <v>112</v>
      </c>
      <c r="J1638" s="20">
        <v>44</v>
      </c>
      <c r="K1638" s="20">
        <f>Sales!$B1638-Sales!$J1638</f>
        <v>-12.14</v>
      </c>
      <c r="L1638" s="23">
        <f>(Sales!$J1638-Sales!$B1638)/Sales!$J1638</f>
        <v>0.27590909090909094</v>
      </c>
      <c r="M1638" s="23" t="str">
        <f t="shared" si="25"/>
        <v>+20%</v>
      </c>
      <c r="N1638" s="22" t="s">
        <v>18</v>
      </c>
      <c r="O1638" s="22" t="s">
        <v>16</v>
      </c>
      <c r="P1638" s="22" t="s">
        <v>17</v>
      </c>
      <c r="Q1638" s="22" t="s">
        <v>14</v>
      </c>
    </row>
    <row r="1639" spans="1:17" x14ac:dyDescent="0.3">
      <c r="A1639" s="27">
        <v>28</v>
      </c>
      <c r="B1639" s="24">
        <v>30.59</v>
      </c>
      <c r="C1639" s="25">
        <f>Sales!$B1639*Sales!$A1639</f>
        <v>856.52</v>
      </c>
      <c r="D1639" s="26">
        <v>38364</v>
      </c>
      <c r="E1639" s="27" t="s">
        <v>88</v>
      </c>
      <c r="F1639" s="27">
        <v>1</v>
      </c>
      <c r="G1639" s="27">
        <v>1</v>
      </c>
      <c r="H1639" s="27">
        <v>2005</v>
      </c>
      <c r="I1639" s="27" t="s">
        <v>112</v>
      </c>
      <c r="J1639" s="25">
        <v>44</v>
      </c>
      <c r="K1639" s="25">
        <f>Sales!$B1639-Sales!$J1639</f>
        <v>-13.41</v>
      </c>
      <c r="L1639" s="28">
        <f>(Sales!$J1639-Sales!$B1639)/Sales!$J1639</f>
        <v>0.30477272727272725</v>
      </c>
      <c r="M1639" s="28" t="str">
        <f t="shared" si="25"/>
        <v>+20%</v>
      </c>
      <c r="N1639" s="27" t="s">
        <v>20</v>
      </c>
      <c r="O1639" s="27" t="s">
        <v>12</v>
      </c>
      <c r="P1639" s="27" t="s">
        <v>13</v>
      </c>
      <c r="Q1639" s="27" t="s">
        <v>14</v>
      </c>
    </row>
    <row r="1640" spans="1:17" x14ac:dyDescent="0.3">
      <c r="A1640" s="22">
        <v>27</v>
      </c>
      <c r="B1640" s="19">
        <v>68.349999999999994</v>
      </c>
      <c r="C1640" s="20">
        <f>Sales!$B1640*Sales!$A1640</f>
        <v>1845.4499999999998</v>
      </c>
      <c r="D1640" s="21">
        <v>38399</v>
      </c>
      <c r="E1640" s="22" t="s">
        <v>9</v>
      </c>
      <c r="F1640" s="22">
        <v>1</v>
      </c>
      <c r="G1640" s="22">
        <v>2</v>
      </c>
      <c r="H1640" s="22">
        <v>2005</v>
      </c>
      <c r="I1640" s="22" t="s">
        <v>112</v>
      </c>
      <c r="J1640" s="20">
        <v>44</v>
      </c>
      <c r="K1640" s="20">
        <f>Sales!$B1640-Sales!$J1640</f>
        <v>24.349999999999994</v>
      </c>
      <c r="L1640" s="23">
        <f>(Sales!$J1640-Sales!$B1640)/Sales!$J1640</f>
        <v>-0.55340909090909074</v>
      </c>
      <c r="M1640" s="23" t="str">
        <f t="shared" si="25"/>
        <v>Below 0%</v>
      </c>
      <c r="N1640" s="22" t="s">
        <v>45</v>
      </c>
      <c r="O1640" s="22" t="s">
        <v>46</v>
      </c>
      <c r="P1640" s="22" t="s">
        <v>17</v>
      </c>
      <c r="Q1640" s="22" t="s">
        <v>14</v>
      </c>
    </row>
    <row r="1641" spans="1:17" x14ac:dyDescent="0.3">
      <c r="A1641" s="27">
        <v>24</v>
      </c>
      <c r="B1641" s="24">
        <v>100</v>
      </c>
      <c r="C1641" s="25">
        <f>Sales!$B1641*Sales!$A1641</f>
        <v>2400</v>
      </c>
      <c r="D1641" s="26">
        <v>38420</v>
      </c>
      <c r="E1641" s="27" t="s">
        <v>9</v>
      </c>
      <c r="F1641" s="27">
        <v>1</v>
      </c>
      <c r="G1641" s="27">
        <v>3</v>
      </c>
      <c r="H1641" s="27">
        <v>2005</v>
      </c>
      <c r="I1641" s="27" t="s">
        <v>112</v>
      </c>
      <c r="J1641" s="25">
        <v>44</v>
      </c>
      <c r="K1641" s="25">
        <f>Sales!$B1641-Sales!$J1641</f>
        <v>56</v>
      </c>
      <c r="L1641" s="28">
        <f>(Sales!$J1641-Sales!$B1641)/Sales!$J1641</f>
        <v>-1.2727272727272727</v>
      </c>
      <c r="M1641" s="28" t="str">
        <f t="shared" si="25"/>
        <v>Below 0%</v>
      </c>
      <c r="N1641" s="27" t="s">
        <v>67</v>
      </c>
      <c r="O1641" s="27" t="s">
        <v>27</v>
      </c>
      <c r="P1641" s="27" t="s">
        <v>28</v>
      </c>
      <c r="Q1641" s="27" t="s">
        <v>19</v>
      </c>
    </row>
    <row r="1642" spans="1:17" x14ac:dyDescent="0.3">
      <c r="A1642" s="22">
        <v>40</v>
      </c>
      <c r="B1642" s="19">
        <v>45.7</v>
      </c>
      <c r="C1642" s="20">
        <f>Sales!$B1642*Sales!$A1642</f>
        <v>1828</v>
      </c>
      <c r="D1642" s="21">
        <v>38501</v>
      </c>
      <c r="E1642" s="22" t="s">
        <v>69</v>
      </c>
      <c r="F1642" s="22">
        <v>2</v>
      </c>
      <c r="G1642" s="22">
        <v>5</v>
      </c>
      <c r="H1642" s="22">
        <v>2005</v>
      </c>
      <c r="I1642" s="22" t="s">
        <v>112</v>
      </c>
      <c r="J1642" s="20">
        <v>44</v>
      </c>
      <c r="K1642" s="20">
        <f>Sales!$B1642-Sales!$J1642</f>
        <v>1.7000000000000028</v>
      </c>
      <c r="L1642" s="23">
        <f>(Sales!$J1642-Sales!$B1642)/Sales!$J1642</f>
        <v>-3.8636363636363698E-2</v>
      </c>
      <c r="M1642" s="23" t="str">
        <f t="shared" si="25"/>
        <v>Below 0%</v>
      </c>
      <c r="N1642" s="22" t="s">
        <v>64</v>
      </c>
      <c r="O1642" s="22" t="s">
        <v>12</v>
      </c>
      <c r="P1642" s="22" t="s">
        <v>13</v>
      </c>
      <c r="Q1642" s="22" t="s">
        <v>14</v>
      </c>
    </row>
    <row r="1643" spans="1:17" x14ac:dyDescent="0.3">
      <c r="A1643" s="27">
        <v>36</v>
      </c>
      <c r="B1643" s="24">
        <v>100</v>
      </c>
      <c r="C1643" s="25">
        <f>Sales!$B1643*Sales!$A1643</f>
        <v>3600</v>
      </c>
      <c r="D1643" s="26">
        <v>37650</v>
      </c>
      <c r="E1643" s="27" t="s">
        <v>9</v>
      </c>
      <c r="F1643" s="27">
        <v>1</v>
      </c>
      <c r="G1643" s="27">
        <v>1</v>
      </c>
      <c r="H1643" s="27">
        <v>2003</v>
      </c>
      <c r="I1643" s="27" t="s">
        <v>104</v>
      </c>
      <c r="J1643" s="25">
        <v>127</v>
      </c>
      <c r="K1643" s="25">
        <f>Sales!$B1643-Sales!$J1643</f>
        <v>-27</v>
      </c>
      <c r="L1643" s="28">
        <f>(Sales!$J1643-Sales!$B1643)/Sales!$J1643</f>
        <v>0.2125984251968504</v>
      </c>
      <c r="M1643" s="28" t="str">
        <f t="shared" si="25"/>
        <v>+20%</v>
      </c>
      <c r="N1643" s="27" t="s">
        <v>35</v>
      </c>
      <c r="O1643" s="27" t="s">
        <v>25</v>
      </c>
      <c r="P1643" s="27" t="s">
        <v>17</v>
      </c>
      <c r="Q1643" s="27" t="s">
        <v>19</v>
      </c>
    </row>
    <row r="1644" spans="1:17" x14ac:dyDescent="0.3">
      <c r="A1644" s="22">
        <v>21</v>
      </c>
      <c r="B1644" s="19">
        <v>100</v>
      </c>
      <c r="C1644" s="20">
        <f>Sales!$B1644*Sales!$A1644</f>
        <v>2100</v>
      </c>
      <c r="D1644" s="21">
        <v>37712</v>
      </c>
      <c r="E1644" s="22" t="s">
        <v>9</v>
      </c>
      <c r="F1644" s="22">
        <v>2</v>
      </c>
      <c r="G1644" s="22">
        <v>4</v>
      </c>
      <c r="H1644" s="22">
        <v>2003</v>
      </c>
      <c r="I1644" s="22" t="s">
        <v>104</v>
      </c>
      <c r="J1644" s="20">
        <v>127</v>
      </c>
      <c r="K1644" s="20">
        <f>Sales!$B1644-Sales!$J1644</f>
        <v>-27</v>
      </c>
      <c r="L1644" s="23">
        <f>(Sales!$J1644-Sales!$B1644)/Sales!$J1644</f>
        <v>0.2125984251968504</v>
      </c>
      <c r="M1644" s="23" t="str">
        <f t="shared" si="25"/>
        <v>+20%</v>
      </c>
      <c r="N1644" s="22" t="s">
        <v>18</v>
      </c>
      <c r="O1644" s="22" t="s">
        <v>16</v>
      </c>
      <c r="P1644" s="22" t="s">
        <v>17</v>
      </c>
      <c r="Q1644" s="22" t="s">
        <v>14</v>
      </c>
    </row>
    <row r="1645" spans="1:17" x14ac:dyDescent="0.3">
      <c r="A1645" s="27">
        <v>27</v>
      </c>
      <c r="B1645" s="24">
        <v>100</v>
      </c>
      <c r="C1645" s="25">
        <f>Sales!$B1645*Sales!$A1645</f>
        <v>2700</v>
      </c>
      <c r="D1645" s="26">
        <v>37769</v>
      </c>
      <c r="E1645" s="27" t="s">
        <v>9</v>
      </c>
      <c r="F1645" s="27">
        <v>2</v>
      </c>
      <c r="G1645" s="27">
        <v>5</v>
      </c>
      <c r="H1645" s="27">
        <v>2003</v>
      </c>
      <c r="I1645" s="27" t="s">
        <v>104</v>
      </c>
      <c r="J1645" s="25">
        <v>127</v>
      </c>
      <c r="K1645" s="25">
        <f>Sales!$B1645-Sales!$J1645</f>
        <v>-27</v>
      </c>
      <c r="L1645" s="28">
        <f>(Sales!$J1645-Sales!$B1645)/Sales!$J1645</f>
        <v>0.2125984251968504</v>
      </c>
      <c r="M1645" s="28" t="str">
        <f t="shared" si="25"/>
        <v>+20%</v>
      </c>
      <c r="N1645" s="27" t="s">
        <v>45</v>
      </c>
      <c r="O1645" s="27" t="s">
        <v>46</v>
      </c>
      <c r="P1645" s="27" t="s">
        <v>17</v>
      </c>
      <c r="Q1645" s="27" t="s">
        <v>19</v>
      </c>
    </row>
    <row r="1646" spans="1:17" x14ac:dyDescent="0.3">
      <c r="A1646" s="22">
        <v>47</v>
      </c>
      <c r="B1646" s="19">
        <v>100</v>
      </c>
      <c r="C1646" s="20">
        <f>Sales!$B1646*Sales!$A1646</f>
        <v>4700</v>
      </c>
      <c r="D1646" s="21">
        <v>37826</v>
      </c>
      <c r="E1646" s="22" t="s">
        <v>9</v>
      </c>
      <c r="F1646" s="22">
        <v>3</v>
      </c>
      <c r="G1646" s="22">
        <v>7</v>
      </c>
      <c r="H1646" s="22">
        <v>2003</v>
      </c>
      <c r="I1646" s="22" t="s">
        <v>104</v>
      </c>
      <c r="J1646" s="20">
        <v>127</v>
      </c>
      <c r="K1646" s="20">
        <f>Sales!$B1646-Sales!$J1646</f>
        <v>-27</v>
      </c>
      <c r="L1646" s="23">
        <f>(Sales!$J1646-Sales!$B1646)/Sales!$J1646</f>
        <v>0.2125984251968504</v>
      </c>
      <c r="M1646" s="23" t="str">
        <f t="shared" si="25"/>
        <v>+20%</v>
      </c>
      <c r="N1646" s="22" t="s">
        <v>22</v>
      </c>
      <c r="O1646" s="22" t="s">
        <v>12</v>
      </c>
      <c r="P1646" s="22" t="s">
        <v>13</v>
      </c>
      <c r="Q1646" s="22" t="s">
        <v>19</v>
      </c>
    </row>
    <row r="1647" spans="1:17" x14ac:dyDescent="0.3">
      <c r="A1647" s="27">
        <v>42</v>
      </c>
      <c r="B1647" s="24">
        <v>100</v>
      </c>
      <c r="C1647" s="25">
        <f>Sales!$B1647*Sales!$A1647</f>
        <v>4200</v>
      </c>
      <c r="D1647" s="26">
        <v>37885</v>
      </c>
      <c r="E1647" s="27" t="s">
        <v>9</v>
      </c>
      <c r="F1647" s="27">
        <v>3</v>
      </c>
      <c r="G1647" s="27">
        <v>9</v>
      </c>
      <c r="H1647" s="27">
        <v>2003</v>
      </c>
      <c r="I1647" s="27" t="s">
        <v>104</v>
      </c>
      <c r="J1647" s="25">
        <v>127</v>
      </c>
      <c r="K1647" s="25">
        <f>Sales!$B1647-Sales!$J1647</f>
        <v>-27</v>
      </c>
      <c r="L1647" s="28">
        <f>(Sales!$J1647-Sales!$B1647)/Sales!$J1647</f>
        <v>0.2125984251968504</v>
      </c>
      <c r="M1647" s="28" t="str">
        <f t="shared" si="25"/>
        <v>+20%</v>
      </c>
      <c r="N1647" s="27" t="s">
        <v>85</v>
      </c>
      <c r="O1647" s="27" t="s">
        <v>34</v>
      </c>
      <c r="P1647" s="27" t="s">
        <v>17</v>
      </c>
      <c r="Q1647" s="27" t="s">
        <v>19</v>
      </c>
    </row>
    <row r="1648" spans="1:17" x14ac:dyDescent="0.3">
      <c r="A1648" s="22">
        <v>32</v>
      </c>
      <c r="B1648" s="19">
        <v>100</v>
      </c>
      <c r="C1648" s="20">
        <f>Sales!$B1648*Sales!$A1648</f>
        <v>3200</v>
      </c>
      <c r="D1648" s="21">
        <v>37916</v>
      </c>
      <c r="E1648" s="22" t="s">
        <v>9</v>
      </c>
      <c r="F1648" s="22">
        <v>4</v>
      </c>
      <c r="G1648" s="22">
        <v>10</v>
      </c>
      <c r="H1648" s="22">
        <v>2003</v>
      </c>
      <c r="I1648" s="22" t="s">
        <v>104</v>
      </c>
      <c r="J1648" s="20">
        <v>127</v>
      </c>
      <c r="K1648" s="20">
        <f>Sales!$B1648-Sales!$J1648</f>
        <v>-27</v>
      </c>
      <c r="L1648" s="23">
        <f>(Sales!$J1648-Sales!$B1648)/Sales!$J1648</f>
        <v>0.2125984251968504</v>
      </c>
      <c r="M1648" s="23" t="str">
        <f t="shared" si="25"/>
        <v>+20%</v>
      </c>
      <c r="N1648" s="22" t="s">
        <v>50</v>
      </c>
      <c r="O1648" s="22" t="s">
        <v>50</v>
      </c>
      <c r="P1648" s="22" t="s">
        <v>28</v>
      </c>
      <c r="Q1648" s="22" t="s">
        <v>19</v>
      </c>
    </row>
    <row r="1649" spans="1:17" x14ac:dyDescent="0.3">
      <c r="A1649" s="27">
        <v>28</v>
      </c>
      <c r="B1649" s="24">
        <v>100</v>
      </c>
      <c r="C1649" s="25">
        <f>Sales!$B1649*Sales!$A1649</f>
        <v>2800</v>
      </c>
      <c r="D1649" s="26">
        <v>37931</v>
      </c>
      <c r="E1649" s="27" t="s">
        <v>9</v>
      </c>
      <c r="F1649" s="27">
        <v>4</v>
      </c>
      <c r="G1649" s="27">
        <v>11</v>
      </c>
      <c r="H1649" s="27">
        <v>2003</v>
      </c>
      <c r="I1649" s="27" t="s">
        <v>104</v>
      </c>
      <c r="J1649" s="25">
        <v>127</v>
      </c>
      <c r="K1649" s="25">
        <f>Sales!$B1649-Sales!$J1649</f>
        <v>-27</v>
      </c>
      <c r="L1649" s="28">
        <f>(Sales!$J1649-Sales!$B1649)/Sales!$J1649</f>
        <v>0.2125984251968504</v>
      </c>
      <c r="M1649" s="28" t="str">
        <f t="shared" si="25"/>
        <v>+20%</v>
      </c>
      <c r="N1649" s="27" t="s">
        <v>74</v>
      </c>
      <c r="O1649" s="27" t="s">
        <v>43</v>
      </c>
      <c r="P1649" s="27" t="s">
        <v>17</v>
      </c>
      <c r="Q1649" s="27" t="s">
        <v>14</v>
      </c>
    </row>
    <row r="1650" spans="1:17" x14ac:dyDescent="0.3">
      <c r="A1650" s="22">
        <v>24</v>
      </c>
      <c r="B1650" s="19">
        <v>100</v>
      </c>
      <c r="C1650" s="20">
        <f>Sales!$B1650*Sales!$A1650</f>
        <v>2400</v>
      </c>
      <c r="D1650" s="21">
        <v>37939</v>
      </c>
      <c r="E1650" s="22" t="s">
        <v>9</v>
      </c>
      <c r="F1650" s="22">
        <v>4</v>
      </c>
      <c r="G1650" s="22">
        <v>11</v>
      </c>
      <c r="H1650" s="22">
        <v>2003</v>
      </c>
      <c r="I1650" s="22" t="s">
        <v>104</v>
      </c>
      <c r="J1650" s="20">
        <v>127</v>
      </c>
      <c r="K1650" s="20">
        <f>Sales!$B1650-Sales!$J1650</f>
        <v>-27</v>
      </c>
      <c r="L1650" s="23">
        <f>(Sales!$J1650-Sales!$B1650)/Sales!$J1650</f>
        <v>0.2125984251968504</v>
      </c>
      <c r="M1650" s="23" t="str">
        <f t="shared" si="25"/>
        <v>+20%</v>
      </c>
      <c r="N1650" s="22" t="s">
        <v>106</v>
      </c>
      <c r="O1650" s="22" t="s">
        <v>46</v>
      </c>
      <c r="P1650" s="22" t="s">
        <v>17</v>
      </c>
      <c r="Q1650" s="22" t="s">
        <v>19</v>
      </c>
    </row>
    <row r="1651" spans="1:17" x14ac:dyDescent="0.3">
      <c r="A1651" s="27">
        <v>49</v>
      </c>
      <c r="B1651" s="24">
        <v>100</v>
      </c>
      <c r="C1651" s="25">
        <f>Sales!$B1651*Sales!$A1651</f>
        <v>4900</v>
      </c>
      <c r="D1651" s="26">
        <v>37950</v>
      </c>
      <c r="E1651" s="27" t="s">
        <v>9</v>
      </c>
      <c r="F1651" s="27">
        <v>4</v>
      </c>
      <c r="G1651" s="27">
        <v>11</v>
      </c>
      <c r="H1651" s="27">
        <v>2003</v>
      </c>
      <c r="I1651" s="27" t="s">
        <v>104</v>
      </c>
      <c r="J1651" s="25">
        <v>127</v>
      </c>
      <c r="K1651" s="25">
        <f>Sales!$B1651-Sales!$J1651</f>
        <v>-27</v>
      </c>
      <c r="L1651" s="28">
        <f>(Sales!$J1651-Sales!$B1651)/Sales!$J1651</f>
        <v>0.2125984251968504</v>
      </c>
      <c r="M1651" s="28" t="str">
        <f t="shared" si="25"/>
        <v>+20%</v>
      </c>
      <c r="N1651" s="27" t="s">
        <v>54</v>
      </c>
      <c r="O1651" s="27" t="s">
        <v>16</v>
      </c>
      <c r="P1651" s="27" t="s">
        <v>17</v>
      </c>
      <c r="Q1651" s="27" t="s">
        <v>19</v>
      </c>
    </row>
    <row r="1652" spans="1:17" x14ac:dyDescent="0.3">
      <c r="A1652" s="22">
        <v>46</v>
      </c>
      <c r="B1652" s="19">
        <v>100</v>
      </c>
      <c r="C1652" s="20">
        <f>Sales!$B1652*Sales!$A1652</f>
        <v>4600</v>
      </c>
      <c r="D1652" s="21">
        <v>37964</v>
      </c>
      <c r="E1652" s="22" t="s">
        <v>9</v>
      </c>
      <c r="F1652" s="22">
        <v>4</v>
      </c>
      <c r="G1652" s="22">
        <v>12</v>
      </c>
      <c r="H1652" s="22">
        <v>2003</v>
      </c>
      <c r="I1652" s="22" t="s">
        <v>104</v>
      </c>
      <c r="J1652" s="20">
        <v>127</v>
      </c>
      <c r="K1652" s="20">
        <f>Sales!$B1652-Sales!$J1652</f>
        <v>-27</v>
      </c>
      <c r="L1652" s="23">
        <f>(Sales!$J1652-Sales!$B1652)/Sales!$J1652</f>
        <v>0.2125984251968504</v>
      </c>
      <c r="M1652" s="23" t="str">
        <f t="shared" si="25"/>
        <v>+20%</v>
      </c>
      <c r="N1652" s="22" t="s">
        <v>83</v>
      </c>
      <c r="O1652" s="22" t="s">
        <v>12</v>
      </c>
      <c r="P1652" s="22" t="s">
        <v>13</v>
      </c>
      <c r="Q1652" s="22" t="s">
        <v>19</v>
      </c>
    </row>
    <row r="1653" spans="1:17" x14ac:dyDescent="0.3">
      <c r="A1653" s="27">
        <v>28</v>
      </c>
      <c r="B1653" s="24">
        <v>100</v>
      </c>
      <c r="C1653" s="25">
        <f>Sales!$B1653*Sales!$A1653</f>
        <v>2800</v>
      </c>
      <c r="D1653" s="26">
        <v>38021</v>
      </c>
      <c r="E1653" s="27" t="s">
        <v>9</v>
      </c>
      <c r="F1653" s="27">
        <v>1</v>
      </c>
      <c r="G1653" s="27">
        <v>2</v>
      </c>
      <c r="H1653" s="27">
        <v>2004</v>
      </c>
      <c r="I1653" s="27" t="s">
        <v>104</v>
      </c>
      <c r="J1653" s="25">
        <v>127</v>
      </c>
      <c r="K1653" s="25">
        <f>Sales!$B1653-Sales!$J1653</f>
        <v>-27</v>
      </c>
      <c r="L1653" s="28">
        <f>(Sales!$J1653-Sales!$B1653)/Sales!$J1653</f>
        <v>0.2125984251968504</v>
      </c>
      <c r="M1653" s="28" t="str">
        <f t="shared" si="25"/>
        <v>+20%</v>
      </c>
      <c r="N1653" s="27" t="s">
        <v>50</v>
      </c>
      <c r="O1653" s="27" t="s">
        <v>50</v>
      </c>
      <c r="P1653" s="27" t="s">
        <v>28</v>
      </c>
      <c r="Q1653" s="27" t="s">
        <v>19</v>
      </c>
    </row>
    <row r="1654" spans="1:17" x14ac:dyDescent="0.3">
      <c r="A1654" s="22">
        <v>48</v>
      </c>
      <c r="B1654" s="19">
        <v>100</v>
      </c>
      <c r="C1654" s="20">
        <f>Sales!$B1654*Sales!$A1654</f>
        <v>4800</v>
      </c>
      <c r="D1654" s="21">
        <v>38057</v>
      </c>
      <c r="E1654" s="22" t="s">
        <v>9</v>
      </c>
      <c r="F1654" s="22">
        <v>1</v>
      </c>
      <c r="G1654" s="22">
        <v>3</v>
      </c>
      <c r="H1654" s="22">
        <v>2004</v>
      </c>
      <c r="I1654" s="22" t="s">
        <v>104</v>
      </c>
      <c r="J1654" s="20">
        <v>127</v>
      </c>
      <c r="K1654" s="20">
        <f>Sales!$B1654-Sales!$J1654</f>
        <v>-27</v>
      </c>
      <c r="L1654" s="23">
        <f>(Sales!$J1654-Sales!$B1654)/Sales!$J1654</f>
        <v>0.2125984251968504</v>
      </c>
      <c r="M1654" s="23" t="str">
        <f t="shared" si="25"/>
        <v>+20%</v>
      </c>
      <c r="N1654" s="22" t="s">
        <v>64</v>
      </c>
      <c r="O1654" s="22" t="s">
        <v>12</v>
      </c>
      <c r="P1654" s="22" t="s">
        <v>13</v>
      </c>
      <c r="Q1654" s="22" t="s">
        <v>19</v>
      </c>
    </row>
    <row r="1655" spans="1:17" x14ac:dyDescent="0.3">
      <c r="A1655" s="27">
        <v>29</v>
      </c>
      <c r="B1655" s="24">
        <v>100</v>
      </c>
      <c r="C1655" s="25">
        <f>Sales!$B1655*Sales!$A1655</f>
        <v>2900</v>
      </c>
      <c r="D1655" s="26">
        <v>38112</v>
      </c>
      <c r="E1655" s="27" t="s">
        <v>9</v>
      </c>
      <c r="F1655" s="27">
        <v>2</v>
      </c>
      <c r="G1655" s="27">
        <v>5</v>
      </c>
      <c r="H1655" s="27">
        <v>2004</v>
      </c>
      <c r="I1655" s="27" t="s">
        <v>104</v>
      </c>
      <c r="J1655" s="25">
        <v>127</v>
      </c>
      <c r="K1655" s="25">
        <f>Sales!$B1655-Sales!$J1655</f>
        <v>-27</v>
      </c>
      <c r="L1655" s="28">
        <f>(Sales!$J1655-Sales!$B1655)/Sales!$J1655</f>
        <v>0.2125984251968504</v>
      </c>
      <c r="M1655" s="28" t="str">
        <f t="shared" si="25"/>
        <v>+20%</v>
      </c>
      <c r="N1655" s="27" t="s">
        <v>45</v>
      </c>
      <c r="O1655" s="27" t="s">
        <v>46</v>
      </c>
      <c r="P1655" s="27" t="s">
        <v>17</v>
      </c>
      <c r="Q1655" s="27" t="s">
        <v>19</v>
      </c>
    </row>
    <row r="1656" spans="1:17" x14ac:dyDescent="0.3">
      <c r="A1656" s="22">
        <v>47</v>
      </c>
      <c r="B1656" s="19">
        <v>100</v>
      </c>
      <c r="C1656" s="20">
        <f>Sales!$B1656*Sales!$A1656</f>
        <v>4700</v>
      </c>
      <c r="D1656" s="21">
        <v>38153</v>
      </c>
      <c r="E1656" s="22" t="s">
        <v>9</v>
      </c>
      <c r="F1656" s="22">
        <v>2</v>
      </c>
      <c r="G1656" s="22">
        <v>6</v>
      </c>
      <c r="H1656" s="22">
        <v>2004</v>
      </c>
      <c r="I1656" s="22" t="s">
        <v>104</v>
      </c>
      <c r="J1656" s="20">
        <v>127</v>
      </c>
      <c r="K1656" s="20">
        <f>Sales!$B1656-Sales!$J1656</f>
        <v>-27</v>
      </c>
      <c r="L1656" s="23">
        <f>(Sales!$J1656-Sales!$B1656)/Sales!$J1656</f>
        <v>0.2125984251968504</v>
      </c>
      <c r="M1656" s="23" t="str">
        <f t="shared" si="25"/>
        <v>+20%</v>
      </c>
      <c r="N1656" s="22" t="s">
        <v>50</v>
      </c>
      <c r="O1656" s="22" t="s">
        <v>50</v>
      </c>
      <c r="P1656" s="22" t="s">
        <v>28</v>
      </c>
      <c r="Q1656" s="22" t="s">
        <v>19</v>
      </c>
    </row>
    <row r="1657" spans="1:17" x14ac:dyDescent="0.3">
      <c r="A1657" s="27">
        <v>43</v>
      </c>
      <c r="B1657" s="24">
        <v>100</v>
      </c>
      <c r="C1657" s="25">
        <f>Sales!$B1657*Sales!$A1657</f>
        <v>4300</v>
      </c>
      <c r="D1657" s="26">
        <v>38188</v>
      </c>
      <c r="E1657" s="27" t="s">
        <v>9</v>
      </c>
      <c r="F1657" s="27">
        <v>3</v>
      </c>
      <c r="G1657" s="27">
        <v>7</v>
      </c>
      <c r="H1657" s="27">
        <v>2004</v>
      </c>
      <c r="I1657" s="27" t="s">
        <v>104</v>
      </c>
      <c r="J1657" s="25">
        <v>127</v>
      </c>
      <c r="K1657" s="25">
        <f>Sales!$B1657-Sales!$J1657</f>
        <v>-27</v>
      </c>
      <c r="L1657" s="28">
        <f>(Sales!$J1657-Sales!$B1657)/Sales!$J1657</f>
        <v>0.2125984251968504</v>
      </c>
      <c r="M1657" s="28" t="str">
        <f t="shared" si="25"/>
        <v>+20%</v>
      </c>
      <c r="N1657" s="27" t="s">
        <v>64</v>
      </c>
      <c r="O1657" s="27" t="s">
        <v>12</v>
      </c>
      <c r="P1657" s="27" t="s">
        <v>13</v>
      </c>
      <c r="Q1657" s="27" t="s">
        <v>19</v>
      </c>
    </row>
    <row r="1658" spans="1:17" x14ac:dyDescent="0.3">
      <c r="A1658" s="22">
        <v>25</v>
      </c>
      <c r="B1658" s="19">
        <v>100</v>
      </c>
      <c r="C1658" s="20">
        <f>Sales!$B1658*Sales!$A1658</f>
        <v>2500</v>
      </c>
      <c r="D1658" s="21">
        <v>38218</v>
      </c>
      <c r="E1658" s="22" t="s">
        <v>9</v>
      </c>
      <c r="F1658" s="22">
        <v>3</v>
      </c>
      <c r="G1658" s="22">
        <v>8</v>
      </c>
      <c r="H1658" s="22">
        <v>2004</v>
      </c>
      <c r="I1658" s="22" t="s">
        <v>104</v>
      </c>
      <c r="J1658" s="20">
        <v>127</v>
      </c>
      <c r="K1658" s="20">
        <f>Sales!$B1658-Sales!$J1658</f>
        <v>-27</v>
      </c>
      <c r="L1658" s="23">
        <f>(Sales!$J1658-Sales!$B1658)/Sales!$J1658</f>
        <v>0.2125984251968504</v>
      </c>
      <c r="M1658" s="23" t="str">
        <f t="shared" si="25"/>
        <v>+20%</v>
      </c>
      <c r="N1658" s="22" t="s">
        <v>36</v>
      </c>
      <c r="O1658" s="22" t="s">
        <v>12</v>
      </c>
      <c r="P1658" s="22" t="s">
        <v>13</v>
      </c>
      <c r="Q1658" s="22" t="s">
        <v>14</v>
      </c>
    </row>
    <row r="1659" spans="1:17" x14ac:dyDescent="0.3">
      <c r="A1659" s="27">
        <v>48</v>
      </c>
      <c r="B1659" s="24">
        <v>100</v>
      </c>
      <c r="C1659" s="25">
        <f>Sales!$B1659*Sales!$A1659</f>
        <v>4800</v>
      </c>
      <c r="D1659" s="26">
        <v>38238</v>
      </c>
      <c r="E1659" s="27" t="s">
        <v>9</v>
      </c>
      <c r="F1659" s="27">
        <v>3</v>
      </c>
      <c r="G1659" s="27">
        <v>9</v>
      </c>
      <c r="H1659" s="27">
        <v>2004</v>
      </c>
      <c r="I1659" s="27" t="s">
        <v>104</v>
      </c>
      <c r="J1659" s="25">
        <v>127</v>
      </c>
      <c r="K1659" s="25">
        <f>Sales!$B1659-Sales!$J1659</f>
        <v>-27</v>
      </c>
      <c r="L1659" s="28">
        <f>(Sales!$J1659-Sales!$B1659)/Sales!$J1659</f>
        <v>0.2125984251968504</v>
      </c>
      <c r="M1659" s="28" t="str">
        <f t="shared" si="25"/>
        <v>+20%</v>
      </c>
      <c r="N1659" s="27" t="s">
        <v>62</v>
      </c>
      <c r="O1659" s="27" t="s">
        <v>49</v>
      </c>
      <c r="P1659" s="27" t="s">
        <v>17</v>
      </c>
      <c r="Q1659" s="27" t="s">
        <v>19</v>
      </c>
    </row>
    <row r="1660" spans="1:17" x14ac:dyDescent="0.3">
      <c r="A1660" s="22">
        <v>24</v>
      </c>
      <c r="B1660" s="19">
        <v>100</v>
      </c>
      <c r="C1660" s="20">
        <f>Sales!$B1660*Sales!$A1660</f>
        <v>2400</v>
      </c>
      <c r="D1660" s="21">
        <v>38273</v>
      </c>
      <c r="E1660" s="22" t="s">
        <v>9</v>
      </c>
      <c r="F1660" s="22">
        <v>4</v>
      </c>
      <c r="G1660" s="22">
        <v>10</v>
      </c>
      <c r="H1660" s="22">
        <v>2004</v>
      </c>
      <c r="I1660" s="22" t="s">
        <v>104</v>
      </c>
      <c r="J1660" s="20">
        <v>127</v>
      </c>
      <c r="K1660" s="20">
        <f>Sales!$B1660-Sales!$J1660</f>
        <v>-27</v>
      </c>
      <c r="L1660" s="23">
        <f>(Sales!$J1660-Sales!$B1660)/Sales!$J1660</f>
        <v>0.2125984251968504</v>
      </c>
      <c r="M1660" s="23" t="str">
        <f t="shared" si="25"/>
        <v>+20%</v>
      </c>
      <c r="N1660" s="22" t="s">
        <v>32</v>
      </c>
      <c r="O1660" s="22" t="s">
        <v>12</v>
      </c>
      <c r="P1660" s="22" t="s">
        <v>13</v>
      </c>
      <c r="Q1660" s="22" t="s">
        <v>19</v>
      </c>
    </row>
    <row r="1661" spans="1:17" x14ac:dyDescent="0.3">
      <c r="A1661" s="27">
        <v>42</v>
      </c>
      <c r="B1661" s="24">
        <v>100</v>
      </c>
      <c r="C1661" s="25">
        <f>Sales!$B1661*Sales!$A1661</f>
        <v>4200</v>
      </c>
      <c r="D1661" s="26">
        <v>38282</v>
      </c>
      <c r="E1661" s="27" t="s">
        <v>9</v>
      </c>
      <c r="F1661" s="27">
        <v>4</v>
      </c>
      <c r="G1661" s="27">
        <v>10</v>
      </c>
      <c r="H1661" s="27">
        <v>2004</v>
      </c>
      <c r="I1661" s="27" t="s">
        <v>104</v>
      </c>
      <c r="J1661" s="25">
        <v>127</v>
      </c>
      <c r="K1661" s="25">
        <f>Sales!$B1661-Sales!$J1661</f>
        <v>-27</v>
      </c>
      <c r="L1661" s="28">
        <f>(Sales!$J1661-Sales!$B1661)/Sales!$J1661</f>
        <v>0.2125984251968504</v>
      </c>
      <c r="M1661" s="28" t="str">
        <f t="shared" si="25"/>
        <v>+20%</v>
      </c>
      <c r="N1661" s="27" t="s">
        <v>55</v>
      </c>
      <c r="O1661" s="27" t="s">
        <v>56</v>
      </c>
      <c r="P1661" s="27" t="s">
        <v>13</v>
      </c>
      <c r="Q1661" s="27" t="s">
        <v>19</v>
      </c>
    </row>
    <row r="1662" spans="1:17" x14ac:dyDescent="0.3">
      <c r="A1662" s="22">
        <v>31</v>
      </c>
      <c r="B1662" s="19">
        <v>100</v>
      </c>
      <c r="C1662" s="20">
        <f>Sales!$B1662*Sales!$A1662</f>
        <v>3100</v>
      </c>
      <c r="D1662" s="21">
        <v>38296</v>
      </c>
      <c r="E1662" s="22" t="s">
        <v>9</v>
      </c>
      <c r="F1662" s="22">
        <v>4</v>
      </c>
      <c r="G1662" s="22">
        <v>11</v>
      </c>
      <c r="H1662" s="22">
        <v>2004</v>
      </c>
      <c r="I1662" s="22" t="s">
        <v>104</v>
      </c>
      <c r="J1662" s="20">
        <v>127</v>
      </c>
      <c r="K1662" s="20">
        <f>Sales!$B1662-Sales!$J1662</f>
        <v>-27</v>
      </c>
      <c r="L1662" s="23">
        <f>(Sales!$J1662-Sales!$B1662)/Sales!$J1662</f>
        <v>0.2125984251968504</v>
      </c>
      <c r="M1662" s="23" t="str">
        <f t="shared" si="25"/>
        <v>+20%</v>
      </c>
      <c r="N1662" s="22" t="s">
        <v>11</v>
      </c>
      <c r="O1662" s="22" t="s">
        <v>12</v>
      </c>
      <c r="P1662" s="22" t="s">
        <v>13</v>
      </c>
      <c r="Q1662" s="22" t="s">
        <v>19</v>
      </c>
    </row>
    <row r="1663" spans="1:17" x14ac:dyDescent="0.3">
      <c r="A1663" s="27">
        <v>42</v>
      </c>
      <c r="B1663" s="24">
        <v>100</v>
      </c>
      <c r="C1663" s="25">
        <f>Sales!$B1663*Sales!$A1663</f>
        <v>4200</v>
      </c>
      <c r="D1663" s="26">
        <v>38310</v>
      </c>
      <c r="E1663" s="27" t="s">
        <v>87</v>
      </c>
      <c r="F1663" s="27">
        <v>4</v>
      </c>
      <c r="G1663" s="27">
        <v>11</v>
      </c>
      <c r="H1663" s="27">
        <v>2004</v>
      </c>
      <c r="I1663" s="27" t="s">
        <v>104</v>
      </c>
      <c r="J1663" s="25">
        <v>127</v>
      </c>
      <c r="K1663" s="25">
        <f>Sales!$B1663-Sales!$J1663</f>
        <v>-27</v>
      </c>
      <c r="L1663" s="28">
        <f>(Sales!$J1663-Sales!$B1663)/Sales!$J1663</f>
        <v>0.2125984251968504</v>
      </c>
      <c r="M1663" s="28" t="str">
        <f t="shared" si="25"/>
        <v>+20%</v>
      </c>
      <c r="N1663" s="27" t="s">
        <v>48</v>
      </c>
      <c r="O1663" s="27" t="s">
        <v>49</v>
      </c>
      <c r="P1663" s="27" t="s">
        <v>17</v>
      </c>
      <c r="Q1663" s="27" t="s">
        <v>19</v>
      </c>
    </row>
    <row r="1664" spans="1:17" x14ac:dyDescent="0.3">
      <c r="A1664" s="22">
        <v>37</v>
      </c>
      <c r="B1664" s="19">
        <v>100</v>
      </c>
      <c r="C1664" s="20">
        <f>Sales!$B1664*Sales!$A1664</f>
        <v>3700</v>
      </c>
      <c r="D1664" s="21">
        <v>38292</v>
      </c>
      <c r="E1664" s="22" t="s">
        <v>9</v>
      </c>
      <c r="F1664" s="22">
        <v>4</v>
      </c>
      <c r="G1664" s="22">
        <v>11</v>
      </c>
      <c r="H1664" s="22">
        <v>2004</v>
      </c>
      <c r="I1664" s="22" t="s">
        <v>104</v>
      </c>
      <c r="J1664" s="20">
        <v>127</v>
      </c>
      <c r="K1664" s="20">
        <f>Sales!$B1664-Sales!$J1664</f>
        <v>-27</v>
      </c>
      <c r="L1664" s="23">
        <f>(Sales!$J1664-Sales!$B1664)/Sales!$J1664</f>
        <v>0.2125984251968504</v>
      </c>
      <c r="M1664" s="23" t="str">
        <f t="shared" si="25"/>
        <v>+20%</v>
      </c>
      <c r="N1664" s="22" t="s">
        <v>45</v>
      </c>
      <c r="O1664" s="22" t="s">
        <v>46</v>
      </c>
      <c r="P1664" s="22" t="s">
        <v>17</v>
      </c>
      <c r="Q1664" s="22" t="s">
        <v>19</v>
      </c>
    </row>
    <row r="1665" spans="1:17" x14ac:dyDescent="0.3">
      <c r="A1665" s="27">
        <v>41</v>
      </c>
      <c r="B1665" s="24">
        <v>100</v>
      </c>
      <c r="C1665" s="25">
        <f>Sales!$B1665*Sales!$A1665</f>
        <v>4100</v>
      </c>
      <c r="D1665" s="26">
        <v>38331</v>
      </c>
      <c r="E1665" s="27" t="s">
        <v>9</v>
      </c>
      <c r="F1665" s="27">
        <v>4</v>
      </c>
      <c r="G1665" s="27">
        <v>12</v>
      </c>
      <c r="H1665" s="27">
        <v>2004</v>
      </c>
      <c r="I1665" s="27" t="s">
        <v>104</v>
      </c>
      <c r="J1665" s="25">
        <v>127</v>
      </c>
      <c r="K1665" s="25">
        <f>Sales!$B1665-Sales!$J1665</f>
        <v>-27</v>
      </c>
      <c r="L1665" s="28">
        <f>(Sales!$J1665-Sales!$B1665)/Sales!$J1665</f>
        <v>0.2125984251968504</v>
      </c>
      <c r="M1665" s="28" t="str">
        <f t="shared" si="25"/>
        <v>+20%</v>
      </c>
      <c r="N1665" s="27" t="s">
        <v>45</v>
      </c>
      <c r="O1665" s="27" t="s">
        <v>46</v>
      </c>
      <c r="P1665" s="27" t="s">
        <v>17</v>
      </c>
      <c r="Q1665" s="27" t="s">
        <v>19</v>
      </c>
    </row>
    <row r="1666" spans="1:17" x14ac:dyDescent="0.3">
      <c r="A1666" s="22">
        <v>20</v>
      </c>
      <c r="B1666" s="19">
        <v>100</v>
      </c>
      <c r="C1666" s="20">
        <f>Sales!$B1666*Sales!$A1666</f>
        <v>2000</v>
      </c>
      <c r="D1666" s="21">
        <v>38375</v>
      </c>
      <c r="E1666" s="22" t="s">
        <v>9</v>
      </c>
      <c r="F1666" s="22">
        <v>1</v>
      </c>
      <c r="G1666" s="22">
        <v>1</v>
      </c>
      <c r="H1666" s="22">
        <v>2005</v>
      </c>
      <c r="I1666" s="22" t="s">
        <v>104</v>
      </c>
      <c r="J1666" s="20">
        <v>127</v>
      </c>
      <c r="K1666" s="20">
        <f>Sales!$B1666-Sales!$J1666</f>
        <v>-27</v>
      </c>
      <c r="L1666" s="23">
        <f>(Sales!$J1666-Sales!$B1666)/Sales!$J1666</f>
        <v>0.2125984251968504</v>
      </c>
      <c r="M1666" s="23" t="str">
        <f t="shared" si="25"/>
        <v>+20%</v>
      </c>
      <c r="N1666" s="22" t="s">
        <v>64</v>
      </c>
      <c r="O1666" s="22" t="s">
        <v>12</v>
      </c>
      <c r="P1666" s="22" t="s">
        <v>13</v>
      </c>
      <c r="Q1666" s="22" t="s">
        <v>19</v>
      </c>
    </row>
    <row r="1667" spans="1:17" x14ac:dyDescent="0.3">
      <c r="A1667" s="27">
        <v>20</v>
      </c>
      <c r="B1667" s="24">
        <v>100</v>
      </c>
      <c r="C1667" s="25">
        <f>Sales!$B1667*Sales!$A1667</f>
        <v>2000</v>
      </c>
      <c r="D1667" s="26">
        <v>38400</v>
      </c>
      <c r="E1667" s="27" t="s">
        <v>9</v>
      </c>
      <c r="F1667" s="27">
        <v>1</v>
      </c>
      <c r="G1667" s="27">
        <v>2</v>
      </c>
      <c r="H1667" s="27">
        <v>2005</v>
      </c>
      <c r="I1667" s="27" t="s">
        <v>104</v>
      </c>
      <c r="J1667" s="25">
        <v>127</v>
      </c>
      <c r="K1667" s="25">
        <f>Sales!$B1667-Sales!$J1667</f>
        <v>-27</v>
      </c>
      <c r="L1667" s="28">
        <f>(Sales!$J1667-Sales!$B1667)/Sales!$J1667</f>
        <v>0.2125984251968504</v>
      </c>
      <c r="M1667" s="28" t="str">
        <f t="shared" ref="M1667:M1730" si="26">IF(L1667&lt;0%,"Below 0%",IF(L1667=0%,"0%",IF(AND(L1667&lt;=5%,L1667&gt;0%),"0%-5%",IF(AND(L1667&lt;=10%,L1667&gt;5%),"5%-10%",IF(AND(L1667&lt;=15%,L1667&gt;10%),"10%-15%",IF(AND(L1667&lt;=20%,L1667&gt;15%),"15%-20%","+20%"))))))</f>
        <v>+20%</v>
      </c>
      <c r="N1667" s="27" t="s">
        <v>64</v>
      </c>
      <c r="O1667" s="27" t="s">
        <v>12</v>
      </c>
      <c r="P1667" s="27" t="s">
        <v>13</v>
      </c>
      <c r="Q1667" s="27" t="s">
        <v>14</v>
      </c>
    </row>
    <row r="1668" spans="1:17" x14ac:dyDescent="0.3">
      <c r="A1668" s="22">
        <v>70</v>
      </c>
      <c r="B1668" s="19">
        <v>100</v>
      </c>
      <c r="C1668" s="20">
        <f>Sales!$B1668*Sales!$A1668</f>
        <v>7000</v>
      </c>
      <c r="D1668" s="21">
        <v>38475</v>
      </c>
      <c r="E1668" s="22" t="s">
        <v>9</v>
      </c>
      <c r="F1668" s="22">
        <v>2</v>
      </c>
      <c r="G1668" s="22">
        <v>5</v>
      </c>
      <c r="H1668" s="22">
        <v>2005</v>
      </c>
      <c r="I1668" s="22" t="s">
        <v>104</v>
      </c>
      <c r="J1668" s="20">
        <v>127</v>
      </c>
      <c r="K1668" s="20">
        <f>Sales!$B1668-Sales!$J1668</f>
        <v>-27</v>
      </c>
      <c r="L1668" s="23">
        <f>(Sales!$J1668-Sales!$B1668)/Sales!$J1668</f>
        <v>0.2125984251968504</v>
      </c>
      <c r="M1668" s="23" t="str">
        <f t="shared" si="26"/>
        <v>+20%</v>
      </c>
      <c r="N1668" s="22" t="s">
        <v>45</v>
      </c>
      <c r="O1668" s="22" t="s">
        <v>46</v>
      </c>
      <c r="P1668" s="22" t="s">
        <v>17</v>
      </c>
      <c r="Q1668" s="22" t="s">
        <v>39</v>
      </c>
    </row>
    <row r="1669" spans="1:17" x14ac:dyDescent="0.3">
      <c r="A1669" s="27">
        <v>49</v>
      </c>
      <c r="B1669" s="24">
        <v>100</v>
      </c>
      <c r="C1669" s="25">
        <f>Sales!$B1669*Sales!$A1669</f>
        <v>4900</v>
      </c>
      <c r="D1669" s="26">
        <v>38503</v>
      </c>
      <c r="E1669" s="27" t="s">
        <v>69</v>
      </c>
      <c r="F1669" s="27">
        <v>2</v>
      </c>
      <c r="G1669" s="27">
        <v>5</v>
      </c>
      <c r="H1669" s="27">
        <v>2005</v>
      </c>
      <c r="I1669" s="27" t="s">
        <v>104</v>
      </c>
      <c r="J1669" s="25">
        <v>127</v>
      </c>
      <c r="K1669" s="25">
        <f>Sales!$B1669-Sales!$J1669</f>
        <v>-27</v>
      </c>
      <c r="L1669" s="28">
        <f>(Sales!$J1669-Sales!$B1669)/Sales!$J1669</f>
        <v>0.2125984251968504</v>
      </c>
      <c r="M1669" s="28" t="str">
        <f t="shared" si="26"/>
        <v>+20%</v>
      </c>
      <c r="N1669" s="27" t="s">
        <v>31</v>
      </c>
      <c r="O1669" s="27" t="s">
        <v>16</v>
      </c>
      <c r="P1669" s="27" t="s">
        <v>17</v>
      </c>
      <c r="Q1669" s="27" t="s">
        <v>19</v>
      </c>
    </row>
    <row r="1670" spans="1:17" x14ac:dyDescent="0.3">
      <c r="A1670" s="22">
        <v>35</v>
      </c>
      <c r="B1670" s="19">
        <v>58.87</v>
      </c>
      <c r="C1670" s="20">
        <f>Sales!$B1670*Sales!$A1670</f>
        <v>2060.4499999999998</v>
      </c>
      <c r="D1670" s="21">
        <v>37683</v>
      </c>
      <c r="E1670" s="22" t="s">
        <v>9</v>
      </c>
      <c r="F1670" s="22">
        <v>1</v>
      </c>
      <c r="G1670" s="22">
        <v>3</v>
      </c>
      <c r="H1670" s="22">
        <v>2003</v>
      </c>
      <c r="I1670" s="22" t="s">
        <v>10</v>
      </c>
      <c r="J1670" s="20">
        <v>69</v>
      </c>
      <c r="K1670" s="20">
        <f>Sales!$B1670-Sales!$J1670</f>
        <v>-10.130000000000003</v>
      </c>
      <c r="L1670" s="23">
        <f>(Sales!$J1670-Sales!$B1670)/Sales!$J1670</f>
        <v>0.14681159420289858</v>
      </c>
      <c r="M1670" s="23" t="str">
        <f t="shared" si="26"/>
        <v>10%-15%</v>
      </c>
      <c r="N1670" s="22" t="s">
        <v>90</v>
      </c>
      <c r="O1670" s="22" t="s">
        <v>91</v>
      </c>
      <c r="P1670" s="22" t="s">
        <v>28</v>
      </c>
      <c r="Q1670" s="22" t="s">
        <v>14</v>
      </c>
    </row>
    <row r="1671" spans="1:17" x14ac:dyDescent="0.3">
      <c r="A1671" s="27">
        <v>32</v>
      </c>
      <c r="B1671" s="24">
        <v>76.88</v>
      </c>
      <c r="C1671" s="25">
        <f>Sales!$B1671*Sales!$A1671</f>
        <v>2460.16</v>
      </c>
      <c r="D1671" s="26">
        <v>37748</v>
      </c>
      <c r="E1671" s="27" t="s">
        <v>9</v>
      </c>
      <c r="F1671" s="27">
        <v>2</v>
      </c>
      <c r="G1671" s="27">
        <v>5</v>
      </c>
      <c r="H1671" s="27">
        <v>2003</v>
      </c>
      <c r="I1671" s="27" t="s">
        <v>10</v>
      </c>
      <c r="J1671" s="25">
        <v>69</v>
      </c>
      <c r="K1671" s="25">
        <f>Sales!$B1671-Sales!$J1671</f>
        <v>7.8799999999999955</v>
      </c>
      <c r="L1671" s="28">
        <f>(Sales!$J1671-Sales!$B1671)/Sales!$J1671</f>
        <v>-0.11420289855072457</v>
      </c>
      <c r="M1671" s="28" t="str">
        <f t="shared" si="26"/>
        <v>Below 0%</v>
      </c>
      <c r="N1671" s="27" t="s">
        <v>15</v>
      </c>
      <c r="O1671" s="27" t="s">
        <v>16</v>
      </c>
      <c r="P1671" s="27" t="s">
        <v>17</v>
      </c>
      <c r="Q1671" s="27" t="s">
        <v>14</v>
      </c>
    </row>
    <row r="1672" spans="1:17" x14ac:dyDescent="0.3">
      <c r="A1672" s="22">
        <v>29</v>
      </c>
      <c r="B1672" s="19">
        <v>61.64</v>
      </c>
      <c r="C1672" s="20">
        <f>Sales!$B1672*Sales!$A1672</f>
        <v>1787.56</v>
      </c>
      <c r="D1672" s="21">
        <v>37804</v>
      </c>
      <c r="E1672" s="22" t="s">
        <v>9</v>
      </c>
      <c r="F1672" s="22">
        <v>3</v>
      </c>
      <c r="G1672" s="22">
        <v>7</v>
      </c>
      <c r="H1672" s="22">
        <v>2003</v>
      </c>
      <c r="I1672" s="22" t="s">
        <v>10</v>
      </c>
      <c r="J1672" s="20">
        <v>69</v>
      </c>
      <c r="K1672" s="20">
        <f>Sales!$B1672-Sales!$J1672</f>
        <v>-7.3599999999999994</v>
      </c>
      <c r="L1672" s="23">
        <f>(Sales!$J1672-Sales!$B1672)/Sales!$J1672</f>
        <v>0.10666666666666666</v>
      </c>
      <c r="M1672" s="23" t="str">
        <f t="shared" si="26"/>
        <v>10%-15%</v>
      </c>
      <c r="N1672" s="22" t="s">
        <v>64</v>
      </c>
      <c r="O1672" s="22" t="s">
        <v>12</v>
      </c>
      <c r="P1672" s="22" t="s">
        <v>13</v>
      </c>
      <c r="Q1672" s="22" t="s">
        <v>14</v>
      </c>
    </row>
    <row r="1673" spans="1:17" x14ac:dyDescent="0.3">
      <c r="A1673" s="27">
        <v>27</v>
      </c>
      <c r="B1673" s="24">
        <v>60.95</v>
      </c>
      <c r="C1673" s="25">
        <f>Sales!$B1673*Sales!$A1673</f>
        <v>1645.65</v>
      </c>
      <c r="D1673" s="26">
        <v>37858</v>
      </c>
      <c r="E1673" s="27" t="s">
        <v>9</v>
      </c>
      <c r="F1673" s="27">
        <v>3</v>
      </c>
      <c r="G1673" s="27">
        <v>8</v>
      </c>
      <c r="H1673" s="27">
        <v>2003</v>
      </c>
      <c r="I1673" s="27" t="s">
        <v>10</v>
      </c>
      <c r="J1673" s="25">
        <v>69</v>
      </c>
      <c r="K1673" s="25">
        <f>Sales!$B1673-Sales!$J1673</f>
        <v>-8.0499999999999972</v>
      </c>
      <c r="L1673" s="28">
        <f>(Sales!$J1673-Sales!$B1673)/Sales!$J1673</f>
        <v>0.11666666666666663</v>
      </c>
      <c r="M1673" s="28" t="str">
        <f t="shared" si="26"/>
        <v>10%-15%</v>
      </c>
      <c r="N1673" s="27" t="s">
        <v>20</v>
      </c>
      <c r="O1673" s="27" t="s">
        <v>12</v>
      </c>
      <c r="P1673" s="27" t="s">
        <v>13</v>
      </c>
      <c r="Q1673" s="27" t="s">
        <v>14</v>
      </c>
    </row>
    <row r="1674" spans="1:17" x14ac:dyDescent="0.3">
      <c r="A1674" s="22">
        <v>27</v>
      </c>
      <c r="B1674" s="19">
        <v>80.34</v>
      </c>
      <c r="C1674" s="20">
        <f>Sales!$B1674*Sales!$A1674</f>
        <v>2169.1800000000003</v>
      </c>
      <c r="D1674" s="21">
        <v>37904</v>
      </c>
      <c r="E1674" s="22" t="s">
        <v>9</v>
      </c>
      <c r="F1674" s="22">
        <v>4</v>
      </c>
      <c r="G1674" s="22">
        <v>10</v>
      </c>
      <c r="H1674" s="22">
        <v>2003</v>
      </c>
      <c r="I1674" s="22" t="s">
        <v>10</v>
      </c>
      <c r="J1674" s="20">
        <v>69</v>
      </c>
      <c r="K1674" s="20">
        <f>Sales!$B1674-Sales!$J1674</f>
        <v>11.340000000000003</v>
      </c>
      <c r="L1674" s="23">
        <f>(Sales!$J1674-Sales!$B1674)/Sales!$J1674</f>
        <v>-0.16434782608695658</v>
      </c>
      <c r="M1674" s="23" t="str">
        <f t="shared" si="26"/>
        <v>Below 0%</v>
      </c>
      <c r="N1674" s="22" t="s">
        <v>21</v>
      </c>
      <c r="O1674" s="22" t="s">
        <v>12</v>
      </c>
      <c r="P1674" s="22" t="s">
        <v>13</v>
      </c>
      <c r="Q1674" s="22" t="s">
        <v>14</v>
      </c>
    </row>
    <row r="1675" spans="1:17" x14ac:dyDescent="0.3">
      <c r="A1675" s="27">
        <v>38</v>
      </c>
      <c r="B1675" s="24">
        <v>74.11</v>
      </c>
      <c r="C1675" s="25">
        <f>Sales!$B1675*Sales!$A1675</f>
        <v>2816.18</v>
      </c>
      <c r="D1675" s="26">
        <v>37929</v>
      </c>
      <c r="E1675" s="27" t="s">
        <v>9</v>
      </c>
      <c r="F1675" s="27">
        <v>4</v>
      </c>
      <c r="G1675" s="27">
        <v>11</v>
      </c>
      <c r="H1675" s="27">
        <v>2003</v>
      </c>
      <c r="I1675" s="27" t="s">
        <v>10</v>
      </c>
      <c r="J1675" s="25">
        <v>69</v>
      </c>
      <c r="K1675" s="25">
        <f>Sales!$B1675-Sales!$J1675</f>
        <v>5.1099999999999994</v>
      </c>
      <c r="L1675" s="28">
        <f>(Sales!$J1675-Sales!$B1675)/Sales!$J1675</f>
        <v>-7.4057971014492741E-2</v>
      </c>
      <c r="M1675" s="28" t="str">
        <f t="shared" si="26"/>
        <v>Below 0%</v>
      </c>
      <c r="N1675" s="27" t="s">
        <v>67</v>
      </c>
      <c r="O1675" s="27" t="s">
        <v>27</v>
      </c>
      <c r="P1675" s="27" t="s">
        <v>28</v>
      </c>
      <c r="Q1675" s="27" t="s">
        <v>14</v>
      </c>
    </row>
    <row r="1676" spans="1:17" x14ac:dyDescent="0.3">
      <c r="A1676" s="22">
        <v>35</v>
      </c>
      <c r="B1676" s="19">
        <v>72.03</v>
      </c>
      <c r="C1676" s="20">
        <f>Sales!$B1676*Sales!$A1676</f>
        <v>2521.0500000000002</v>
      </c>
      <c r="D1676" s="21">
        <v>37936</v>
      </c>
      <c r="E1676" s="22" t="s">
        <v>9</v>
      </c>
      <c r="F1676" s="22">
        <v>4</v>
      </c>
      <c r="G1676" s="22">
        <v>11</v>
      </c>
      <c r="H1676" s="22">
        <v>2003</v>
      </c>
      <c r="I1676" s="22" t="s">
        <v>10</v>
      </c>
      <c r="J1676" s="20">
        <v>69</v>
      </c>
      <c r="K1676" s="20">
        <f>Sales!$B1676-Sales!$J1676</f>
        <v>3.0300000000000011</v>
      </c>
      <c r="L1676" s="23">
        <f>(Sales!$J1676-Sales!$B1676)/Sales!$J1676</f>
        <v>-4.3913043478260888E-2</v>
      </c>
      <c r="M1676" s="23" t="str">
        <f t="shared" si="26"/>
        <v>Below 0%</v>
      </c>
      <c r="N1676" s="22" t="s">
        <v>23</v>
      </c>
      <c r="O1676" s="22" t="s">
        <v>16</v>
      </c>
      <c r="P1676" s="22" t="s">
        <v>17</v>
      </c>
      <c r="Q1676" s="22" t="s">
        <v>14</v>
      </c>
    </row>
    <row r="1677" spans="1:17" x14ac:dyDescent="0.3">
      <c r="A1677" s="27">
        <v>42</v>
      </c>
      <c r="B1677" s="24">
        <v>76.19</v>
      </c>
      <c r="C1677" s="25">
        <f>Sales!$B1677*Sales!$A1677</f>
        <v>3199.98</v>
      </c>
      <c r="D1677" s="26">
        <v>37944</v>
      </c>
      <c r="E1677" s="27" t="s">
        <v>9</v>
      </c>
      <c r="F1677" s="27">
        <v>4</v>
      </c>
      <c r="G1677" s="27">
        <v>11</v>
      </c>
      <c r="H1677" s="27">
        <v>2003</v>
      </c>
      <c r="I1677" s="27" t="s">
        <v>10</v>
      </c>
      <c r="J1677" s="25">
        <v>69</v>
      </c>
      <c r="K1677" s="25">
        <f>Sales!$B1677-Sales!$J1677</f>
        <v>7.1899999999999977</v>
      </c>
      <c r="L1677" s="28">
        <f>(Sales!$J1677-Sales!$B1677)/Sales!$J1677</f>
        <v>-0.10420289855072461</v>
      </c>
      <c r="M1677" s="28" t="str">
        <f t="shared" si="26"/>
        <v>Below 0%</v>
      </c>
      <c r="N1677" s="27" t="s">
        <v>45</v>
      </c>
      <c r="O1677" s="27" t="s">
        <v>46</v>
      </c>
      <c r="P1677" s="27" t="s">
        <v>17</v>
      </c>
      <c r="Q1677" s="27" t="s">
        <v>19</v>
      </c>
    </row>
    <row r="1678" spans="1:17" x14ac:dyDescent="0.3">
      <c r="A1678" s="22">
        <v>21</v>
      </c>
      <c r="B1678" s="19">
        <v>63.72</v>
      </c>
      <c r="C1678" s="20">
        <f>Sales!$B1678*Sales!$A1678</f>
        <v>1338.12</v>
      </c>
      <c r="D1678" s="21">
        <v>38001</v>
      </c>
      <c r="E1678" s="22" t="s">
        <v>9</v>
      </c>
      <c r="F1678" s="22">
        <v>1</v>
      </c>
      <c r="G1678" s="22">
        <v>1</v>
      </c>
      <c r="H1678" s="22">
        <v>2004</v>
      </c>
      <c r="I1678" s="22" t="s">
        <v>10</v>
      </c>
      <c r="J1678" s="20">
        <v>69</v>
      </c>
      <c r="K1678" s="20">
        <f>Sales!$B1678-Sales!$J1678</f>
        <v>-5.2800000000000011</v>
      </c>
      <c r="L1678" s="23">
        <f>(Sales!$J1678-Sales!$B1678)/Sales!$J1678</f>
        <v>7.6521739130434793E-2</v>
      </c>
      <c r="M1678" s="23" t="str">
        <f t="shared" si="26"/>
        <v>5%-10%</v>
      </c>
      <c r="N1678" s="22" t="s">
        <v>18</v>
      </c>
      <c r="O1678" s="22" t="s">
        <v>16</v>
      </c>
      <c r="P1678" s="22" t="s">
        <v>17</v>
      </c>
      <c r="Q1678" s="22" t="s">
        <v>14</v>
      </c>
    </row>
    <row r="1679" spans="1:17" x14ac:dyDescent="0.3">
      <c r="A1679" s="27">
        <v>37</v>
      </c>
      <c r="B1679" s="24">
        <v>80.34</v>
      </c>
      <c r="C1679" s="25">
        <f>Sales!$B1679*Sales!$A1679</f>
        <v>2972.58</v>
      </c>
      <c r="D1679" s="26">
        <v>38038</v>
      </c>
      <c r="E1679" s="27" t="s">
        <v>9</v>
      </c>
      <c r="F1679" s="27">
        <v>1</v>
      </c>
      <c r="G1679" s="27">
        <v>2</v>
      </c>
      <c r="H1679" s="27">
        <v>2004</v>
      </c>
      <c r="I1679" s="27" t="s">
        <v>10</v>
      </c>
      <c r="J1679" s="25">
        <v>69</v>
      </c>
      <c r="K1679" s="25">
        <f>Sales!$B1679-Sales!$J1679</f>
        <v>11.340000000000003</v>
      </c>
      <c r="L1679" s="28">
        <f>(Sales!$J1679-Sales!$B1679)/Sales!$J1679</f>
        <v>-0.16434782608695658</v>
      </c>
      <c r="M1679" s="28" t="str">
        <f t="shared" si="26"/>
        <v>Below 0%</v>
      </c>
      <c r="N1679" s="27" t="s">
        <v>23</v>
      </c>
      <c r="O1679" s="27" t="s">
        <v>16</v>
      </c>
      <c r="P1679" s="27" t="s">
        <v>17</v>
      </c>
      <c r="Q1679" s="27" t="s">
        <v>14</v>
      </c>
    </row>
    <row r="1680" spans="1:17" x14ac:dyDescent="0.3">
      <c r="A1680" s="22">
        <v>26</v>
      </c>
      <c r="B1680" s="19">
        <v>79.650000000000006</v>
      </c>
      <c r="C1680" s="20">
        <f>Sales!$B1680*Sales!$A1680</f>
        <v>2070.9</v>
      </c>
      <c r="D1680" s="21">
        <v>38082</v>
      </c>
      <c r="E1680" s="22" t="s">
        <v>9</v>
      </c>
      <c r="F1680" s="22">
        <v>2</v>
      </c>
      <c r="G1680" s="22">
        <v>4</v>
      </c>
      <c r="H1680" s="22">
        <v>2004</v>
      </c>
      <c r="I1680" s="22" t="s">
        <v>10</v>
      </c>
      <c r="J1680" s="20">
        <v>69</v>
      </c>
      <c r="K1680" s="20">
        <f>Sales!$B1680-Sales!$J1680</f>
        <v>10.650000000000006</v>
      </c>
      <c r="L1680" s="23">
        <f>(Sales!$J1680-Sales!$B1680)/Sales!$J1680</f>
        <v>-0.1543478260869566</v>
      </c>
      <c r="M1680" s="23" t="str">
        <f t="shared" si="26"/>
        <v>Below 0%</v>
      </c>
      <c r="N1680" s="22" t="s">
        <v>11</v>
      </c>
      <c r="O1680" s="22" t="s">
        <v>12</v>
      </c>
      <c r="P1680" s="22" t="s">
        <v>13</v>
      </c>
      <c r="Q1680" s="22" t="s">
        <v>14</v>
      </c>
    </row>
    <row r="1681" spans="1:17" x14ac:dyDescent="0.3">
      <c r="A1681" s="27">
        <v>47</v>
      </c>
      <c r="B1681" s="24">
        <v>65.8</v>
      </c>
      <c r="C1681" s="25">
        <f>Sales!$B1681*Sales!$A1681</f>
        <v>3092.6</v>
      </c>
      <c r="D1681" s="26">
        <v>38133</v>
      </c>
      <c r="E1681" s="27" t="s">
        <v>9</v>
      </c>
      <c r="F1681" s="27">
        <v>2</v>
      </c>
      <c r="G1681" s="27">
        <v>5</v>
      </c>
      <c r="H1681" s="27">
        <v>2004</v>
      </c>
      <c r="I1681" s="27" t="s">
        <v>10</v>
      </c>
      <c r="J1681" s="25">
        <v>69</v>
      </c>
      <c r="K1681" s="25">
        <f>Sales!$B1681-Sales!$J1681</f>
        <v>-3.2000000000000028</v>
      </c>
      <c r="L1681" s="28">
        <f>(Sales!$J1681-Sales!$B1681)/Sales!$J1681</f>
        <v>4.6376811594202941E-2</v>
      </c>
      <c r="M1681" s="28" t="str">
        <f t="shared" si="26"/>
        <v>0%-5%</v>
      </c>
      <c r="N1681" s="27" t="s">
        <v>18</v>
      </c>
      <c r="O1681" s="27" t="s">
        <v>16</v>
      </c>
      <c r="P1681" s="27" t="s">
        <v>17</v>
      </c>
      <c r="Q1681" s="27" t="s">
        <v>19</v>
      </c>
    </row>
    <row r="1682" spans="1:17" x14ac:dyDescent="0.3">
      <c r="A1682" s="22">
        <v>37</v>
      </c>
      <c r="B1682" s="19">
        <v>65.099999999999994</v>
      </c>
      <c r="C1682" s="20">
        <f>Sales!$B1682*Sales!$A1682</f>
        <v>2408.6999999999998</v>
      </c>
      <c r="D1682" s="21">
        <v>38168</v>
      </c>
      <c r="E1682" s="22" t="s">
        <v>9</v>
      </c>
      <c r="F1682" s="22">
        <v>2</v>
      </c>
      <c r="G1682" s="22">
        <v>6</v>
      </c>
      <c r="H1682" s="22">
        <v>2004</v>
      </c>
      <c r="I1682" s="22" t="s">
        <v>10</v>
      </c>
      <c r="J1682" s="20">
        <v>69</v>
      </c>
      <c r="K1682" s="20">
        <f>Sales!$B1682-Sales!$J1682</f>
        <v>-3.9000000000000057</v>
      </c>
      <c r="L1682" s="23">
        <f>(Sales!$J1682-Sales!$B1682)/Sales!$J1682</f>
        <v>5.6521739130434866E-2</v>
      </c>
      <c r="M1682" s="23" t="str">
        <f t="shared" si="26"/>
        <v>5%-10%</v>
      </c>
      <c r="N1682" s="22" t="s">
        <v>83</v>
      </c>
      <c r="O1682" s="22" t="s">
        <v>12</v>
      </c>
      <c r="P1682" s="22" t="s">
        <v>13</v>
      </c>
      <c r="Q1682" s="22" t="s">
        <v>14</v>
      </c>
    </row>
    <row r="1683" spans="1:17" x14ac:dyDescent="0.3">
      <c r="A1683" s="27">
        <v>46</v>
      </c>
      <c r="B1683" s="24">
        <v>75.489999999999995</v>
      </c>
      <c r="C1683" s="25">
        <f>Sales!$B1683*Sales!$A1683</f>
        <v>3472.54</v>
      </c>
      <c r="D1683" s="26">
        <v>38201</v>
      </c>
      <c r="E1683" s="27" t="s">
        <v>9</v>
      </c>
      <c r="F1683" s="27">
        <v>3</v>
      </c>
      <c r="G1683" s="27">
        <v>8</v>
      </c>
      <c r="H1683" s="27">
        <v>2004</v>
      </c>
      <c r="I1683" s="27" t="s">
        <v>10</v>
      </c>
      <c r="J1683" s="25">
        <v>69</v>
      </c>
      <c r="K1683" s="25">
        <f>Sales!$B1683-Sales!$J1683</f>
        <v>6.4899999999999949</v>
      </c>
      <c r="L1683" s="28">
        <f>(Sales!$J1683-Sales!$B1683)/Sales!$J1683</f>
        <v>-9.4057971014492675E-2</v>
      </c>
      <c r="M1683" s="28" t="str">
        <f t="shared" si="26"/>
        <v>Below 0%</v>
      </c>
      <c r="N1683" s="27" t="s">
        <v>66</v>
      </c>
      <c r="O1683" s="27" t="s">
        <v>12</v>
      </c>
      <c r="P1683" s="27" t="s">
        <v>13</v>
      </c>
      <c r="Q1683" s="27" t="s">
        <v>19</v>
      </c>
    </row>
    <row r="1684" spans="1:17" x14ac:dyDescent="0.3">
      <c r="A1684" s="22">
        <v>38</v>
      </c>
      <c r="B1684" s="19">
        <v>59.56</v>
      </c>
      <c r="C1684" s="20">
        <f>Sales!$B1684*Sales!$A1684</f>
        <v>2263.2800000000002</v>
      </c>
      <c r="D1684" s="21">
        <v>38226</v>
      </c>
      <c r="E1684" s="22" t="s">
        <v>9</v>
      </c>
      <c r="F1684" s="22">
        <v>3</v>
      </c>
      <c r="G1684" s="22">
        <v>8</v>
      </c>
      <c r="H1684" s="22">
        <v>2004</v>
      </c>
      <c r="I1684" s="22" t="s">
        <v>10</v>
      </c>
      <c r="J1684" s="20">
        <v>69</v>
      </c>
      <c r="K1684" s="20">
        <f>Sales!$B1684-Sales!$J1684</f>
        <v>-9.4399999999999977</v>
      </c>
      <c r="L1684" s="23">
        <f>(Sales!$J1684-Sales!$B1684)/Sales!$J1684</f>
        <v>0.13681159420289851</v>
      </c>
      <c r="M1684" s="23" t="str">
        <f t="shared" si="26"/>
        <v>10%-15%</v>
      </c>
      <c r="N1684" s="22" t="s">
        <v>32</v>
      </c>
      <c r="O1684" s="22" t="s">
        <v>12</v>
      </c>
      <c r="P1684" s="22" t="s">
        <v>13</v>
      </c>
      <c r="Q1684" s="22" t="s">
        <v>14</v>
      </c>
    </row>
    <row r="1685" spans="1:17" x14ac:dyDescent="0.3">
      <c r="A1685" s="27">
        <v>33</v>
      </c>
      <c r="B1685" s="24">
        <v>66.489999999999995</v>
      </c>
      <c r="C1685" s="25">
        <f>Sales!$B1685*Sales!$A1685</f>
        <v>2194.1699999999996</v>
      </c>
      <c r="D1685" s="26">
        <v>38260</v>
      </c>
      <c r="E1685" s="27" t="s">
        <v>9</v>
      </c>
      <c r="F1685" s="27">
        <v>3</v>
      </c>
      <c r="G1685" s="27">
        <v>9</v>
      </c>
      <c r="H1685" s="27">
        <v>2004</v>
      </c>
      <c r="I1685" s="27" t="s">
        <v>10</v>
      </c>
      <c r="J1685" s="25">
        <v>69</v>
      </c>
      <c r="K1685" s="25">
        <f>Sales!$B1685-Sales!$J1685</f>
        <v>-2.5100000000000051</v>
      </c>
      <c r="L1685" s="28">
        <f>(Sales!$J1685-Sales!$B1685)/Sales!$J1685</f>
        <v>3.6376811594202973E-2</v>
      </c>
      <c r="M1685" s="28" t="str">
        <f t="shared" si="26"/>
        <v>0%-5%</v>
      </c>
      <c r="N1685" s="27" t="s">
        <v>33</v>
      </c>
      <c r="O1685" s="27" t="s">
        <v>34</v>
      </c>
      <c r="P1685" s="27" t="s">
        <v>17</v>
      </c>
      <c r="Q1685" s="27" t="s">
        <v>14</v>
      </c>
    </row>
    <row r="1686" spans="1:17" x14ac:dyDescent="0.3">
      <c r="A1686" s="22">
        <v>24</v>
      </c>
      <c r="B1686" s="19">
        <v>56.1</v>
      </c>
      <c r="C1686" s="20">
        <f>Sales!$B1686*Sales!$A1686</f>
        <v>1346.4</v>
      </c>
      <c r="D1686" s="21">
        <v>38275</v>
      </c>
      <c r="E1686" s="22" t="s">
        <v>9</v>
      </c>
      <c r="F1686" s="22">
        <v>4</v>
      </c>
      <c r="G1686" s="22">
        <v>10</v>
      </c>
      <c r="H1686" s="22">
        <v>2004</v>
      </c>
      <c r="I1686" s="22" t="s">
        <v>10</v>
      </c>
      <c r="J1686" s="20">
        <v>69</v>
      </c>
      <c r="K1686" s="20">
        <f>Sales!$B1686-Sales!$J1686</f>
        <v>-12.899999999999999</v>
      </c>
      <c r="L1686" s="23">
        <f>(Sales!$J1686-Sales!$B1686)/Sales!$J1686</f>
        <v>0.18695652173913041</v>
      </c>
      <c r="M1686" s="23" t="str">
        <f t="shared" si="26"/>
        <v>15%-20%</v>
      </c>
      <c r="N1686" s="22" t="s">
        <v>35</v>
      </c>
      <c r="O1686" s="22" t="s">
        <v>25</v>
      </c>
      <c r="P1686" s="22" t="s">
        <v>17</v>
      </c>
      <c r="Q1686" s="22" t="s">
        <v>14</v>
      </c>
    </row>
    <row r="1687" spans="1:17" x14ac:dyDescent="0.3">
      <c r="A1687" s="27">
        <v>31</v>
      </c>
      <c r="B1687" s="24">
        <v>81.73</v>
      </c>
      <c r="C1687" s="25">
        <f>Sales!$B1687*Sales!$A1687</f>
        <v>2533.63</v>
      </c>
      <c r="D1687" s="26">
        <v>38294</v>
      </c>
      <c r="E1687" s="27" t="s">
        <v>9</v>
      </c>
      <c r="F1687" s="27">
        <v>4</v>
      </c>
      <c r="G1687" s="27">
        <v>11</v>
      </c>
      <c r="H1687" s="27">
        <v>2004</v>
      </c>
      <c r="I1687" s="27" t="s">
        <v>10</v>
      </c>
      <c r="J1687" s="25">
        <v>69</v>
      </c>
      <c r="K1687" s="25">
        <f>Sales!$B1687-Sales!$J1687</f>
        <v>12.730000000000004</v>
      </c>
      <c r="L1687" s="28">
        <f>(Sales!$J1687-Sales!$B1687)/Sales!$J1687</f>
        <v>-0.18449275362318845</v>
      </c>
      <c r="M1687" s="28" t="str">
        <f t="shared" si="26"/>
        <v>Below 0%</v>
      </c>
      <c r="N1687" s="27" t="s">
        <v>11</v>
      </c>
      <c r="O1687" s="27" t="s">
        <v>12</v>
      </c>
      <c r="P1687" s="27" t="s">
        <v>13</v>
      </c>
      <c r="Q1687" s="27" t="s">
        <v>14</v>
      </c>
    </row>
    <row r="1688" spans="1:17" x14ac:dyDescent="0.3">
      <c r="A1688" s="22">
        <v>42</v>
      </c>
      <c r="B1688" s="19">
        <v>81.03</v>
      </c>
      <c r="C1688" s="20">
        <f>Sales!$B1688*Sales!$A1688</f>
        <v>3403.26</v>
      </c>
      <c r="D1688" s="21">
        <v>38307</v>
      </c>
      <c r="E1688" s="22" t="s">
        <v>9</v>
      </c>
      <c r="F1688" s="22">
        <v>4</v>
      </c>
      <c r="G1688" s="22">
        <v>11</v>
      </c>
      <c r="H1688" s="22">
        <v>2004</v>
      </c>
      <c r="I1688" s="22" t="s">
        <v>10</v>
      </c>
      <c r="J1688" s="20">
        <v>69</v>
      </c>
      <c r="K1688" s="20">
        <f>Sales!$B1688-Sales!$J1688</f>
        <v>12.030000000000001</v>
      </c>
      <c r="L1688" s="23">
        <f>(Sales!$J1688-Sales!$B1688)/Sales!$J1688</f>
        <v>-0.17434782608695654</v>
      </c>
      <c r="M1688" s="23" t="str">
        <f t="shared" si="26"/>
        <v>Below 0%</v>
      </c>
      <c r="N1688" s="22" t="s">
        <v>90</v>
      </c>
      <c r="O1688" s="22" t="s">
        <v>91</v>
      </c>
      <c r="P1688" s="22" t="s">
        <v>28</v>
      </c>
      <c r="Q1688" s="22" t="s">
        <v>19</v>
      </c>
    </row>
    <row r="1689" spans="1:17" x14ac:dyDescent="0.3">
      <c r="A1689" s="27">
        <v>32</v>
      </c>
      <c r="B1689" s="24">
        <v>100</v>
      </c>
      <c r="C1689" s="25">
        <f>Sales!$B1689*Sales!$A1689</f>
        <v>3200</v>
      </c>
      <c r="D1689" s="26">
        <v>38315</v>
      </c>
      <c r="E1689" s="27" t="s">
        <v>9</v>
      </c>
      <c r="F1689" s="27">
        <v>4</v>
      </c>
      <c r="G1689" s="27">
        <v>11</v>
      </c>
      <c r="H1689" s="27">
        <v>2004</v>
      </c>
      <c r="I1689" s="27" t="s">
        <v>10</v>
      </c>
      <c r="J1689" s="25">
        <v>69</v>
      </c>
      <c r="K1689" s="25">
        <f>Sales!$B1689-Sales!$J1689</f>
        <v>31</v>
      </c>
      <c r="L1689" s="28">
        <f>(Sales!$J1689-Sales!$B1689)/Sales!$J1689</f>
        <v>-0.44927536231884058</v>
      </c>
      <c r="M1689" s="28" t="str">
        <f t="shared" si="26"/>
        <v>Below 0%</v>
      </c>
      <c r="N1689" s="27" t="s">
        <v>37</v>
      </c>
      <c r="O1689" s="27" t="s">
        <v>38</v>
      </c>
      <c r="P1689" s="27" t="s">
        <v>17</v>
      </c>
      <c r="Q1689" s="27" t="s">
        <v>19</v>
      </c>
    </row>
    <row r="1690" spans="1:17" x14ac:dyDescent="0.3">
      <c r="A1690" s="22">
        <v>41</v>
      </c>
      <c r="B1690" s="19">
        <v>70.650000000000006</v>
      </c>
      <c r="C1690" s="20">
        <f>Sales!$B1690*Sales!$A1690</f>
        <v>2896.65</v>
      </c>
      <c r="D1690" s="21">
        <v>38328</v>
      </c>
      <c r="E1690" s="22" t="s">
        <v>9</v>
      </c>
      <c r="F1690" s="22">
        <v>4</v>
      </c>
      <c r="G1690" s="22">
        <v>12</v>
      </c>
      <c r="H1690" s="22">
        <v>2004</v>
      </c>
      <c r="I1690" s="22" t="s">
        <v>10</v>
      </c>
      <c r="J1690" s="20">
        <v>69</v>
      </c>
      <c r="K1690" s="20">
        <f>Sales!$B1690-Sales!$J1690</f>
        <v>1.6500000000000057</v>
      </c>
      <c r="L1690" s="23">
        <f>(Sales!$J1690-Sales!$B1690)/Sales!$J1690</f>
        <v>-2.3913043478260954E-2</v>
      </c>
      <c r="M1690" s="23" t="str">
        <f t="shared" si="26"/>
        <v>Below 0%</v>
      </c>
      <c r="N1690" s="22" t="s">
        <v>45</v>
      </c>
      <c r="O1690" s="22" t="s">
        <v>46</v>
      </c>
      <c r="P1690" s="22" t="s">
        <v>17</v>
      </c>
      <c r="Q1690" s="22" t="s">
        <v>14</v>
      </c>
    </row>
    <row r="1691" spans="1:17" x14ac:dyDescent="0.3">
      <c r="A1691" s="27">
        <v>43</v>
      </c>
      <c r="B1691" s="24">
        <v>61.23</v>
      </c>
      <c r="C1691" s="25">
        <f>Sales!$B1691*Sales!$A1691</f>
        <v>2632.89</v>
      </c>
      <c r="D1691" s="26">
        <v>38358</v>
      </c>
      <c r="E1691" s="27" t="s">
        <v>9</v>
      </c>
      <c r="F1691" s="27">
        <v>1</v>
      </c>
      <c r="G1691" s="27">
        <v>1</v>
      </c>
      <c r="H1691" s="27">
        <v>2005</v>
      </c>
      <c r="I1691" s="27" t="s">
        <v>10</v>
      </c>
      <c r="J1691" s="25">
        <v>69</v>
      </c>
      <c r="K1691" s="25">
        <f>Sales!$B1691-Sales!$J1691</f>
        <v>-7.7700000000000031</v>
      </c>
      <c r="L1691" s="28">
        <f>(Sales!$J1691-Sales!$B1691)/Sales!$J1691</f>
        <v>0.11260869565217396</v>
      </c>
      <c r="M1691" s="28" t="str">
        <f t="shared" si="26"/>
        <v>10%-15%</v>
      </c>
      <c r="N1691" s="27" t="s">
        <v>99</v>
      </c>
      <c r="O1691" s="27" t="s">
        <v>34</v>
      </c>
      <c r="P1691" s="27" t="s">
        <v>17</v>
      </c>
      <c r="Q1691" s="27" t="s">
        <v>14</v>
      </c>
    </row>
    <row r="1692" spans="1:17" x14ac:dyDescent="0.3">
      <c r="A1692" s="22">
        <v>20</v>
      </c>
      <c r="B1692" s="19">
        <v>100</v>
      </c>
      <c r="C1692" s="20">
        <f>Sales!$B1692*Sales!$A1692</f>
        <v>2000</v>
      </c>
      <c r="D1692" s="21">
        <v>38386</v>
      </c>
      <c r="E1692" s="22" t="s">
        <v>9</v>
      </c>
      <c r="F1692" s="22">
        <v>1</v>
      </c>
      <c r="G1692" s="22">
        <v>2</v>
      </c>
      <c r="H1692" s="22">
        <v>2005</v>
      </c>
      <c r="I1692" s="22" t="s">
        <v>10</v>
      </c>
      <c r="J1692" s="20">
        <v>69</v>
      </c>
      <c r="K1692" s="20">
        <f>Sales!$B1692-Sales!$J1692</f>
        <v>31</v>
      </c>
      <c r="L1692" s="23">
        <f>(Sales!$J1692-Sales!$B1692)/Sales!$J1692</f>
        <v>-0.44927536231884058</v>
      </c>
      <c r="M1692" s="23" t="str">
        <f t="shared" si="26"/>
        <v>Below 0%</v>
      </c>
      <c r="N1692" s="22" t="s">
        <v>31</v>
      </c>
      <c r="O1692" s="22" t="s">
        <v>16</v>
      </c>
      <c r="P1692" s="22" t="s">
        <v>17</v>
      </c>
      <c r="Q1692" s="22" t="s">
        <v>14</v>
      </c>
    </row>
    <row r="1693" spans="1:17" x14ac:dyDescent="0.3">
      <c r="A1693" s="27">
        <v>35</v>
      </c>
      <c r="B1693" s="24">
        <v>65.13</v>
      </c>
      <c r="C1693" s="25">
        <f>Sales!$B1693*Sales!$A1693</f>
        <v>2279.5499999999997</v>
      </c>
      <c r="D1693" s="26">
        <v>38415</v>
      </c>
      <c r="E1693" s="27" t="s">
        <v>9</v>
      </c>
      <c r="F1693" s="27">
        <v>1</v>
      </c>
      <c r="G1693" s="27">
        <v>3</v>
      </c>
      <c r="H1693" s="27">
        <v>2005</v>
      </c>
      <c r="I1693" s="27" t="s">
        <v>10</v>
      </c>
      <c r="J1693" s="25">
        <v>69</v>
      </c>
      <c r="K1693" s="25">
        <f>Sales!$B1693-Sales!$J1693</f>
        <v>-3.8700000000000045</v>
      </c>
      <c r="L1693" s="28">
        <f>(Sales!$J1693-Sales!$B1693)/Sales!$J1693</f>
        <v>5.6086956521739194E-2</v>
      </c>
      <c r="M1693" s="28" t="str">
        <f t="shared" si="26"/>
        <v>5%-10%</v>
      </c>
      <c r="N1693" s="27" t="s">
        <v>64</v>
      </c>
      <c r="O1693" s="27" t="s">
        <v>12</v>
      </c>
      <c r="P1693" s="27" t="s">
        <v>13</v>
      </c>
      <c r="Q1693" s="27" t="s">
        <v>14</v>
      </c>
    </row>
    <row r="1694" spans="1:17" x14ac:dyDescent="0.3">
      <c r="A1694" s="22">
        <v>27</v>
      </c>
      <c r="B1694" s="19">
        <v>79.650000000000006</v>
      </c>
      <c r="C1694" s="20">
        <f>Sales!$B1694*Sales!$A1694</f>
        <v>2150.5500000000002</v>
      </c>
      <c r="D1694" s="21">
        <v>38450</v>
      </c>
      <c r="E1694" s="22" t="s">
        <v>9</v>
      </c>
      <c r="F1694" s="22">
        <v>2</v>
      </c>
      <c r="G1694" s="22">
        <v>4</v>
      </c>
      <c r="H1694" s="22">
        <v>2005</v>
      </c>
      <c r="I1694" s="22" t="s">
        <v>10</v>
      </c>
      <c r="J1694" s="20">
        <v>69</v>
      </c>
      <c r="K1694" s="20">
        <f>Sales!$B1694-Sales!$J1694</f>
        <v>10.650000000000006</v>
      </c>
      <c r="L1694" s="23">
        <f>(Sales!$J1694-Sales!$B1694)/Sales!$J1694</f>
        <v>-0.1543478260869566</v>
      </c>
      <c r="M1694" s="23" t="str">
        <f t="shared" si="26"/>
        <v>Below 0%</v>
      </c>
      <c r="N1694" s="22" t="s">
        <v>42</v>
      </c>
      <c r="O1694" s="22" t="s">
        <v>43</v>
      </c>
      <c r="P1694" s="22" t="s">
        <v>17</v>
      </c>
      <c r="Q1694" s="22" t="s">
        <v>14</v>
      </c>
    </row>
    <row r="1695" spans="1:17" x14ac:dyDescent="0.3">
      <c r="A1695" s="27">
        <v>43</v>
      </c>
      <c r="B1695" s="24">
        <v>78.150000000000006</v>
      </c>
      <c r="C1695" s="25">
        <f>Sales!$B1695*Sales!$A1695</f>
        <v>3360.4500000000003</v>
      </c>
      <c r="D1695" s="26">
        <v>37698</v>
      </c>
      <c r="E1695" s="27" t="s">
        <v>9</v>
      </c>
      <c r="F1695" s="27">
        <v>1</v>
      </c>
      <c r="G1695" s="27">
        <v>3</v>
      </c>
      <c r="H1695" s="27">
        <v>2003</v>
      </c>
      <c r="I1695" s="27" t="s">
        <v>47</v>
      </c>
      <c r="J1695" s="25">
        <v>90</v>
      </c>
      <c r="K1695" s="25">
        <f>Sales!$B1695-Sales!$J1695</f>
        <v>-11.849999999999994</v>
      </c>
      <c r="L1695" s="28">
        <f>(Sales!$J1695-Sales!$B1695)/Sales!$J1695</f>
        <v>0.1316666666666666</v>
      </c>
      <c r="M1695" s="28" t="str">
        <f t="shared" si="26"/>
        <v>10%-15%</v>
      </c>
      <c r="N1695" s="27" t="s">
        <v>102</v>
      </c>
      <c r="O1695" s="27" t="s">
        <v>43</v>
      </c>
      <c r="P1695" s="27" t="s">
        <v>17</v>
      </c>
      <c r="Q1695" s="27" t="s">
        <v>19</v>
      </c>
    </row>
    <row r="1696" spans="1:17" x14ac:dyDescent="0.3">
      <c r="A1696" s="22">
        <v>32</v>
      </c>
      <c r="B1696" s="19">
        <v>72.7</v>
      </c>
      <c r="C1696" s="20">
        <f>Sales!$B1696*Sales!$A1696</f>
        <v>2326.4</v>
      </c>
      <c r="D1696" s="21">
        <v>37762</v>
      </c>
      <c r="E1696" s="22" t="s">
        <v>9</v>
      </c>
      <c r="F1696" s="22">
        <v>2</v>
      </c>
      <c r="G1696" s="22">
        <v>5</v>
      </c>
      <c r="H1696" s="22">
        <v>2003</v>
      </c>
      <c r="I1696" s="22" t="s">
        <v>47</v>
      </c>
      <c r="J1696" s="20">
        <v>90</v>
      </c>
      <c r="K1696" s="20">
        <f>Sales!$B1696-Sales!$J1696</f>
        <v>-17.299999999999997</v>
      </c>
      <c r="L1696" s="23">
        <f>(Sales!$J1696-Sales!$B1696)/Sales!$J1696</f>
        <v>0.19222222222222218</v>
      </c>
      <c r="M1696" s="23" t="str">
        <f t="shared" si="26"/>
        <v>15%-20%</v>
      </c>
      <c r="N1696" s="22" t="s">
        <v>109</v>
      </c>
      <c r="O1696" s="22" t="s">
        <v>12</v>
      </c>
      <c r="P1696" s="22" t="s">
        <v>13</v>
      </c>
      <c r="Q1696" s="22" t="s">
        <v>14</v>
      </c>
    </row>
    <row r="1697" spans="1:17" x14ac:dyDescent="0.3">
      <c r="A1697" s="27">
        <v>21</v>
      </c>
      <c r="B1697" s="24">
        <v>73.599999999999994</v>
      </c>
      <c r="C1697" s="25">
        <f>Sales!$B1697*Sales!$A1697</f>
        <v>1545.6</v>
      </c>
      <c r="D1697" s="26">
        <v>37875</v>
      </c>
      <c r="E1697" s="27" t="s">
        <v>9</v>
      </c>
      <c r="F1697" s="27">
        <v>3</v>
      </c>
      <c r="G1697" s="27">
        <v>9</v>
      </c>
      <c r="H1697" s="27">
        <v>2003</v>
      </c>
      <c r="I1697" s="27" t="s">
        <v>47</v>
      </c>
      <c r="J1697" s="25">
        <v>90</v>
      </c>
      <c r="K1697" s="25">
        <f>Sales!$B1697-Sales!$J1697</f>
        <v>-16.400000000000006</v>
      </c>
      <c r="L1697" s="28">
        <f>(Sales!$J1697-Sales!$B1697)/Sales!$J1697</f>
        <v>0.18222222222222229</v>
      </c>
      <c r="M1697" s="28" t="str">
        <f t="shared" si="26"/>
        <v>15%-20%</v>
      </c>
      <c r="N1697" s="27" t="s">
        <v>67</v>
      </c>
      <c r="O1697" s="27" t="s">
        <v>27</v>
      </c>
      <c r="P1697" s="27" t="s">
        <v>28</v>
      </c>
      <c r="Q1697" s="27" t="s">
        <v>14</v>
      </c>
    </row>
    <row r="1698" spans="1:17" x14ac:dyDescent="0.3">
      <c r="A1698" s="22">
        <v>20</v>
      </c>
      <c r="B1698" s="19">
        <v>100</v>
      </c>
      <c r="C1698" s="20">
        <f>Sales!$B1698*Sales!$A1698</f>
        <v>2000</v>
      </c>
      <c r="D1698" s="21">
        <v>37911</v>
      </c>
      <c r="E1698" s="22" t="s">
        <v>9</v>
      </c>
      <c r="F1698" s="22">
        <v>4</v>
      </c>
      <c r="G1698" s="22">
        <v>10</v>
      </c>
      <c r="H1698" s="22">
        <v>2003</v>
      </c>
      <c r="I1698" s="22" t="s">
        <v>47</v>
      </c>
      <c r="J1698" s="20">
        <v>90</v>
      </c>
      <c r="K1698" s="20">
        <f>Sales!$B1698-Sales!$J1698</f>
        <v>10</v>
      </c>
      <c r="L1698" s="23">
        <f>(Sales!$J1698-Sales!$B1698)/Sales!$J1698</f>
        <v>-0.1111111111111111</v>
      </c>
      <c r="M1698" s="23" t="str">
        <f t="shared" si="26"/>
        <v>Below 0%</v>
      </c>
      <c r="N1698" s="22" t="s">
        <v>103</v>
      </c>
      <c r="O1698" s="22" t="s">
        <v>73</v>
      </c>
      <c r="P1698" s="22" t="s">
        <v>17</v>
      </c>
      <c r="Q1698" s="22" t="s">
        <v>14</v>
      </c>
    </row>
    <row r="1699" spans="1:17" x14ac:dyDescent="0.3">
      <c r="A1699" s="27">
        <v>22</v>
      </c>
      <c r="B1699" s="24">
        <v>74.510000000000005</v>
      </c>
      <c r="C1699" s="25">
        <f>Sales!$B1699*Sales!$A1699</f>
        <v>1639.22</v>
      </c>
      <c r="D1699" s="26">
        <v>37930</v>
      </c>
      <c r="E1699" s="27" t="s">
        <v>9</v>
      </c>
      <c r="F1699" s="27">
        <v>4</v>
      </c>
      <c r="G1699" s="27">
        <v>11</v>
      </c>
      <c r="H1699" s="27">
        <v>2003</v>
      </c>
      <c r="I1699" s="27" t="s">
        <v>47</v>
      </c>
      <c r="J1699" s="25">
        <v>90</v>
      </c>
      <c r="K1699" s="25">
        <f>Sales!$B1699-Sales!$J1699</f>
        <v>-15.489999999999995</v>
      </c>
      <c r="L1699" s="28">
        <f>(Sales!$J1699-Sales!$B1699)/Sales!$J1699</f>
        <v>0.17211111111111105</v>
      </c>
      <c r="M1699" s="28" t="str">
        <f t="shared" si="26"/>
        <v>15%-20%</v>
      </c>
      <c r="N1699" s="27" t="s">
        <v>30</v>
      </c>
      <c r="O1699" s="27" t="s">
        <v>12</v>
      </c>
      <c r="P1699" s="27" t="s">
        <v>13</v>
      </c>
      <c r="Q1699" s="27" t="s">
        <v>14</v>
      </c>
    </row>
    <row r="1700" spans="1:17" x14ac:dyDescent="0.3">
      <c r="A1700" s="22">
        <v>36</v>
      </c>
      <c r="B1700" s="19">
        <v>73.599999999999994</v>
      </c>
      <c r="C1700" s="20">
        <f>Sales!$B1700*Sales!$A1700</f>
        <v>2649.6</v>
      </c>
      <c r="D1700" s="21">
        <v>37937</v>
      </c>
      <c r="E1700" s="22" t="s">
        <v>9</v>
      </c>
      <c r="F1700" s="22">
        <v>4</v>
      </c>
      <c r="G1700" s="22">
        <v>11</v>
      </c>
      <c r="H1700" s="22">
        <v>2003</v>
      </c>
      <c r="I1700" s="22" t="s">
        <v>47</v>
      </c>
      <c r="J1700" s="20">
        <v>90</v>
      </c>
      <c r="K1700" s="20">
        <f>Sales!$B1700-Sales!$J1700</f>
        <v>-16.400000000000006</v>
      </c>
      <c r="L1700" s="23">
        <f>(Sales!$J1700-Sales!$B1700)/Sales!$J1700</f>
        <v>0.18222222222222229</v>
      </c>
      <c r="M1700" s="23" t="str">
        <f t="shared" si="26"/>
        <v>15%-20%</v>
      </c>
      <c r="N1700" s="22" t="s">
        <v>64</v>
      </c>
      <c r="O1700" s="22" t="s">
        <v>12</v>
      </c>
      <c r="P1700" s="22" t="s">
        <v>13</v>
      </c>
      <c r="Q1700" s="22" t="s">
        <v>14</v>
      </c>
    </row>
    <row r="1701" spans="1:17" x14ac:dyDescent="0.3">
      <c r="A1701" s="27">
        <v>46</v>
      </c>
      <c r="B1701" s="24">
        <v>83.6</v>
      </c>
      <c r="C1701" s="25">
        <f>Sales!$B1701*Sales!$A1701</f>
        <v>3845.6</v>
      </c>
      <c r="D1701" s="26">
        <v>37945</v>
      </c>
      <c r="E1701" s="27" t="s">
        <v>9</v>
      </c>
      <c r="F1701" s="27">
        <v>4</v>
      </c>
      <c r="G1701" s="27">
        <v>11</v>
      </c>
      <c r="H1701" s="27">
        <v>2003</v>
      </c>
      <c r="I1701" s="27" t="s">
        <v>47</v>
      </c>
      <c r="J1701" s="25">
        <v>90</v>
      </c>
      <c r="K1701" s="25">
        <f>Sales!$B1701-Sales!$J1701</f>
        <v>-6.4000000000000057</v>
      </c>
      <c r="L1701" s="28">
        <f>(Sales!$J1701-Sales!$B1701)/Sales!$J1701</f>
        <v>7.111111111111118E-2</v>
      </c>
      <c r="M1701" s="28" t="str">
        <f t="shared" si="26"/>
        <v>5%-10%</v>
      </c>
      <c r="N1701" s="27" t="s">
        <v>65</v>
      </c>
      <c r="O1701" s="27" t="s">
        <v>12</v>
      </c>
      <c r="P1701" s="27" t="s">
        <v>13</v>
      </c>
      <c r="Q1701" s="27" t="s">
        <v>19</v>
      </c>
    </row>
    <row r="1702" spans="1:17" x14ac:dyDescent="0.3">
      <c r="A1702" s="22">
        <v>47</v>
      </c>
      <c r="B1702" s="19">
        <v>96.32</v>
      </c>
      <c r="C1702" s="20">
        <f>Sales!$B1702*Sales!$A1702</f>
        <v>4527.04</v>
      </c>
      <c r="D1702" s="21">
        <v>37957</v>
      </c>
      <c r="E1702" s="22" t="s">
        <v>9</v>
      </c>
      <c r="F1702" s="22">
        <v>4</v>
      </c>
      <c r="G1702" s="22">
        <v>12</v>
      </c>
      <c r="H1702" s="22">
        <v>2003</v>
      </c>
      <c r="I1702" s="22" t="s">
        <v>47</v>
      </c>
      <c r="J1702" s="20">
        <v>90</v>
      </c>
      <c r="K1702" s="20">
        <f>Sales!$B1702-Sales!$J1702</f>
        <v>6.3199999999999932</v>
      </c>
      <c r="L1702" s="23">
        <f>(Sales!$J1702-Sales!$B1702)/Sales!$J1702</f>
        <v>-7.0222222222222144E-2</v>
      </c>
      <c r="M1702" s="23" t="str">
        <f t="shared" si="26"/>
        <v>Below 0%</v>
      </c>
      <c r="N1702" s="22" t="s">
        <v>11</v>
      </c>
      <c r="O1702" s="22" t="s">
        <v>12</v>
      </c>
      <c r="P1702" s="22" t="s">
        <v>13</v>
      </c>
      <c r="Q1702" s="22" t="s">
        <v>19</v>
      </c>
    </row>
    <row r="1703" spans="1:17" x14ac:dyDescent="0.3">
      <c r="A1703" s="27">
        <v>45</v>
      </c>
      <c r="B1703" s="24">
        <v>88.14</v>
      </c>
      <c r="C1703" s="25">
        <f>Sales!$B1703*Sales!$A1703</f>
        <v>3966.3</v>
      </c>
      <c r="D1703" s="26">
        <v>38002</v>
      </c>
      <c r="E1703" s="27" t="s">
        <v>9</v>
      </c>
      <c r="F1703" s="27">
        <v>1</v>
      </c>
      <c r="G1703" s="27">
        <v>1</v>
      </c>
      <c r="H1703" s="27">
        <v>2004</v>
      </c>
      <c r="I1703" s="27" t="s">
        <v>47</v>
      </c>
      <c r="J1703" s="25">
        <v>90</v>
      </c>
      <c r="K1703" s="25">
        <f>Sales!$B1703-Sales!$J1703</f>
        <v>-1.8599999999999994</v>
      </c>
      <c r="L1703" s="28">
        <f>(Sales!$J1703-Sales!$B1703)/Sales!$J1703</f>
        <v>2.066666666666666E-2</v>
      </c>
      <c r="M1703" s="28" t="str">
        <f t="shared" si="26"/>
        <v>0%-5%</v>
      </c>
      <c r="N1703" s="27" t="s">
        <v>45</v>
      </c>
      <c r="O1703" s="27" t="s">
        <v>46</v>
      </c>
      <c r="P1703" s="27" t="s">
        <v>17</v>
      </c>
      <c r="Q1703" s="27" t="s">
        <v>19</v>
      </c>
    </row>
    <row r="1704" spans="1:17" x14ac:dyDescent="0.3">
      <c r="A1704" s="22">
        <v>47</v>
      </c>
      <c r="B1704" s="19">
        <v>88.14</v>
      </c>
      <c r="C1704" s="20">
        <f>Sales!$B1704*Sales!$A1704</f>
        <v>4142.58</v>
      </c>
      <c r="D1704" s="21">
        <v>38048</v>
      </c>
      <c r="E1704" s="22" t="s">
        <v>9</v>
      </c>
      <c r="F1704" s="22">
        <v>1</v>
      </c>
      <c r="G1704" s="22">
        <v>3</v>
      </c>
      <c r="H1704" s="22">
        <v>2004</v>
      </c>
      <c r="I1704" s="22" t="s">
        <v>47</v>
      </c>
      <c r="J1704" s="20">
        <v>90</v>
      </c>
      <c r="K1704" s="20">
        <f>Sales!$B1704-Sales!$J1704</f>
        <v>-1.8599999999999994</v>
      </c>
      <c r="L1704" s="23">
        <f>(Sales!$J1704-Sales!$B1704)/Sales!$J1704</f>
        <v>2.066666666666666E-2</v>
      </c>
      <c r="M1704" s="23" t="str">
        <f t="shared" si="26"/>
        <v>0%-5%</v>
      </c>
      <c r="N1704" s="22" t="s">
        <v>54</v>
      </c>
      <c r="O1704" s="22" t="s">
        <v>16</v>
      </c>
      <c r="P1704" s="22" t="s">
        <v>17</v>
      </c>
      <c r="Q1704" s="22" t="s">
        <v>19</v>
      </c>
    </row>
    <row r="1705" spans="1:17" x14ac:dyDescent="0.3">
      <c r="A1705" s="27">
        <v>47</v>
      </c>
      <c r="B1705" s="24">
        <v>94.5</v>
      </c>
      <c r="C1705" s="25">
        <f>Sales!$B1705*Sales!$A1705</f>
        <v>4441.5</v>
      </c>
      <c r="D1705" s="26">
        <v>38090</v>
      </c>
      <c r="E1705" s="27" t="s">
        <v>9</v>
      </c>
      <c r="F1705" s="27">
        <v>2</v>
      </c>
      <c r="G1705" s="27">
        <v>4</v>
      </c>
      <c r="H1705" s="27">
        <v>2004</v>
      </c>
      <c r="I1705" s="27" t="s">
        <v>47</v>
      </c>
      <c r="J1705" s="25">
        <v>90</v>
      </c>
      <c r="K1705" s="25">
        <f>Sales!$B1705-Sales!$J1705</f>
        <v>4.5</v>
      </c>
      <c r="L1705" s="28">
        <f>(Sales!$J1705-Sales!$B1705)/Sales!$J1705</f>
        <v>-0.05</v>
      </c>
      <c r="M1705" s="28" t="str">
        <f t="shared" si="26"/>
        <v>Below 0%</v>
      </c>
      <c r="N1705" s="27" t="s">
        <v>108</v>
      </c>
      <c r="O1705" s="27" t="s">
        <v>16</v>
      </c>
      <c r="P1705" s="27" t="s">
        <v>17</v>
      </c>
      <c r="Q1705" s="27" t="s">
        <v>19</v>
      </c>
    </row>
    <row r="1706" spans="1:17" x14ac:dyDescent="0.3">
      <c r="A1706" s="22">
        <v>38</v>
      </c>
      <c r="B1706" s="19">
        <v>87.24</v>
      </c>
      <c r="C1706" s="20">
        <f>Sales!$B1706*Sales!$A1706</f>
        <v>3315.12</v>
      </c>
      <c r="D1706" s="21">
        <v>38175</v>
      </c>
      <c r="E1706" s="22" t="s">
        <v>9</v>
      </c>
      <c r="F1706" s="22">
        <v>3</v>
      </c>
      <c r="G1706" s="22">
        <v>7</v>
      </c>
      <c r="H1706" s="22">
        <v>2004</v>
      </c>
      <c r="I1706" s="22" t="s">
        <v>47</v>
      </c>
      <c r="J1706" s="20">
        <v>90</v>
      </c>
      <c r="K1706" s="20">
        <f>Sales!$B1706-Sales!$J1706</f>
        <v>-2.7600000000000051</v>
      </c>
      <c r="L1706" s="23">
        <f>(Sales!$J1706-Sales!$B1706)/Sales!$J1706</f>
        <v>3.0666666666666724E-2</v>
      </c>
      <c r="M1706" s="23" t="str">
        <f t="shared" si="26"/>
        <v>0%-5%</v>
      </c>
      <c r="N1706" s="22" t="s">
        <v>11</v>
      </c>
      <c r="O1706" s="22" t="s">
        <v>12</v>
      </c>
      <c r="P1706" s="22" t="s">
        <v>13</v>
      </c>
      <c r="Q1706" s="22" t="s">
        <v>19</v>
      </c>
    </row>
    <row r="1707" spans="1:17" x14ac:dyDescent="0.3">
      <c r="A1707" s="27">
        <v>49</v>
      </c>
      <c r="B1707" s="24">
        <v>79.97</v>
      </c>
      <c r="C1707" s="25">
        <f>Sales!$B1707*Sales!$A1707</f>
        <v>3918.5299999999997</v>
      </c>
      <c r="D1707" s="26">
        <v>38208</v>
      </c>
      <c r="E1707" s="27" t="s">
        <v>9</v>
      </c>
      <c r="F1707" s="27">
        <v>3</v>
      </c>
      <c r="G1707" s="27">
        <v>8</v>
      </c>
      <c r="H1707" s="27">
        <v>2004</v>
      </c>
      <c r="I1707" s="27" t="s">
        <v>47</v>
      </c>
      <c r="J1707" s="25">
        <v>90</v>
      </c>
      <c r="K1707" s="25">
        <f>Sales!$B1707-Sales!$J1707</f>
        <v>-10.030000000000001</v>
      </c>
      <c r="L1707" s="28">
        <f>(Sales!$J1707-Sales!$B1707)/Sales!$J1707</f>
        <v>0.11144444444444446</v>
      </c>
      <c r="M1707" s="28" t="str">
        <f t="shared" si="26"/>
        <v>10%-15%</v>
      </c>
      <c r="N1707" s="27" t="s">
        <v>45</v>
      </c>
      <c r="O1707" s="27" t="s">
        <v>46</v>
      </c>
      <c r="P1707" s="27" t="s">
        <v>17</v>
      </c>
      <c r="Q1707" s="27" t="s">
        <v>19</v>
      </c>
    </row>
    <row r="1708" spans="1:17" x14ac:dyDescent="0.3">
      <c r="A1708" s="22">
        <v>35</v>
      </c>
      <c r="B1708" s="19">
        <v>80.87</v>
      </c>
      <c r="C1708" s="20">
        <f>Sales!$B1708*Sales!$A1708</f>
        <v>2830.4500000000003</v>
      </c>
      <c r="D1708" s="21">
        <v>38231</v>
      </c>
      <c r="E1708" s="22" t="s">
        <v>9</v>
      </c>
      <c r="F1708" s="22">
        <v>3</v>
      </c>
      <c r="G1708" s="22">
        <v>9</v>
      </c>
      <c r="H1708" s="22">
        <v>2004</v>
      </c>
      <c r="I1708" s="22" t="s">
        <v>47</v>
      </c>
      <c r="J1708" s="20">
        <v>90</v>
      </c>
      <c r="K1708" s="20">
        <f>Sales!$B1708-Sales!$J1708</f>
        <v>-9.1299999999999955</v>
      </c>
      <c r="L1708" s="23">
        <f>(Sales!$J1708-Sales!$B1708)/Sales!$J1708</f>
        <v>0.10144444444444439</v>
      </c>
      <c r="M1708" s="23" t="s">
        <v>134</v>
      </c>
      <c r="N1708" s="22" t="s">
        <v>50</v>
      </c>
      <c r="O1708" s="22" t="s">
        <v>50</v>
      </c>
      <c r="P1708" s="22" t="s">
        <v>28</v>
      </c>
      <c r="Q1708" s="22" t="s">
        <v>14</v>
      </c>
    </row>
    <row r="1709" spans="1:17" x14ac:dyDescent="0.3">
      <c r="A1709" s="27">
        <v>49</v>
      </c>
      <c r="B1709" s="24">
        <v>100</v>
      </c>
      <c r="C1709" s="25">
        <f>Sales!$B1709*Sales!$A1709</f>
        <v>4900</v>
      </c>
      <c r="D1709" s="26">
        <v>37900</v>
      </c>
      <c r="E1709" s="27" t="s">
        <v>9</v>
      </c>
      <c r="F1709" s="27">
        <v>4</v>
      </c>
      <c r="G1709" s="27">
        <v>10</v>
      </c>
      <c r="H1709" s="27">
        <v>2003</v>
      </c>
      <c r="I1709" s="27" t="s">
        <v>47</v>
      </c>
      <c r="J1709" s="25">
        <v>90</v>
      </c>
      <c r="K1709" s="25">
        <f>Sales!$B1709-Sales!$J1709</f>
        <v>10</v>
      </c>
      <c r="L1709" s="28">
        <f>(Sales!$J1709-Sales!$B1709)/Sales!$J1709</f>
        <v>-0.1111111111111111</v>
      </c>
      <c r="M1709" s="28" t="str">
        <f t="shared" si="26"/>
        <v>Below 0%</v>
      </c>
      <c r="N1709" s="27" t="s">
        <v>42</v>
      </c>
      <c r="O1709" s="27" t="s">
        <v>43</v>
      </c>
      <c r="P1709" s="27" t="s">
        <v>17</v>
      </c>
      <c r="Q1709" s="27" t="s">
        <v>19</v>
      </c>
    </row>
    <row r="1710" spans="1:17" x14ac:dyDescent="0.3">
      <c r="A1710" s="22">
        <v>28</v>
      </c>
      <c r="B1710" s="19">
        <v>93.6</v>
      </c>
      <c r="C1710" s="20">
        <f>Sales!$B1710*Sales!$A1710</f>
        <v>2620.7999999999997</v>
      </c>
      <c r="D1710" s="21">
        <v>38276</v>
      </c>
      <c r="E1710" s="22" t="s">
        <v>9</v>
      </c>
      <c r="F1710" s="22">
        <v>4</v>
      </c>
      <c r="G1710" s="22">
        <v>10</v>
      </c>
      <c r="H1710" s="22">
        <v>2004</v>
      </c>
      <c r="I1710" s="22" t="s">
        <v>47</v>
      </c>
      <c r="J1710" s="20">
        <v>90</v>
      </c>
      <c r="K1710" s="20">
        <f>Sales!$B1710-Sales!$J1710</f>
        <v>3.5999999999999943</v>
      </c>
      <c r="L1710" s="23">
        <f>(Sales!$J1710-Sales!$B1710)/Sales!$J1710</f>
        <v>-3.9999999999999938E-2</v>
      </c>
      <c r="M1710" s="23" t="str">
        <f t="shared" si="26"/>
        <v>Below 0%</v>
      </c>
      <c r="N1710" s="22" t="s">
        <v>45</v>
      </c>
      <c r="O1710" s="22" t="s">
        <v>46</v>
      </c>
      <c r="P1710" s="22" t="s">
        <v>17</v>
      </c>
      <c r="Q1710" s="22" t="s">
        <v>14</v>
      </c>
    </row>
    <row r="1711" spans="1:17" x14ac:dyDescent="0.3">
      <c r="A1711" s="27">
        <v>30</v>
      </c>
      <c r="B1711" s="24">
        <v>72.7</v>
      </c>
      <c r="C1711" s="25">
        <f>Sales!$B1711*Sales!$A1711</f>
        <v>2181</v>
      </c>
      <c r="D1711" s="26">
        <v>38295</v>
      </c>
      <c r="E1711" s="27" t="s">
        <v>9</v>
      </c>
      <c r="F1711" s="27">
        <v>4</v>
      </c>
      <c r="G1711" s="27">
        <v>11</v>
      </c>
      <c r="H1711" s="27">
        <v>2004</v>
      </c>
      <c r="I1711" s="27" t="s">
        <v>47</v>
      </c>
      <c r="J1711" s="25">
        <v>90</v>
      </c>
      <c r="K1711" s="25">
        <f>Sales!$B1711-Sales!$J1711</f>
        <v>-17.299999999999997</v>
      </c>
      <c r="L1711" s="28">
        <f>(Sales!$J1711-Sales!$B1711)/Sales!$J1711</f>
        <v>0.19222222222222218</v>
      </c>
      <c r="M1711" s="28" t="str">
        <f t="shared" si="26"/>
        <v>15%-20%</v>
      </c>
      <c r="N1711" s="27" t="s">
        <v>41</v>
      </c>
      <c r="O1711" s="27" t="s">
        <v>12</v>
      </c>
      <c r="P1711" s="27" t="s">
        <v>13</v>
      </c>
      <c r="Q1711" s="27" t="s">
        <v>14</v>
      </c>
    </row>
    <row r="1712" spans="1:17" x14ac:dyDescent="0.3">
      <c r="A1712" s="22">
        <v>39</v>
      </c>
      <c r="B1712" s="19">
        <v>86.72</v>
      </c>
      <c r="C1712" s="20">
        <f>Sales!$B1712*Sales!$A1712</f>
        <v>3382.08</v>
      </c>
      <c r="D1712" s="21">
        <v>38308</v>
      </c>
      <c r="E1712" s="22" t="s">
        <v>9</v>
      </c>
      <c r="F1712" s="22">
        <v>4</v>
      </c>
      <c r="G1712" s="22">
        <v>11</v>
      </c>
      <c r="H1712" s="22">
        <v>2004</v>
      </c>
      <c r="I1712" s="22" t="s">
        <v>47</v>
      </c>
      <c r="J1712" s="20">
        <v>90</v>
      </c>
      <c r="K1712" s="20">
        <f>Sales!$B1712-Sales!$J1712</f>
        <v>-3.2800000000000011</v>
      </c>
      <c r="L1712" s="23">
        <f>(Sales!$J1712-Sales!$B1712)/Sales!$J1712</f>
        <v>3.644444444444446E-2</v>
      </c>
      <c r="M1712" s="23" t="str">
        <f t="shared" si="26"/>
        <v>0%-5%</v>
      </c>
      <c r="N1712" s="22" t="s">
        <v>102</v>
      </c>
      <c r="O1712" s="22" t="s">
        <v>43</v>
      </c>
      <c r="P1712" s="22" t="s">
        <v>17</v>
      </c>
      <c r="Q1712" s="22" t="s">
        <v>19</v>
      </c>
    </row>
    <row r="1713" spans="1:17" x14ac:dyDescent="0.3">
      <c r="A1713" s="27">
        <v>25</v>
      </c>
      <c r="B1713" s="24">
        <v>100</v>
      </c>
      <c r="C1713" s="25">
        <f>Sales!$B1713*Sales!$A1713</f>
        <v>2500</v>
      </c>
      <c r="D1713" s="26">
        <v>38320</v>
      </c>
      <c r="E1713" s="27" t="s">
        <v>9</v>
      </c>
      <c r="F1713" s="27">
        <v>4</v>
      </c>
      <c r="G1713" s="27">
        <v>11</v>
      </c>
      <c r="H1713" s="27">
        <v>2004</v>
      </c>
      <c r="I1713" s="27" t="s">
        <v>47</v>
      </c>
      <c r="J1713" s="25">
        <v>90</v>
      </c>
      <c r="K1713" s="25">
        <f>Sales!$B1713-Sales!$J1713</f>
        <v>10</v>
      </c>
      <c r="L1713" s="28">
        <f>(Sales!$J1713-Sales!$B1713)/Sales!$J1713</f>
        <v>-0.1111111111111111</v>
      </c>
      <c r="M1713" s="28" t="str">
        <f t="shared" si="26"/>
        <v>Below 0%</v>
      </c>
      <c r="N1713" s="27" t="s">
        <v>109</v>
      </c>
      <c r="O1713" s="27" t="s">
        <v>12</v>
      </c>
      <c r="P1713" s="27" t="s">
        <v>13</v>
      </c>
      <c r="Q1713" s="27" t="s">
        <v>14</v>
      </c>
    </row>
    <row r="1714" spans="1:17" x14ac:dyDescent="0.3">
      <c r="A1714" s="22">
        <v>40</v>
      </c>
      <c r="B1714" s="19">
        <v>100</v>
      </c>
      <c r="C1714" s="20">
        <f>Sales!$B1714*Sales!$A1714</f>
        <v>4000</v>
      </c>
      <c r="D1714" s="21">
        <v>38371</v>
      </c>
      <c r="E1714" s="22" t="s">
        <v>9</v>
      </c>
      <c r="F1714" s="22">
        <v>1</v>
      </c>
      <c r="G1714" s="22">
        <v>1</v>
      </c>
      <c r="H1714" s="22">
        <v>2005</v>
      </c>
      <c r="I1714" s="22" t="s">
        <v>47</v>
      </c>
      <c r="J1714" s="20">
        <v>90</v>
      </c>
      <c r="K1714" s="20">
        <f>Sales!$B1714-Sales!$J1714</f>
        <v>10</v>
      </c>
      <c r="L1714" s="23">
        <f>(Sales!$J1714-Sales!$B1714)/Sales!$J1714</f>
        <v>-0.1111111111111111</v>
      </c>
      <c r="M1714" s="23" t="str">
        <f t="shared" si="26"/>
        <v>Below 0%</v>
      </c>
      <c r="N1714" s="22" t="s">
        <v>64</v>
      </c>
      <c r="O1714" s="22" t="s">
        <v>12</v>
      </c>
      <c r="P1714" s="22" t="s">
        <v>13</v>
      </c>
      <c r="Q1714" s="22" t="s">
        <v>19</v>
      </c>
    </row>
    <row r="1715" spans="1:17" x14ac:dyDescent="0.3">
      <c r="A1715" s="27">
        <v>36</v>
      </c>
      <c r="B1715" s="24">
        <v>37.5</v>
      </c>
      <c r="C1715" s="25">
        <f>Sales!$B1715*Sales!$A1715</f>
        <v>1350</v>
      </c>
      <c r="D1715" s="26">
        <v>38399</v>
      </c>
      <c r="E1715" s="27" t="s">
        <v>9</v>
      </c>
      <c r="F1715" s="27">
        <v>1</v>
      </c>
      <c r="G1715" s="27">
        <v>2</v>
      </c>
      <c r="H1715" s="27">
        <v>2005</v>
      </c>
      <c r="I1715" s="27" t="s">
        <v>47</v>
      </c>
      <c r="J1715" s="25">
        <v>90</v>
      </c>
      <c r="K1715" s="25">
        <f>Sales!$B1715-Sales!$J1715</f>
        <v>-52.5</v>
      </c>
      <c r="L1715" s="28">
        <f>(Sales!$J1715-Sales!$B1715)/Sales!$J1715</f>
        <v>0.58333333333333337</v>
      </c>
      <c r="M1715" s="28" t="str">
        <f t="shared" si="26"/>
        <v>+20%</v>
      </c>
      <c r="N1715" s="27" t="s">
        <v>45</v>
      </c>
      <c r="O1715" s="27" t="s">
        <v>46</v>
      </c>
      <c r="P1715" s="27" t="s">
        <v>17</v>
      </c>
      <c r="Q1715" s="27" t="s">
        <v>14</v>
      </c>
    </row>
    <row r="1716" spans="1:17" x14ac:dyDescent="0.3">
      <c r="A1716" s="22">
        <v>76</v>
      </c>
      <c r="B1716" s="19">
        <v>94.5</v>
      </c>
      <c r="C1716" s="20">
        <f>Sales!$B1716*Sales!$A1716</f>
        <v>7182</v>
      </c>
      <c r="D1716" s="21">
        <v>38464</v>
      </c>
      <c r="E1716" s="22" t="s">
        <v>87</v>
      </c>
      <c r="F1716" s="22">
        <v>2</v>
      </c>
      <c r="G1716" s="22">
        <v>4</v>
      </c>
      <c r="H1716" s="22">
        <v>2005</v>
      </c>
      <c r="I1716" s="22" t="s">
        <v>47</v>
      </c>
      <c r="J1716" s="20">
        <v>90</v>
      </c>
      <c r="K1716" s="20">
        <f>Sales!$B1716-Sales!$J1716</f>
        <v>4.5</v>
      </c>
      <c r="L1716" s="23">
        <f>(Sales!$J1716-Sales!$B1716)/Sales!$J1716</f>
        <v>-0.05</v>
      </c>
      <c r="M1716" s="23" t="str">
        <f t="shared" si="26"/>
        <v>Below 0%</v>
      </c>
      <c r="N1716" s="22" t="s">
        <v>86</v>
      </c>
      <c r="O1716" s="22" t="s">
        <v>12</v>
      </c>
      <c r="P1716" s="22" t="s">
        <v>13</v>
      </c>
      <c r="Q1716" s="22" t="s">
        <v>39</v>
      </c>
    </row>
    <row r="1717" spans="1:17" x14ac:dyDescent="0.3">
      <c r="A1717" s="27">
        <v>39</v>
      </c>
      <c r="B1717" s="24">
        <v>100</v>
      </c>
      <c r="C1717" s="25">
        <f>Sales!$B1717*Sales!$A1717</f>
        <v>3900</v>
      </c>
      <c r="D1717" s="26">
        <v>38501</v>
      </c>
      <c r="E1717" s="27" t="s">
        <v>69</v>
      </c>
      <c r="F1717" s="27">
        <v>2</v>
      </c>
      <c r="G1717" s="27">
        <v>5</v>
      </c>
      <c r="H1717" s="27">
        <v>2005</v>
      </c>
      <c r="I1717" s="27" t="s">
        <v>47</v>
      </c>
      <c r="J1717" s="25">
        <v>90</v>
      </c>
      <c r="K1717" s="25">
        <f>Sales!$B1717-Sales!$J1717</f>
        <v>10</v>
      </c>
      <c r="L1717" s="28">
        <f>(Sales!$J1717-Sales!$B1717)/Sales!$J1717</f>
        <v>-0.1111111111111111</v>
      </c>
      <c r="M1717" s="28" t="str">
        <f t="shared" si="26"/>
        <v>Below 0%</v>
      </c>
      <c r="N1717" s="27" t="s">
        <v>40</v>
      </c>
      <c r="O1717" s="27" t="s">
        <v>27</v>
      </c>
      <c r="P1717" s="27" t="s">
        <v>28</v>
      </c>
      <c r="Q1717" s="27" t="s">
        <v>19</v>
      </c>
    </row>
    <row r="1718" spans="1:17" x14ac:dyDescent="0.3">
      <c r="A1718" s="22">
        <v>44</v>
      </c>
      <c r="B1718" s="19">
        <v>39.6</v>
      </c>
      <c r="C1718" s="20">
        <f>Sales!$B1718*Sales!$A1718</f>
        <v>1742.4</v>
      </c>
      <c r="D1718" s="21">
        <v>37652</v>
      </c>
      <c r="E1718" s="22" t="s">
        <v>9</v>
      </c>
      <c r="F1718" s="22">
        <v>1</v>
      </c>
      <c r="G1718" s="22">
        <v>1</v>
      </c>
      <c r="H1718" s="22">
        <v>2003</v>
      </c>
      <c r="I1718" s="22" t="s">
        <v>47</v>
      </c>
      <c r="J1718" s="20">
        <v>35</v>
      </c>
      <c r="K1718" s="20">
        <f>Sales!$B1718-Sales!$J1718</f>
        <v>4.6000000000000014</v>
      </c>
      <c r="L1718" s="23">
        <f>(Sales!$J1718-Sales!$B1718)/Sales!$J1718</f>
        <v>-0.13142857142857148</v>
      </c>
      <c r="M1718" s="23" t="str">
        <f t="shared" si="26"/>
        <v>Below 0%</v>
      </c>
      <c r="N1718" s="22" t="s">
        <v>45</v>
      </c>
      <c r="O1718" s="22" t="s">
        <v>46</v>
      </c>
      <c r="P1718" s="22" t="s">
        <v>17</v>
      </c>
      <c r="Q1718" s="22" t="s">
        <v>14</v>
      </c>
    </row>
    <row r="1719" spans="1:17" x14ac:dyDescent="0.3">
      <c r="A1719" s="27">
        <v>24</v>
      </c>
      <c r="B1719" s="24">
        <v>30.06</v>
      </c>
      <c r="C1719" s="25">
        <f>Sales!$B1719*Sales!$A1719</f>
        <v>721.43999999999994</v>
      </c>
      <c r="D1719" s="26">
        <v>37712</v>
      </c>
      <c r="E1719" s="27" t="s">
        <v>9</v>
      </c>
      <c r="F1719" s="27">
        <v>2</v>
      </c>
      <c r="G1719" s="27">
        <v>4</v>
      </c>
      <c r="H1719" s="27">
        <v>2003</v>
      </c>
      <c r="I1719" s="27" t="s">
        <v>47</v>
      </c>
      <c r="J1719" s="25">
        <v>35</v>
      </c>
      <c r="K1719" s="25">
        <f>Sales!$B1719-Sales!$J1719</f>
        <v>-4.9400000000000013</v>
      </c>
      <c r="L1719" s="28">
        <f>(Sales!$J1719-Sales!$B1719)/Sales!$J1719</f>
        <v>0.14114285714285718</v>
      </c>
      <c r="M1719" s="28" t="str">
        <f t="shared" si="26"/>
        <v>10%-15%</v>
      </c>
      <c r="N1719" s="27" t="s">
        <v>18</v>
      </c>
      <c r="O1719" s="27" t="s">
        <v>16</v>
      </c>
      <c r="P1719" s="27" t="s">
        <v>17</v>
      </c>
      <c r="Q1719" s="27" t="s">
        <v>14</v>
      </c>
    </row>
    <row r="1720" spans="1:17" x14ac:dyDescent="0.3">
      <c r="A1720" s="22">
        <v>39</v>
      </c>
      <c r="B1720" s="19">
        <v>38.19</v>
      </c>
      <c r="C1720" s="20">
        <f>Sales!$B1720*Sales!$A1720</f>
        <v>1489.4099999999999</v>
      </c>
      <c r="D1720" s="21">
        <v>37775</v>
      </c>
      <c r="E1720" s="22" t="s">
        <v>9</v>
      </c>
      <c r="F1720" s="22">
        <v>2</v>
      </c>
      <c r="G1720" s="22">
        <v>6</v>
      </c>
      <c r="H1720" s="22">
        <v>2003</v>
      </c>
      <c r="I1720" s="22" t="s">
        <v>47</v>
      </c>
      <c r="J1720" s="20">
        <v>35</v>
      </c>
      <c r="K1720" s="20">
        <f>Sales!$B1720-Sales!$J1720</f>
        <v>3.1899999999999977</v>
      </c>
      <c r="L1720" s="23">
        <f>(Sales!$J1720-Sales!$B1720)/Sales!$J1720</f>
        <v>-9.1142857142857081E-2</v>
      </c>
      <c r="M1720" s="23" t="str">
        <f t="shared" si="26"/>
        <v>Below 0%</v>
      </c>
      <c r="N1720" s="22" t="s">
        <v>11</v>
      </c>
      <c r="O1720" s="22" t="s">
        <v>12</v>
      </c>
      <c r="P1720" s="22" t="s">
        <v>13</v>
      </c>
      <c r="Q1720" s="22" t="s">
        <v>14</v>
      </c>
    </row>
    <row r="1721" spans="1:17" x14ac:dyDescent="0.3">
      <c r="A1721" s="27">
        <v>21</v>
      </c>
      <c r="B1721" s="24">
        <v>42.43</v>
      </c>
      <c r="C1721" s="25">
        <f>Sales!$B1721*Sales!$A1721</f>
        <v>891.03</v>
      </c>
      <c r="D1721" s="26">
        <v>37834</v>
      </c>
      <c r="E1721" s="27" t="s">
        <v>9</v>
      </c>
      <c r="F1721" s="27">
        <v>3</v>
      </c>
      <c r="G1721" s="27">
        <v>8</v>
      </c>
      <c r="H1721" s="27">
        <v>2003</v>
      </c>
      <c r="I1721" s="27" t="s">
        <v>47</v>
      </c>
      <c r="J1721" s="25">
        <v>35</v>
      </c>
      <c r="K1721" s="25">
        <f>Sales!$B1721-Sales!$J1721</f>
        <v>7.43</v>
      </c>
      <c r="L1721" s="28">
        <f>(Sales!$J1721-Sales!$B1721)/Sales!$J1721</f>
        <v>-0.21228571428571427</v>
      </c>
      <c r="M1721" s="28" t="str">
        <f t="shared" si="26"/>
        <v>Below 0%</v>
      </c>
      <c r="N1721" s="27" t="s">
        <v>99</v>
      </c>
      <c r="O1721" s="27" t="s">
        <v>34</v>
      </c>
      <c r="P1721" s="27" t="s">
        <v>17</v>
      </c>
      <c r="Q1721" s="27" t="s">
        <v>14</v>
      </c>
    </row>
    <row r="1722" spans="1:17" x14ac:dyDescent="0.3">
      <c r="A1722" s="22">
        <v>30</v>
      </c>
      <c r="B1722" s="19">
        <v>40.31</v>
      </c>
      <c r="C1722" s="20">
        <f>Sales!$B1722*Sales!$A1722</f>
        <v>1209.3000000000002</v>
      </c>
      <c r="D1722" s="21">
        <v>37885</v>
      </c>
      <c r="E1722" s="22" t="s">
        <v>9</v>
      </c>
      <c r="F1722" s="22">
        <v>3</v>
      </c>
      <c r="G1722" s="22">
        <v>9</v>
      </c>
      <c r="H1722" s="22">
        <v>2003</v>
      </c>
      <c r="I1722" s="22" t="s">
        <v>47</v>
      </c>
      <c r="J1722" s="20">
        <v>35</v>
      </c>
      <c r="K1722" s="20">
        <f>Sales!$B1722-Sales!$J1722</f>
        <v>5.3100000000000023</v>
      </c>
      <c r="L1722" s="23">
        <f>(Sales!$J1722-Sales!$B1722)/Sales!$J1722</f>
        <v>-0.15171428571428577</v>
      </c>
      <c r="M1722" s="23" t="str">
        <f t="shared" si="26"/>
        <v>Below 0%</v>
      </c>
      <c r="N1722" s="22" t="s">
        <v>85</v>
      </c>
      <c r="O1722" s="22" t="s">
        <v>34</v>
      </c>
      <c r="P1722" s="22" t="s">
        <v>17</v>
      </c>
      <c r="Q1722" s="22" t="s">
        <v>14</v>
      </c>
    </row>
    <row r="1723" spans="1:17" x14ac:dyDescent="0.3">
      <c r="A1723" s="27">
        <v>27</v>
      </c>
      <c r="B1723" s="24">
        <v>31.82</v>
      </c>
      <c r="C1723" s="25">
        <f>Sales!$B1723*Sales!$A1723</f>
        <v>859.14</v>
      </c>
      <c r="D1723" s="26">
        <v>37916</v>
      </c>
      <c r="E1723" s="27" t="s">
        <v>9</v>
      </c>
      <c r="F1723" s="27">
        <v>4</v>
      </c>
      <c r="G1723" s="27">
        <v>10</v>
      </c>
      <c r="H1723" s="27">
        <v>2003</v>
      </c>
      <c r="I1723" s="27" t="s">
        <v>47</v>
      </c>
      <c r="J1723" s="25">
        <v>35</v>
      </c>
      <c r="K1723" s="25">
        <f>Sales!$B1723-Sales!$J1723</f>
        <v>-3.1799999999999997</v>
      </c>
      <c r="L1723" s="28">
        <f>(Sales!$J1723-Sales!$B1723)/Sales!$J1723</f>
        <v>9.0857142857142845E-2</v>
      </c>
      <c r="M1723" s="28" t="str">
        <f t="shared" si="26"/>
        <v>5%-10%</v>
      </c>
      <c r="N1723" s="27" t="s">
        <v>50</v>
      </c>
      <c r="O1723" s="27" t="s">
        <v>50</v>
      </c>
      <c r="P1723" s="27" t="s">
        <v>28</v>
      </c>
      <c r="Q1723" s="27" t="s">
        <v>14</v>
      </c>
    </row>
    <row r="1724" spans="1:17" x14ac:dyDescent="0.3">
      <c r="A1724" s="22">
        <v>37</v>
      </c>
      <c r="B1724" s="19">
        <v>31.12</v>
      </c>
      <c r="C1724" s="20">
        <f>Sales!$B1724*Sales!$A1724</f>
        <v>1151.44</v>
      </c>
      <c r="D1724" s="21">
        <v>37931</v>
      </c>
      <c r="E1724" s="22" t="s">
        <v>9</v>
      </c>
      <c r="F1724" s="22">
        <v>4</v>
      </c>
      <c r="G1724" s="22">
        <v>11</v>
      </c>
      <c r="H1724" s="22">
        <v>2003</v>
      </c>
      <c r="I1724" s="22" t="s">
        <v>47</v>
      </c>
      <c r="J1724" s="20">
        <v>35</v>
      </c>
      <c r="K1724" s="20">
        <f>Sales!$B1724-Sales!$J1724</f>
        <v>-3.879999999999999</v>
      </c>
      <c r="L1724" s="23">
        <f>(Sales!$J1724-Sales!$B1724)/Sales!$J1724</f>
        <v>0.11085714285714283</v>
      </c>
      <c r="M1724" s="23" t="str">
        <f t="shared" si="26"/>
        <v>10%-15%</v>
      </c>
      <c r="N1724" s="22" t="s">
        <v>74</v>
      </c>
      <c r="O1724" s="22" t="s">
        <v>43</v>
      </c>
      <c r="P1724" s="22" t="s">
        <v>17</v>
      </c>
      <c r="Q1724" s="22" t="s">
        <v>14</v>
      </c>
    </row>
    <row r="1725" spans="1:17" x14ac:dyDescent="0.3">
      <c r="A1725" s="27">
        <v>42</v>
      </c>
      <c r="B1725" s="24">
        <v>31.82</v>
      </c>
      <c r="C1725" s="25">
        <f>Sales!$B1725*Sales!$A1725</f>
        <v>1336.44</v>
      </c>
      <c r="D1725" s="26">
        <v>37939</v>
      </c>
      <c r="E1725" s="27" t="s">
        <v>9</v>
      </c>
      <c r="F1725" s="27">
        <v>4</v>
      </c>
      <c r="G1725" s="27">
        <v>11</v>
      </c>
      <c r="H1725" s="27">
        <v>2003</v>
      </c>
      <c r="I1725" s="27" t="s">
        <v>47</v>
      </c>
      <c r="J1725" s="25">
        <v>35</v>
      </c>
      <c r="K1725" s="25">
        <f>Sales!$B1725-Sales!$J1725</f>
        <v>-3.1799999999999997</v>
      </c>
      <c r="L1725" s="28">
        <f>(Sales!$J1725-Sales!$B1725)/Sales!$J1725</f>
        <v>9.0857142857142845E-2</v>
      </c>
      <c r="M1725" s="28" t="str">
        <f t="shared" si="26"/>
        <v>5%-10%</v>
      </c>
      <c r="N1725" s="27" t="s">
        <v>106</v>
      </c>
      <c r="O1725" s="27" t="s">
        <v>46</v>
      </c>
      <c r="P1725" s="27" t="s">
        <v>17</v>
      </c>
      <c r="Q1725" s="27" t="s">
        <v>14</v>
      </c>
    </row>
    <row r="1726" spans="1:17" x14ac:dyDescent="0.3">
      <c r="A1726" s="22">
        <v>32</v>
      </c>
      <c r="B1726" s="19">
        <v>28.29</v>
      </c>
      <c r="C1726" s="20">
        <f>Sales!$B1726*Sales!$A1726</f>
        <v>905.28</v>
      </c>
      <c r="D1726" s="21">
        <v>37950</v>
      </c>
      <c r="E1726" s="22" t="s">
        <v>9</v>
      </c>
      <c r="F1726" s="22">
        <v>4</v>
      </c>
      <c r="G1726" s="22">
        <v>11</v>
      </c>
      <c r="H1726" s="22">
        <v>2003</v>
      </c>
      <c r="I1726" s="22" t="s">
        <v>47</v>
      </c>
      <c r="J1726" s="20">
        <v>35</v>
      </c>
      <c r="K1726" s="20">
        <f>Sales!$B1726-Sales!$J1726</f>
        <v>-6.7100000000000009</v>
      </c>
      <c r="L1726" s="23">
        <f>(Sales!$J1726-Sales!$B1726)/Sales!$J1726</f>
        <v>0.19171428571428573</v>
      </c>
      <c r="M1726" s="23" t="str">
        <f t="shared" si="26"/>
        <v>15%-20%</v>
      </c>
      <c r="N1726" s="22" t="s">
        <v>71</v>
      </c>
      <c r="O1726" s="22" t="s">
        <v>12</v>
      </c>
      <c r="P1726" s="22" t="s">
        <v>13</v>
      </c>
      <c r="Q1726" s="22" t="s">
        <v>14</v>
      </c>
    </row>
    <row r="1727" spans="1:17" x14ac:dyDescent="0.3">
      <c r="A1727" s="27">
        <v>42</v>
      </c>
      <c r="B1727" s="24">
        <v>29.7</v>
      </c>
      <c r="C1727" s="25">
        <f>Sales!$B1727*Sales!$A1727</f>
        <v>1247.3999999999999</v>
      </c>
      <c r="D1727" s="26">
        <v>37964</v>
      </c>
      <c r="E1727" s="27" t="s">
        <v>9</v>
      </c>
      <c r="F1727" s="27">
        <v>4</v>
      </c>
      <c r="G1727" s="27">
        <v>12</v>
      </c>
      <c r="H1727" s="27">
        <v>2003</v>
      </c>
      <c r="I1727" s="27" t="s">
        <v>47</v>
      </c>
      <c r="J1727" s="25">
        <v>35</v>
      </c>
      <c r="K1727" s="25">
        <f>Sales!$B1727-Sales!$J1727</f>
        <v>-5.3000000000000007</v>
      </c>
      <c r="L1727" s="28">
        <f>(Sales!$J1727-Sales!$B1727)/Sales!$J1727</f>
        <v>0.15142857142857144</v>
      </c>
      <c r="M1727" s="28" t="s">
        <v>132</v>
      </c>
      <c r="N1727" s="27" t="s">
        <v>83</v>
      </c>
      <c r="O1727" s="27" t="s">
        <v>12</v>
      </c>
      <c r="P1727" s="27" t="s">
        <v>13</v>
      </c>
      <c r="Q1727" s="27" t="s">
        <v>14</v>
      </c>
    </row>
    <row r="1728" spans="1:17" x14ac:dyDescent="0.3">
      <c r="A1728" s="22">
        <v>21</v>
      </c>
      <c r="B1728" s="19">
        <v>40.31</v>
      </c>
      <c r="C1728" s="20">
        <f>Sales!$B1728*Sales!$A1728</f>
        <v>846.51</v>
      </c>
      <c r="D1728" s="21">
        <v>38027</v>
      </c>
      <c r="E1728" s="22" t="s">
        <v>9</v>
      </c>
      <c r="F1728" s="22">
        <v>1</v>
      </c>
      <c r="G1728" s="22">
        <v>2</v>
      </c>
      <c r="H1728" s="22">
        <v>2004</v>
      </c>
      <c r="I1728" s="22" t="s">
        <v>47</v>
      </c>
      <c r="J1728" s="20">
        <v>35</v>
      </c>
      <c r="K1728" s="20">
        <f>Sales!$B1728-Sales!$J1728</f>
        <v>5.3100000000000023</v>
      </c>
      <c r="L1728" s="23">
        <f>(Sales!$J1728-Sales!$B1728)/Sales!$J1728</f>
        <v>-0.15171428571428577</v>
      </c>
      <c r="M1728" s="23" t="str">
        <f t="shared" si="26"/>
        <v>Below 0%</v>
      </c>
      <c r="N1728" s="22" t="s">
        <v>107</v>
      </c>
      <c r="O1728" s="22" t="s">
        <v>12</v>
      </c>
      <c r="P1728" s="22" t="s">
        <v>13</v>
      </c>
      <c r="Q1728" s="22" t="s">
        <v>14</v>
      </c>
    </row>
    <row r="1729" spans="1:17" x14ac:dyDescent="0.3">
      <c r="A1729" s="27">
        <v>33</v>
      </c>
      <c r="B1729" s="24">
        <v>32.880000000000003</v>
      </c>
      <c r="C1729" s="25">
        <f>Sales!$B1729*Sales!$A1729</f>
        <v>1085.0400000000002</v>
      </c>
      <c r="D1729" s="26">
        <v>38057</v>
      </c>
      <c r="E1729" s="27" t="s">
        <v>9</v>
      </c>
      <c r="F1729" s="27">
        <v>1</v>
      </c>
      <c r="G1729" s="27">
        <v>3</v>
      </c>
      <c r="H1729" s="27">
        <v>2004</v>
      </c>
      <c r="I1729" s="27" t="s">
        <v>47</v>
      </c>
      <c r="J1729" s="25">
        <v>35</v>
      </c>
      <c r="K1729" s="25">
        <f>Sales!$B1729-Sales!$J1729</f>
        <v>-2.1199999999999974</v>
      </c>
      <c r="L1729" s="28">
        <f>(Sales!$J1729-Sales!$B1729)/Sales!$J1729</f>
        <v>6.0571428571428498E-2</v>
      </c>
      <c r="M1729" s="28" t="str">
        <f t="shared" si="26"/>
        <v>5%-10%</v>
      </c>
      <c r="N1729" s="27" t="s">
        <v>64</v>
      </c>
      <c r="O1729" s="27" t="s">
        <v>12</v>
      </c>
      <c r="P1729" s="27" t="s">
        <v>13</v>
      </c>
      <c r="Q1729" s="27" t="s">
        <v>14</v>
      </c>
    </row>
    <row r="1730" spans="1:17" x14ac:dyDescent="0.3">
      <c r="A1730" s="22">
        <v>49</v>
      </c>
      <c r="B1730" s="19">
        <v>36.07</v>
      </c>
      <c r="C1730" s="20">
        <f>Sales!$B1730*Sales!$A1730</f>
        <v>1767.43</v>
      </c>
      <c r="D1730" s="21">
        <v>38112</v>
      </c>
      <c r="E1730" s="22" t="s">
        <v>9</v>
      </c>
      <c r="F1730" s="22">
        <v>2</v>
      </c>
      <c r="G1730" s="22">
        <v>5</v>
      </c>
      <c r="H1730" s="22">
        <v>2004</v>
      </c>
      <c r="I1730" s="22" t="s">
        <v>47</v>
      </c>
      <c r="J1730" s="20">
        <v>35</v>
      </c>
      <c r="K1730" s="20">
        <f>Sales!$B1730-Sales!$J1730</f>
        <v>1.0700000000000003</v>
      </c>
      <c r="L1730" s="23">
        <f>(Sales!$J1730-Sales!$B1730)/Sales!$J1730</f>
        <v>-3.0571428571428579E-2</v>
      </c>
      <c r="M1730" s="23" t="str">
        <f t="shared" si="26"/>
        <v>Below 0%</v>
      </c>
      <c r="N1730" s="22" t="s">
        <v>45</v>
      </c>
      <c r="O1730" s="22" t="s">
        <v>46</v>
      </c>
      <c r="P1730" s="22" t="s">
        <v>17</v>
      </c>
      <c r="Q1730" s="22" t="s">
        <v>14</v>
      </c>
    </row>
    <row r="1731" spans="1:17" x14ac:dyDescent="0.3">
      <c r="A1731" s="27">
        <v>31</v>
      </c>
      <c r="B1731" s="24">
        <v>33.24</v>
      </c>
      <c r="C1731" s="25">
        <f>Sales!$B1731*Sales!$A1731</f>
        <v>1030.44</v>
      </c>
      <c r="D1731" s="26">
        <v>38153</v>
      </c>
      <c r="E1731" s="27" t="s">
        <v>9</v>
      </c>
      <c r="F1731" s="27">
        <v>2</v>
      </c>
      <c r="G1731" s="27">
        <v>6</v>
      </c>
      <c r="H1731" s="27">
        <v>2004</v>
      </c>
      <c r="I1731" s="27" t="s">
        <v>47</v>
      </c>
      <c r="J1731" s="25">
        <v>35</v>
      </c>
      <c r="K1731" s="25">
        <f>Sales!$B1731-Sales!$J1731</f>
        <v>-1.759999999999998</v>
      </c>
      <c r="L1731" s="28">
        <f>(Sales!$J1731-Sales!$B1731)/Sales!$J1731</f>
        <v>5.0285714285714232E-2</v>
      </c>
      <c r="M1731" s="28" t="s">
        <v>131</v>
      </c>
      <c r="N1731" s="27" t="s">
        <v>50</v>
      </c>
      <c r="O1731" s="27" t="s">
        <v>50</v>
      </c>
      <c r="P1731" s="27" t="s">
        <v>28</v>
      </c>
      <c r="Q1731" s="27" t="s">
        <v>14</v>
      </c>
    </row>
    <row r="1732" spans="1:17" x14ac:dyDescent="0.3">
      <c r="A1732" s="22">
        <v>38</v>
      </c>
      <c r="B1732" s="19">
        <v>41.72</v>
      </c>
      <c r="C1732" s="20">
        <f>Sales!$B1732*Sales!$A1732</f>
        <v>1585.36</v>
      </c>
      <c r="D1732" s="21">
        <v>38188</v>
      </c>
      <c r="E1732" s="22" t="s">
        <v>9</v>
      </c>
      <c r="F1732" s="22">
        <v>3</v>
      </c>
      <c r="G1732" s="22">
        <v>7</v>
      </c>
      <c r="H1732" s="22">
        <v>2004</v>
      </c>
      <c r="I1732" s="22" t="s">
        <v>47</v>
      </c>
      <c r="J1732" s="20">
        <v>35</v>
      </c>
      <c r="K1732" s="20">
        <f>Sales!$B1732-Sales!$J1732</f>
        <v>6.7199999999999989</v>
      </c>
      <c r="L1732" s="23">
        <f>(Sales!$J1732-Sales!$B1732)/Sales!$J1732</f>
        <v>-0.19199999999999998</v>
      </c>
      <c r="M1732" s="23" t="str">
        <f t="shared" ref="M1732:M1794" si="27">IF(L1732&lt;0%,"Below 0%",IF(L1732=0%,"0%",IF(AND(L1732&lt;=5%,L1732&gt;0%),"0%-5%",IF(AND(L1732&lt;=10%,L1732&gt;5%),"5%-10%",IF(AND(L1732&lt;=15%,L1732&gt;10%),"10%-15%",IF(AND(L1732&lt;=20%,L1732&gt;15%),"15%-20%","+20%"))))))</f>
        <v>Below 0%</v>
      </c>
      <c r="N1732" s="22" t="s">
        <v>64</v>
      </c>
      <c r="O1732" s="22" t="s">
        <v>12</v>
      </c>
      <c r="P1732" s="22" t="s">
        <v>13</v>
      </c>
      <c r="Q1732" s="22" t="s">
        <v>14</v>
      </c>
    </row>
    <row r="1733" spans="1:17" x14ac:dyDescent="0.3">
      <c r="A1733" s="27">
        <v>20</v>
      </c>
      <c r="B1733" s="24">
        <v>40.659999999999997</v>
      </c>
      <c r="C1733" s="25">
        <f>Sales!$B1733*Sales!$A1733</f>
        <v>813.19999999999993</v>
      </c>
      <c r="D1733" s="26">
        <v>38218</v>
      </c>
      <c r="E1733" s="27" t="s">
        <v>9</v>
      </c>
      <c r="F1733" s="27">
        <v>3</v>
      </c>
      <c r="G1733" s="27">
        <v>8</v>
      </c>
      <c r="H1733" s="27">
        <v>2004</v>
      </c>
      <c r="I1733" s="27" t="s">
        <v>47</v>
      </c>
      <c r="J1733" s="25">
        <v>35</v>
      </c>
      <c r="K1733" s="25">
        <f>Sales!$B1733-Sales!$J1733</f>
        <v>5.6599999999999966</v>
      </c>
      <c r="L1733" s="28">
        <f>(Sales!$J1733-Sales!$B1733)/Sales!$J1733</f>
        <v>-0.16171428571428562</v>
      </c>
      <c r="M1733" s="28" t="str">
        <f t="shared" si="27"/>
        <v>Below 0%</v>
      </c>
      <c r="N1733" s="27" t="s">
        <v>36</v>
      </c>
      <c r="O1733" s="27" t="s">
        <v>12</v>
      </c>
      <c r="P1733" s="27" t="s">
        <v>13</v>
      </c>
      <c r="Q1733" s="27" t="s">
        <v>14</v>
      </c>
    </row>
    <row r="1734" spans="1:17" x14ac:dyDescent="0.3">
      <c r="A1734" s="22">
        <v>39</v>
      </c>
      <c r="B1734" s="19">
        <v>30.06</v>
      </c>
      <c r="C1734" s="20">
        <f>Sales!$B1734*Sales!$A1734</f>
        <v>1172.3399999999999</v>
      </c>
      <c r="D1734" s="21">
        <v>38238</v>
      </c>
      <c r="E1734" s="22" t="s">
        <v>9</v>
      </c>
      <c r="F1734" s="22">
        <v>3</v>
      </c>
      <c r="G1734" s="22">
        <v>9</v>
      </c>
      <c r="H1734" s="22">
        <v>2004</v>
      </c>
      <c r="I1734" s="22" t="s">
        <v>47</v>
      </c>
      <c r="J1734" s="20">
        <v>35</v>
      </c>
      <c r="K1734" s="20">
        <f>Sales!$B1734-Sales!$J1734</f>
        <v>-4.9400000000000013</v>
      </c>
      <c r="L1734" s="23">
        <f>(Sales!$J1734-Sales!$B1734)/Sales!$J1734</f>
        <v>0.14114285714285718</v>
      </c>
      <c r="M1734" s="23" t="str">
        <f t="shared" si="27"/>
        <v>10%-15%</v>
      </c>
      <c r="N1734" s="22" t="s">
        <v>11</v>
      </c>
      <c r="O1734" s="22" t="s">
        <v>12</v>
      </c>
      <c r="P1734" s="22" t="s">
        <v>13</v>
      </c>
      <c r="Q1734" s="22" t="s">
        <v>14</v>
      </c>
    </row>
    <row r="1735" spans="1:17" x14ac:dyDescent="0.3">
      <c r="A1735" s="27">
        <v>48</v>
      </c>
      <c r="B1735" s="24">
        <v>31.47</v>
      </c>
      <c r="C1735" s="25">
        <f>Sales!$B1735*Sales!$A1735</f>
        <v>1510.56</v>
      </c>
      <c r="D1735" s="26">
        <v>38273</v>
      </c>
      <c r="E1735" s="27" t="s">
        <v>9</v>
      </c>
      <c r="F1735" s="27">
        <v>4</v>
      </c>
      <c r="G1735" s="27">
        <v>10</v>
      </c>
      <c r="H1735" s="27">
        <v>2004</v>
      </c>
      <c r="I1735" s="27" t="s">
        <v>47</v>
      </c>
      <c r="J1735" s="25">
        <v>35</v>
      </c>
      <c r="K1735" s="25">
        <f>Sales!$B1735-Sales!$J1735</f>
        <v>-3.5300000000000011</v>
      </c>
      <c r="L1735" s="28">
        <f>(Sales!$J1735-Sales!$B1735)/Sales!$J1735</f>
        <v>0.1008571428571429</v>
      </c>
      <c r="M1735" s="28" t="s">
        <v>134</v>
      </c>
      <c r="N1735" s="27" t="s">
        <v>32</v>
      </c>
      <c r="O1735" s="27" t="s">
        <v>12</v>
      </c>
      <c r="P1735" s="27" t="s">
        <v>13</v>
      </c>
      <c r="Q1735" s="27" t="s">
        <v>14</v>
      </c>
    </row>
    <row r="1736" spans="1:17" x14ac:dyDescent="0.3">
      <c r="A1736" s="22">
        <v>39</v>
      </c>
      <c r="B1736" s="19">
        <v>37.130000000000003</v>
      </c>
      <c r="C1736" s="20">
        <f>Sales!$B1736*Sales!$A1736</f>
        <v>1448.0700000000002</v>
      </c>
      <c r="D1736" s="21">
        <v>38282</v>
      </c>
      <c r="E1736" s="22" t="s">
        <v>9</v>
      </c>
      <c r="F1736" s="22">
        <v>4</v>
      </c>
      <c r="G1736" s="22">
        <v>10</v>
      </c>
      <c r="H1736" s="22">
        <v>2004</v>
      </c>
      <c r="I1736" s="22" t="s">
        <v>47</v>
      </c>
      <c r="J1736" s="20">
        <v>35</v>
      </c>
      <c r="K1736" s="20">
        <f>Sales!$B1736-Sales!$J1736</f>
        <v>2.1300000000000026</v>
      </c>
      <c r="L1736" s="23">
        <f>(Sales!$J1736-Sales!$B1736)/Sales!$J1736</f>
        <v>-6.0857142857142929E-2</v>
      </c>
      <c r="M1736" s="23" t="str">
        <f t="shared" si="27"/>
        <v>Below 0%</v>
      </c>
      <c r="N1736" s="22" t="s">
        <v>103</v>
      </c>
      <c r="O1736" s="22" t="s">
        <v>73</v>
      </c>
      <c r="P1736" s="22" t="s">
        <v>17</v>
      </c>
      <c r="Q1736" s="22" t="s">
        <v>14</v>
      </c>
    </row>
    <row r="1737" spans="1:17" x14ac:dyDescent="0.3">
      <c r="A1737" s="27">
        <v>30</v>
      </c>
      <c r="B1737" s="24">
        <v>100</v>
      </c>
      <c r="C1737" s="25">
        <f>Sales!$B1737*Sales!$A1737</f>
        <v>3000</v>
      </c>
      <c r="D1737" s="26">
        <v>38296</v>
      </c>
      <c r="E1737" s="27" t="s">
        <v>9</v>
      </c>
      <c r="F1737" s="27">
        <v>4</v>
      </c>
      <c r="G1737" s="27">
        <v>11</v>
      </c>
      <c r="H1737" s="27">
        <v>2004</v>
      </c>
      <c r="I1737" s="27" t="s">
        <v>47</v>
      </c>
      <c r="J1737" s="25">
        <v>35</v>
      </c>
      <c r="K1737" s="25">
        <f>Sales!$B1737-Sales!$J1737</f>
        <v>65</v>
      </c>
      <c r="L1737" s="28">
        <f>(Sales!$J1737-Sales!$B1737)/Sales!$J1737</f>
        <v>-1.8571428571428572</v>
      </c>
      <c r="M1737" s="28" t="str">
        <f t="shared" si="27"/>
        <v>Below 0%</v>
      </c>
      <c r="N1737" s="27" t="s">
        <v>11</v>
      </c>
      <c r="O1737" s="27" t="s">
        <v>12</v>
      </c>
      <c r="P1737" s="27" t="s">
        <v>13</v>
      </c>
      <c r="Q1737" s="27" t="s">
        <v>19</v>
      </c>
    </row>
    <row r="1738" spans="1:17" x14ac:dyDescent="0.3">
      <c r="A1738" s="22">
        <v>33</v>
      </c>
      <c r="B1738" s="19">
        <v>37.130000000000003</v>
      </c>
      <c r="C1738" s="20">
        <f>Sales!$B1738*Sales!$A1738</f>
        <v>1225.2900000000002</v>
      </c>
      <c r="D1738" s="21">
        <v>38310</v>
      </c>
      <c r="E1738" s="22" t="s">
        <v>9</v>
      </c>
      <c r="F1738" s="22">
        <v>4</v>
      </c>
      <c r="G1738" s="22">
        <v>11</v>
      </c>
      <c r="H1738" s="22">
        <v>2004</v>
      </c>
      <c r="I1738" s="22" t="s">
        <v>47</v>
      </c>
      <c r="J1738" s="20">
        <v>35</v>
      </c>
      <c r="K1738" s="20">
        <f>Sales!$B1738-Sales!$J1738</f>
        <v>2.1300000000000026</v>
      </c>
      <c r="L1738" s="23">
        <f>(Sales!$J1738-Sales!$B1738)/Sales!$J1738</f>
        <v>-6.0857142857142929E-2</v>
      </c>
      <c r="M1738" s="23" t="str">
        <f t="shared" si="27"/>
        <v>Below 0%</v>
      </c>
      <c r="N1738" s="22" t="s">
        <v>64</v>
      </c>
      <c r="O1738" s="22" t="s">
        <v>12</v>
      </c>
      <c r="P1738" s="22" t="s">
        <v>13</v>
      </c>
      <c r="Q1738" s="22" t="s">
        <v>14</v>
      </c>
    </row>
    <row r="1739" spans="1:17" x14ac:dyDescent="0.3">
      <c r="A1739" s="27">
        <v>36</v>
      </c>
      <c r="B1739" s="24">
        <v>37.130000000000003</v>
      </c>
      <c r="C1739" s="25">
        <f>Sales!$B1739*Sales!$A1739</f>
        <v>1336.68</v>
      </c>
      <c r="D1739" s="26">
        <v>38322</v>
      </c>
      <c r="E1739" s="27" t="s">
        <v>9</v>
      </c>
      <c r="F1739" s="27">
        <v>4</v>
      </c>
      <c r="G1739" s="27">
        <v>12</v>
      </c>
      <c r="H1739" s="27">
        <v>2004</v>
      </c>
      <c r="I1739" s="27" t="s">
        <v>47</v>
      </c>
      <c r="J1739" s="25">
        <v>35</v>
      </c>
      <c r="K1739" s="25">
        <f>Sales!$B1739-Sales!$J1739</f>
        <v>2.1300000000000026</v>
      </c>
      <c r="L1739" s="28">
        <f>(Sales!$J1739-Sales!$B1739)/Sales!$J1739</f>
        <v>-6.0857142857142929E-2</v>
      </c>
      <c r="M1739" s="28" t="str">
        <f t="shared" si="27"/>
        <v>Below 0%</v>
      </c>
      <c r="N1739" s="27" t="s">
        <v>11</v>
      </c>
      <c r="O1739" s="27" t="s">
        <v>12</v>
      </c>
      <c r="P1739" s="27" t="s">
        <v>13</v>
      </c>
      <c r="Q1739" s="27" t="s">
        <v>14</v>
      </c>
    </row>
    <row r="1740" spans="1:17" x14ac:dyDescent="0.3">
      <c r="A1740" s="22">
        <v>36</v>
      </c>
      <c r="B1740" s="19">
        <v>82.94</v>
      </c>
      <c r="C1740" s="20">
        <f>Sales!$B1740*Sales!$A1740</f>
        <v>2985.84</v>
      </c>
      <c r="D1740" s="21">
        <v>38331</v>
      </c>
      <c r="E1740" s="22" t="s">
        <v>9</v>
      </c>
      <c r="F1740" s="22">
        <v>4</v>
      </c>
      <c r="G1740" s="22">
        <v>12</v>
      </c>
      <c r="H1740" s="22">
        <v>2004</v>
      </c>
      <c r="I1740" s="22" t="s">
        <v>47</v>
      </c>
      <c r="J1740" s="20">
        <v>35</v>
      </c>
      <c r="K1740" s="20">
        <f>Sales!$B1740-Sales!$J1740</f>
        <v>47.94</v>
      </c>
      <c r="L1740" s="23">
        <f>(Sales!$J1740-Sales!$B1740)/Sales!$J1740</f>
        <v>-1.3697142857142857</v>
      </c>
      <c r="M1740" s="23" t="str">
        <f t="shared" si="27"/>
        <v>Below 0%</v>
      </c>
      <c r="N1740" s="22" t="s">
        <v>45</v>
      </c>
      <c r="O1740" s="22" t="s">
        <v>46</v>
      </c>
      <c r="P1740" s="22" t="s">
        <v>17</v>
      </c>
      <c r="Q1740" s="22" t="s">
        <v>14</v>
      </c>
    </row>
    <row r="1741" spans="1:17" x14ac:dyDescent="0.3">
      <c r="A1741" s="27">
        <v>45</v>
      </c>
      <c r="B1741" s="24">
        <v>100</v>
      </c>
      <c r="C1741" s="25">
        <f>Sales!$B1741*Sales!$A1741</f>
        <v>4500</v>
      </c>
      <c r="D1741" s="26">
        <v>38375</v>
      </c>
      <c r="E1741" s="27" t="s">
        <v>9</v>
      </c>
      <c r="F1741" s="27">
        <v>1</v>
      </c>
      <c r="G1741" s="27">
        <v>1</v>
      </c>
      <c r="H1741" s="27">
        <v>2005</v>
      </c>
      <c r="I1741" s="27" t="s">
        <v>47</v>
      </c>
      <c r="J1741" s="25">
        <v>35</v>
      </c>
      <c r="K1741" s="25">
        <f>Sales!$B1741-Sales!$J1741</f>
        <v>65</v>
      </c>
      <c r="L1741" s="28">
        <f>(Sales!$J1741-Sales!$B1741)/Sales!$J1741</f>
        <v>-1.8571428571428572</v>
      </c>
      <c r="M1741" s="28" t="str">
        <f t="shared" si="27"/>
        <v>Below 0%</v>
      </c>
      <c r="N1741" s="27" t="s">
        <v>64</v>
      </c>
      <c r="O1741" s="27" t="s">
        <v>12</v>
      </c>
      <c r="P1741" s="27" t="s">
        <v>13</v>
      </c>
      <c r="Q1741" s="27" t="s">
        <v>19</v>
      </c>
    </row>
    <row r="1742" spans="1:17" x14ac:dyDescent="0.3">
      <c r="A1742" s="22">
        <v>40</v>
      </c>
      <c r="B1742" s="19">
        <v>100</v>
      </c>
      <c r="C1742" s="20">
        <f>Sales!$B1742*Sales!$A1742</f>
        <v>4000</v>
      </c>
      <c r="D1742" s="21">
        <v>38405</v>
      </c>
      <c r="E1742" s="22" t="s">
        <v>9</v>
      </c>
      <c r="F1742" s="22">
        <v>1</v>
      </c>
      <c r="G1742" s="22">
        <v>2</v>
      </c>
      <c r="H1742" s="22">
        <v>2005</v>
      </c>
      <c r="I1742" s="22" t="s">
        <v>47</v>
      </c>
      <c r="J1742" s="20">
        <v>35</v>
      </c>
      <c r="K1742" s="20">
        <f>Sales!$B1742-Sales!$J1742</f>
        <v>65</v>
      </c>
      <c r="L1742" s="23">
        <f>(Sales!$J1742-Sales!$B1742)/Sales!$J1742</f>
        <v>-1.8571428571428572</v>
      </c>
      <c r="M1742" s="23" t="str">
        <f t="shared" si="27"/>
        <v>Below 0%</v>
      </c>
      <c r="N1742" s="22" t="s">
        <v>45</v>
      </c>
      <c r="O1742" s="22" t="s">
        <v>46</v>
      </c>
      <c r="P1742" s="22" t="s">
        <v>17</v>
      </c>
      <c r="Q1742" s="22" t="s">
        <v>19</v>
      </c>
    </row>
    <row r="1743" spans="1:17" x14ac:dyDescent="0.3">
      <c r="A1743" s="27">
        <v>46</v>
      </c>
      <c r="B1743" s="24">
        <v>38.9</v>
      </c>
      <c r="C1743" s="25">
        <f>Sales!$B1743*Sales!$A1743</f>
        <v>1789.3999999999999</v>
      </c>
      <c r="D1743" s="26">
        <v>38426</v>
      </c>
      <c r="E1743" s="27" t="s">
        <v>9</v>
      </c>
      <c r="F1743" s="27">
        <v>1</v>
      </c>
      <c r="G1743" s="27">
        <v>3</v>
      </c>
      <c r="H1743" s="27">
        <v>2005</v>
      </c>
      <c r="I1743" s="27" t="s">
        <v>47</v>
      </c>
      <c r="J1743" s="25">
        <v>35</v>
      </c>
      <c r="K1743" s="25">
        <f>Sales!$B1743-Sales!$J1743</f>
        <v>3.8999999999999986</v>
      </c>
      <c r="L1743" s="28">
        <f>(Sales!$J1743-Sales!$B1743)/Sales!$J1743</f>
        <v>-0.11142857142857139</v>
      </c>
      <c r="M1743" s="28" t="str">
        <f t="shared" si="27"/>
        <v>Below 0%</v>
      </c>
      <c r="N1743" s="27" t="s">
        <v>45</v>
      </c>
      <c r="O1743" s="27" t="s">
        <v>46</v>
      </c>
      <c r="P1743" s="27" t="s">
        <v>17</v>
      </c>
      <c r="Q1743" s="27" t="s">
        <v>14</v>
      </c>
    </row>
    <row r="1744" spans="1:17" x14ac:dyDescent="0.3">
      <c r="A1744" s="22">
        <v>30</v>
      </c>
      <c r="B1744" s="19">
        <v>36.07</v>
      </c>
      <c r="C1744" s="20">
        <f>Sales!$B1744*Sales!$A1744</f>
        <v>1082.0999999999999</v>
      </c>
      <c r="D1744" s="21">
        <v>38475</v>
      </c>
      <c r="E1744" s="22" t="s">
        <v>9</v>
      </c>
      <c r="F1744" s="22">
        <v>2</v>
      </c>
      <c r="G1744" s="22">
        <v>5</v>
      </c>
      <c r="H1744" s="22">
        <v>2005</v>
      </c>
      <c r="I1744" s="22" t="s">
        <v>47</v>
      </c>
      <c r="J1744" s="20">
        <v>35</v>
      </c>
      <c r="K1744" s="20">
        <f>Sales!$B1744-Sales!$J1744</f>
        <v>1.0700000000000003</v>
      </c>
      <c r="L1744" s="23">
        <f>(Sales!$J1744-Sales!$B1744)/Sales!$J1744</f>
        <v>-3.0571428571428579E-2</v>
      </c>
      <c r="M1744" s="23" t="str">
        <f t="shared" si="27"/>
        <v>Below 0%</v>
      </c>
      <c r="N1744" s="22" t="s">
        <v>45</v>
      </c>
      <c r="O1744" s="22" t="s">
        <v>46</v>
      </c>
      <c r="P1744" s="22" t="s">
        <v>17</v>
      </c>
      <c r="Q1744" s="22" t="s">
        <v>14</v>
      </c>
    </row>
    <row r="1745" spans="1:17" x14ac:dyDescent="0.3">
      <c r="A1745" s="27">
        <v>31</v>
      </c>
      <c r="B1745" s="24">
        <v>33.24</v>
      </c>
      <c r="C1745" s="25">
        <f>Sales!$B1745*Sales!$A1745</f>
        <v>1030.44</v>
      </c>
      <c r="D1745" s="26">
        <v>38503</v>
      </c>
      <c r="E1745" s="27" t="s">
        <v>69</v>
      </c>
      <c r="F1745" s="27">
        <v>2</v>
      </c>
      <c r="G1745" s="27">
        <v>5</v>
      </c>
      <c r="H1745" s="27">
        <v>2005</v>
      </c>
      <c r="I1745" s="27" t="s">
        <v>47</v>
      </c>
      <c r="J1745" s="25">
        <v>35</v>
      </c>
      <c r="K1745" s="25">
        <f>Sales!$B1745-Sales!$J1745</f>
        <v>-1.759999999999998</v>
      </c>
      <c r="L1745" s="28">
        <f>(Sales!$J1745-Sales!$B1745)/Sales!$J1745</f>
        <v>5.0285714285714232E-2</v>
      </c>
      <c r="M1745" s="28" t="s">
        <v>131</v>
      </c>
      <c r="N1745" s="27" t="s">
        <v>31</v>
      </c>
      <c r="O1745" s="27" t="s">
        <v>16</v>
      </c>
      <c r="P1745" s="27" t="s">
        <v>17</v>
      </c>
      <c r="Q1745" s="27" t="s">
        <v>14</v>
      </c>
    </row>
    <row r="1746" spans="1:17" x14ac:dyDescent="0.3">
      <c r="A1746" s="22">
        <v>49</v>
      </c>
      <c r="B1746" s="19">
        <v>74.680000000000007</v>
      </c>
      <c r="C1746" s="20">
        <f>Sales!$B1746*Sales!$A1746</f>
        <v>3659.32</v>
      </c>
      <c r="D1746" s="21">
        <v>37669</v>
      </c>
      <c r="E1746" s="22" t="s">
        <v>9</v>
      </c>
      <c r="F1746" s="22">
        <v>1</v>
      </c>
      <c r="G1746" s="22">
        <v>2</v>
      </c>
      <c r="H1746" s="22">
        <v>2003</v>
      </c>
      <c r="I1746" s="22" t="s">
        <v>115</v>
      </c>
      <c r="J1746" s="20">
        <v>68</v>
      </c>
      <c r="K1746" s="20">
        <f>Sales!$B1746-Sales!$J1746</f>
        <v>6.6800000000000068</v>
      </c>
      <c r="L1746" s="23">
        <f>(Sales!$J1746-Sales!$B1746)/Sales!$J1746</f>
        <v>-9.8235294117647157E-2</v>
      </c>
      <c r="M1746" s="23" t="str">
        <f t="shared" si="27"/>
        <v>Below 0%</v>
      </c>
      <c r="N1746" s="22" t="s">
        <v>113</v>
      </c>
      <c r="O1746" s="22" t="s">
        <v>61</v>
      </c>
      <c r="P1746" s="22" t="s">
        <v>17</v>
      </c>
      <c r="Q1746" s="22" t="s">
        <v>19</v>
      </c>
    </row>
    <row r="1747" spans="1:17" x14ac:dyDescent="0.3">
      <c r="A1747" s="27">
        <v>41</v>
      </c>
      <c r="B1747" s="24">
        <v>59.6</v>
      </c>
      <c r="C1747" s="25">
        <f>Sales!$B1747*Sales!$A1747</f>
        <v>2443.6</v>
      </c>
      <c r="D1747" s="26">
        <v>37739</v>
      </c>
      <c r="E1747" s="27" t="s">
        <v>9</v>
      </c>
      <c r="F1747" s="27">
        <v>2</v>
      </c>
      <c r="G1747" s="27">
        <v>4</v>
      </c>
      <c r="H1747" s="27">
        <v>2003</v>
      </c>
      <c r="I1747" s="27" t="s">
        <v>115</v>
      </c>
      <c r="J1747" s="25">
        <v>68</v>
      </c>
      <c r="K1747" s="25">
        <f>Sales!$B1747-Sales!$J1747</f>
        <v>-8.3999999999999986</v>
      </c>
      <c r="L1747" s="28">
        <f>(Sales!$J1747-Sales!$B1747)/Sales!$J1747</f>
        <v>0.12352941176470586</v>
      </c>
      <c r="M1747" s="28" t="str">
        <f t="shared" si="27"/>
        <v>10%-15%</v>
      </c>
      <c r="N1747" s="27" t="s">
        <v>37</v>
      </c>
      <c r="O1747" s="27" t="s">
        <v>38</v>
      </c>
      <c r="P1747" s="27" t="s">
        <v>17</v>
      </c>
      <c r="Q1747" s="27" t="s">
        <v>14</v>
      </c>
    </row>
    <row r="1748" spans="1:17" x14ac:dyDescent="0.3">
      <c r="A1748" s="22">
        <v>35</v>
      </c>
      <c r="B1748" s="19">
        <v>67.14</v>
      </c>
      <c r="C1748" s="20">
        <f>Sales!$B1748*Sales!$A1748</f>
        <v>2349.9</v>
      </c>
      <c r="D1748" s="21">
        <v>37788</v>
      </c>
      <c r="E1748" s="22" t="s">
        <v>9</v>
      </c>
      <c r="F1748" s="22">
        <v>2</v>
      </c>
      <c r="G1748" s="22">
        <v>6</v>
      </c>
      <c r="H1748" s="22">
        <v>2003</v>
      </c>
      <c r="I1748" s="22" t="s">
        <v>115</v>
      </c>
      <c r="J1748" s="20">
        <v>68</v>
      </c>
      <c r="K1748" s="20">
        <f>Sales!$B1748-Sales!$J1748</f>
        <v>-0.85999999999999943</v>
      </c>
      <c r="L1748" s="23">
        <f>(Sales!$J1748-Sales!$B1748)/Sales!$J1748</f>
        <v>1.2647058823529404E-2</v>
      </c>
      <c r="M1748" s="23" t="str">
        <f t="shared" si="27"/>
        <v>0%-5%</v>
      </c>
      <c r="N1748" s="22" t="s">
        <v>105</v>
      </c>
      <c r="O1748" s="22" t="s">
        <v>12</v>
      </c>
      <c r="P1748" s="22" t="s">
        <v>13</v>
      </c>
      <c r="Q1748" s="22" t="s">
        <v>14</v>
      </c>
    </row>
    <row r="1749" spans="1:17" x14ac:dyDescent="0.3">
      <c r="A1749" s="27">
        <v>27</v>
      </c>
      <c r="B1749" s="24">
        <v>60.97</v>
      </c>
      <c r="C1749" s="25">
        <f>Sales!$B1749*Sales!$A1749</f>
        <v>1646.19</v>
      </c>
      <c r="D1749" s="26">
        <v>37843</v>
      </c>
      <c r="E1749" s="27" t="s">
        <v>9</v>
      </c>
      <c r="F1749" s="27">
        <v>3</v>
      </c>
      <c r="G1749" s="27">
        <v>8</v>
      </c>
      <c r="H1749" s="27">
        <v>2003</v>
      </c>
      <c r="I1749" s="27" t="s">
        <v>115</v>
      </c>
      <c r="J1749" s="25">
        <v>68</v>
      </c>
      <c r="K1749" s="25">
        <f>Sales!$B1749-Sales!$J1749</f>
        <v>-7.0300000000000011</v>
      </c>
      <c r="L1749" s="28">
        <f>(Sales!$J1749-Sales!$B1749)/Sales!$J1749</f>
        <v>0.10338235294117648</v>
      </c>
      <c r="M1749" s="28" t="s">
        <v>134</v>
      </c>
      <c r="N1749" s="27" t="s">
        <v>41</v>
      </c>
      <c r="O1749" s="27" t="s">
        <v>12</v>
      </c>
      <c r="P1749" s="27" t="s">
        <v>13</v>
      </c>
      <c r="Q1749" s="27" t="s">
        <v>14</v>
      </c>
    </row>
    <row r="1750" spans="1:17" x14ac:dyDescent="0.3">
      <c r="A1750" s="22">
        <v>23</v>
      </c>
      <c r="B1750" s="19">
        <v>72.62</v>
      </c>
      <c r="C1750" s="20">
        <f>Sales!$B1750*Sales!$A1750</f>
        <v>1670.2600000000002</v>
      </c>
      <c r="D1750" s="21">
        <v>37900</v>
      </c>
      <c r="E1750" s="22" t="s">
        <v>9</v>
      </c>
      <c r="F1750" s="22">
        <v>4</v>
      </c>
      <c r="G1750" s="22">
        <v>10</v>
      </c>
      <c r="H1750" s="22">
        <v>2003</v>
      </c>
      <c r="I1750" s="22" t="s">
        <v>115</v>
      </c>
      <c r="J1750" s="20">
        <v>68</v>
      </c>
      <c r="K1750" s="20">
        <f>Sales!$B1750-Sales!$J1750</f>
        <v>4.6200000000000045</v>
      </c>
      <c r="L1750" s="23">
        <f>(Sales!$J1750-Sales!$B1750)/Sales!$J1750</f>
        <v>-6.7941176470588296E-2</v>
      </c>
      <c r="M1750" s="23" t="str">
        <f t="shared" si="27"/>
        <v>Below 0%</v>
      </c>
      <c r="N1750" s="22" t="s">
        <v>33</v>
      </c>
      <c r="O1750" s="22" t="s">
        <v>34</v>
      </c>
      <c r="P1750" s="22" t="s">
        <v>17</v>
      </c>
      <c r="Q1750" s="22" t="s">
        <v>14</v>
      </c>
    </row>
    <row r="1751" spans="1:17" x14ac:dyDescent="0.3">
      <c r="A1751" s="27">
        <v>21</v>
      </c>
      <c r="B1751" s="24">
        <v>69.88</v>
      </c>
      <c r="C1751" s="25">
        <f>Sales!$B1751*Sales!$A1751</f>
        <v>1467.48</v>
      </c>
      <c r="D1751" s="26">
        <v>37917</v>
      </c>
      <c r="E1751" s="27" t="s">
        <v>75</v>
      </c>
      <c r="F1751" s="27">
        <v>4</v>
      </c>
      <c r="G1751" s="27">
        <v>10</v>
      </c>
      <c r="H1751" s="27">
        <v>2003</v>
      </c>
      <c r="I1751" s="27" t="s">
        <v>115</v>
      </c>
      <c r="J1751" s="25">
        <v>68</v>
      </c>
      <c r="K1751" s="25">
        <f>Sales!$B1751-Sales!$J1751</f>
        <v>1.8799999999999955</v>
      </c>
      <c r="L1751" s="28">
        <f>(Sales!$J1751-Sales!$B1751)/Sales!$J1751</f>
        <v>-2.7647058823529344E-2</v>
      </c>
      <c r="M1751" s="28" t="str">
        <f t="shared" si="27"/>
        <v>Below 0%</v>
      </c>
      <c r="N1751" s="27" t="s">
        <v>62</v>
      </c>
      <c r="O1751" s="27" t="s">
        <v>49</v>
      </c>
      <c r="P1751" s="27" t="s">
        <v>17</v>
      </c>
      <c r="Q1751" s="27" t="s">
        <v>14</v>
      </c>
    </row>
    <row r="1752" spans="1:17" x14ac:dyDescent="0.3">
      <c r="A1752" s="22">
        <v>34</v>
      </c>
      <c r="B1752" s="19">
        <v>80.84</v>
      </c>
      <c r="C1752" s="20">
        <f>Sales!$B1752*Sales!$A1752</f>
        <v>2748.56</v>
      </c>
      <c r="D1752" s="21">
        <v>37933</v>
      </c>
      <c r="E1752" s="22" t="s">
        <v>9</v>
      </c>
      <c r="F1752" s="22">
        <v>4</v>
      </c>
      <c r="G1752" s="22">
        <v>11</v>
      </c>
      <c r="H1752" s="22">
        <v>2003</v>
      </c>
      <c r="I1752" s="22" t="s">
        <v>115</v>
      </c>
      <c r="J1752" s="20">
        <v>68</v>
      </c>
      <c r="K1752" s="20">
        <f>Sales!$B1752-Sales!$J1752</f>
        <v>12.840000000000003</v>
      </c>
      <c r="L1752" s="23">
        <f>(Sales!$J1752-Sales!$B1752)/Sales!$J1752</f>
        <v>-0.18882352941176475</v>
      </c>
      <c r="M1752" s="23" t="str">
        <f t="shared" si="27"/>
        <v>Below 0%</v>
      </c>
      <c r="N1752" s="22" t="s">
        <v>76</v>
      </c>
      <c r="O1752" s="22" t="s">
        <v>16</v>
      </c>
      <c r="P1752" s="22" t="s">
        <v>17</v>
      </c>
      <c r="Q1752" s="22" t="s">
        <v>14</v>
      </c>
    </row>
    <row r="1753" spans="1:17" x14ac:dyDescent="0.3">
      <c r="A1753" s="27">
        <v>22</v>
      </c>
      <c r="B1753" s="24">
        <v>69.2</v>
      </c>
      <c r="C1753" s="25">
        <f>Sales!$B1753*Sales!$A1753</f>
        <v>1522.4</v>
      </c>
      <c r="D1753" s="26">
        <v>37939</v>
      </c>
      <c r="E1753" s="27" t="s">
        <v>9</v>
      </c>
      <c r="F1753" s="27">
        <v>4</v>
      </c>
      <c r="G1753" s="27">
        <v>11</v>
      </c>
      <c r="H1753" s="27">
        <v>2003</v>
      </c>
      <c r="I1753" s="27" t="s">
        <v>115</v>
      </c>
      <c r="J1753" s="25">
        <v>68</v>
      </c>
      <c r="K1753" s="25">
        <f>Sales!$B1753-Sales!$J1753</f>
        <v>1.2000000000000028</v>
      </c>
      <c r="L1753" s="28">
        <f>(Sales!$J1753-Sales!$B1753)/Sales!$J1753</f>
        <v>-1.7647058823529453E-2</v>
      </c>
      <c r="M1753" s="28" t="str">
        <f t="shared" si="27"/>
        <v>Below 0%</v>
      </c>
      <c r="N1753" s="27" t="s">
        <v>74</v>
      </c>
      <c r="O1753" s="27" t="s">
        <v>43</v>
      </c>
      <c r="P1753" s="27" t="s">
        <v>17</v>
      </c>
      <c r="Q1753" s="27" t="s">
        <v>14</v>
      </c>
    </row>
    <row r="1754" spans="1:17" x14ac:dyDescent="0.3">
      <c r="A1754" s="22">
        <v>48</v>
      </c>
      <c r="B1754" s="19">
        <v>67.819999999999993</v>
      </c>
      <c r="C1754" s="20">
        <f>Sales!$B1754*Sales!$A1754</f>
        <v>3255.3599999999997</v>
      </c>
      <c r="D1754" s="21">
        <v>37952</v>
      </c>
      <c r="E1754" s="22" t="s">
        <v>9</v>
      </c>
      <c r="F1754" s="22">
        <v>4</v>
      </c>
      <c r="G1754" s="22">
        <v>11</v>
      </c>
      <c r="H1754" s="22">
        <v>2003</v>
      </c>
      <c r="I1754" s="22" t="s">
        <v>115</v>
      </c>
      <c r="J1754" s="20">
        <v>68</v>
      </c>
      <c r="K1754" s="20">
        <f>Sales!$B1754-Sales!$J1754</f>
        <v>-0.18000000000000682</v>
      </c>
      <c r="L1754" s="23">
        <f>(Sales!$J1754-Sales!$B1754)/Sales!$J1754</f>
        <v>2.6470588235295123E-3</v>
      </c>
      <c r="M1754" s="23" t="s">
        <v>130</v>
      </c>
      <c r="N1754" s="22" t="s">
        <v>90</v>
      </c>
      <c r="O1754" s="22" t="s">
        <v>91</v>
      </c>
      <c r="P1754" s="22" t="s">
        <v>28</v>
      </c>
      <c r="Q1754" s="22" t="s">
        <v>19</v>
      </c>
    </row>
    <row r="1755" spans="1:17" x14ac:dyDescent="0.3">
      <c r="A1755" s="27">
        <v>43</v>
      </c>
      <c r="B1755" s="24">
        <v>82.21</v>
      </c>
      <c r="C1755" s="25">
        <f>Sales!$B1755*Sales!$A1755</f>
        <v>3535.0299999999997</v>
      </c>
      <c r="D1755" s="26">
        <v>37995</v>
      </c>
      <c r="E1755" s="27" t="s">
        <v>9</v>
      </c>
      <c r="F1755" s="27">
        <v>1</v>
      </c>
      <c r="G1755" s="27">
        <v>1</v>
      </c>
      <c r="H1755" s="27">
        <v>2004</v>
      </c>
      <c r="I1755" s="27" t="s">
        <v>115</v>
      </c>
      <c r="J1755" s="25">
        <v>68</v>
      </c>
      <c r="K1755" s="25">
        <f>Sales!$B1755-Sales!$J1755</f>
        <v>14.209999999999994</v>
      </c>
      <c r="L1755" s="28">
        <f>(Sales!$J1755-Sales!$B1755)/Sales!$J1755</f>
        <v>-0.20897058823529402</v>
      </c>
      <c r="M1755" s="28" t="str">
        <f t="shared" si="27"/>
        <v>Below 0%</v>
      </c>
      <c r="N1755" s="27" t="s">
        <v>78</v>
      </c>
      <c r="O1755" s="27" t="s">
        <v>12</v>
      </c>
      <c r="P1755" s="27" t="s">
        <v>13</v>
      </c>
      <c r="Q1755" s="27" t="s">
        <v>19</v>
      </c>
    </row>
    <row r="1756" spans="1:17" x14ac:dyDescent="0.3">
      <c r="A1756" s="22">
        <v>32</v>
      </c>
      <c r="B1756" s="19">
        <v>81.53</v>
      </c>
      <c r="C1756" s="20">
        <f>Sales!$B1756*Sales!$A1756</f>
        <v>2608.96</v>
      </c>
      <c r="D1756" s="21">
        <v>38036</v>
      </c>
      <c r="E1756" s="22" t="s">
        <v>9</v>
      </c>
      <c r="F1756" s="22">
        <v>1</v>
      </c>
      <c r="G1756" s="22">
        <v>2</v>
      </c>
      <c r="H1756" s="22">
        <v>2004</v>
      </c>
      <c r="I1756" s="22" t="s">
        <v>115</v>
      </c>
      <c r="J1756" s="20">
        <v>68</v>
      </c>
      <c r="K1756" s="20">
        <f>Sales!$B1756-Sales!$J1756</f>
        <v>13.530000000000001</v>
      </c>
      <c r="L1756" s="23">
        <f>(Sales!$J1756-Sales!$B1756)/Sales!$J1756</f>
        <v>-0.19897058823529412</v>
      </c>
      <c r="M1756" s="23" t="str">
        <f t="shared" si="27"/>
        <v>Below 0%</v>
      </c>
      <c r="N1756" s="22" t="s">
        <v>79</v>
      </c>
      <c r="O1756" s="22" t="s">
        <v>12</v>
      </c>
      <c r="P1756" s="22" t="s">
        <v>13</v>
      </c>
      <c r="Q1756" s="22" t="s">
        <v>14</v>
      </c>
    </row>
    <row r="1757" spans="1:17" x14ac:dyDescent="0.3">
      <c r="A1757" s="27">
        <v>20</v>
      </c>
      <c r="B1757" s="24">
        <v>67.819999999999993</v>
      </c>
      <c r="C1757" s="25">
        <f>Sales!$B1757*Sales!$A1757</f>
        <v>1356.3999999999999</v>
      </c>
      <c r="D1757" s="26">
        <v>38115</v>
      </c>
      <c r="E1757" s="27" t="s">
        <v>9</v>
      </c>
      <c r="F1757" s="27">
        <v>2</v>
      </c>
      <c r="G1757" s="27">
        <v>5</v>
      </c>
      <c r="H1757" s="27">
        <v>2004</v>
      </c>
      <c r="I1757" s="27" t="s">
        <v>115</v>
      </c>
      <c r="J1757" s="25">
        <v>68</v>
      </c>
      <c r="K1757" s="25">
        <f>Sales!$B1757-Sales!$J1757</f>
        <v>-0.18000000000000682</v>
      </c>
      <c r="L1757" s="28">
        <f>(Sales!$J1757-Sales!$B1757)/Sales!$J1757</f>
        <v>2.6470588235295123E-3</v>
      </c>
      <c r="M1757" s="28" t="s">
        <v>130</v>
      </c>
      <c r="N1757" s="27" t="s">
        <v>32</v>
      </c>
      <c r="O1757" s="27" t="s">
        <v>12</v>
      </c>
      <c r="P1757" s="27" t="s">
        <v>13</v>
      </c>
      <c r="Q1757" s="27" t="s">
        <v>14</v>
      </c>
    </row>
    <row r="1758" spans="1:17" x14ac:dyDescent="0.3">
      <c r="A1758" s="22">
        <v>24</v>
      </c>
      <c r="B1758" s="19">
        <v>67.14</v>
      </c>
      <c r="C1758" s="20">
        <f>Sales!$B1758*Sales!$A1758</f>
        <v>1611.3600000000001</v>
      </c>
      <c r="D1758" s="21">
        <v>38162</v>
      </c>
      <c r="E1758" s="22" t="s">
        <v>75</v>
      </c>
      <c r="F1758" s="22">
        <v>2</v>
      </c>
      <c r="G1758" s="22">
        <v>6</v>
      </c>
      <c r="H1758" s="22">
        <v>2004</v>
      </c>
      <c r="I1758" s="22" t="s">
        <v>115</v>
      </c>
      <c r="J1758" s="20">
        <v>68</v>
      </c>
      <c r="K1758" s="20">
        <f>Sales!$B1758-Sales!$J1758</f>
        <v>-0.85999999999999943</v>
      </c>
      <c r="L1758" s="23">
        <f>(Sales!$J1758-Sales!$B1758)/Sales!$J1758</f>
        <v>1.2647058823529404E-2</v>
      </c>
      <c r="M1758" s="23" t="str">
        <f t="shared" si="27"/>
        <v>0%-5%</v>
      </c>
      <c r="N1758" s="22" t="s">
        <v>45</v>
      </c>
      <c r="O1758" s="22" t="s">
        <v>46</v>
      </c>
      <c r="P1758" s="22" t="s">
        <v>17</v>
      </c>
      <c r="Q1758" s="22" t="s">
        <v>14</v>
      </c>
    </row>
    <row r="1759" spans="1:17" x14ac:dyDescent="0.3">
      <c r="A1759" s="27">
        <v>40</v>
      </c>
      <c r="B1759" s="24">
        <v>65.08</v>
      </c>
      <c r="C1759" s="25">
        <f>Sales!$B1759*Sales!$A1759</f>
        <v>2603.1999999999998</v>
      </c>
      <c r="D1759" s="26">
        <v>38189</v>
      </c>
      <c r="E1759" s="27" t="s">
        <v>9</v>
      </c>
      <c r="F1759" s="27">
        <v>3</v>
      </c>
      <c r="G1759" s="27">
        <v>7</v>
      </c>
      <c r="H1759" s="27">
        <v>2004</v>
      </c>
      <c r="I1759" s="27" t="s">
        <v>115</v>
      </c>
      <c r="J1759" s="25">
        <v>68</v>
      </c>
      <c r="K1759" s="25">
        <f>Sales!$B1759-Sales!$J1759</f>
        <v>-2.9200000000000017</v>
      </c>
      <c r="L1759" s="28">
        <f>(Sales!$J1759-Sales!$B1759)/Sales!$J1759</f>
        <v>4.294117647058826E-2</v>
      </c>
      <c r="M1759" s="28" t="str">
        <f t="shared" si="27"/>
        <v>0%-5%</v>
      </c>
      <c r="N1759" s="27" t="s">
        <v>66</v>
      </c>
      <c r="O1759" s="27" t="s">
        <v>12</v>
      </c>
      <c r="P1759" s="27" t="s">
        <v>13</v>
      </c>
      <c r="Q1759" s="27" t="s">
        <v>14</v>
      </c>
    </row>
    <row r="1760" spans="1:17" x14ac:dyDescent="0.3">
      <c r="A1760" s="22">
        <v>30</v>
      </c>
      <c r="B1760" s="19">
        <v>73.989999999999995</v>
      </c>
      <c r="C1760" s="20">
        <f>Sales!$B1760*Sales!$A1760</f>
        <v>2219.6999999999998</v>
      </c>
      <c r="D1760" s="21">
        <v>38220</v>
      </c>
      <c r="E1760" s="22" t="s">
        <v>9</v>
      </c>
      <c r="F1760" s="22">
        <v>3</v>
      </c>
      <c r="G1760" s="22">
        <v>8</v>
      </c>
      <c r="H1760" s="22">
        <v>2004</v>
      </c>
      <c r="I1760" s="22" t="s">
        <v>115</v>
      </c>
      <c r="J1760" s="20">
        <v>68</v>
      </c>
      <c r="K1760" s="20">
        <f>Sales!$B1760-Sales!$J1760</f>
        <v>5.9899999999999949</v>
      </c>
      <c r="L1760" s="23">
        <f>(Sales!$J1760-Sales!$B1760)/Sales!$J1760</f>
        <v>-8.8088235294117578E-2</v>
      </c>
      <c r="M1760" s="23" t="str">
        <f t="shared" si="27"/>
        <v>Below 0%</v>
      </c>
      <c r="N1760" s="22" t="s">
        <v>110</v>
      </c>
      <c r="O1760" s="22" t="s">
        <v>25</v>
      </c>
      <c r="P1760" s="22" t="s">
        <v>17</v>
      </c>
      <c r="Q1760" s="22" t="s">
        <v>14</v>
      </c>
    </row>
    <row r="1761" spans="1:17" x14ac:dyDescent="0.3">
      <c r="A1761" s="27">
        <v>21</v>
      </c>
      <c r="B1761" s="24">
        <v>71.25</v>
      </c>
      <c r="C1761" s="25">
        <f>Sales!$B1761*Sales!$A1761</f>
        <v>1496.25</v>
      </c>
      <c r="D1761" s="26">
        <v>38245</v>
      </c>
      <c r="E1761" s="27" t="s">
        <v>9</v>
      </c>
      <c r="F1761" s="27">
        <v>3</v>
      </c>
      <c r="G1761" s="27">
        <v>9</v>
      </c>
      <c r="H1761" s="27">
        <v>2004</v>
      </c>
      <c r="I1761" s="27" t="s">
        <v>115</v>
      </c>
      <c r="J1761" s="25">
        <v>68</v>
      </c>
      <c r="K1761" s="25">
        <f>Sales!$B1761-Sales!$J1761</f>
        <v>3.25</v>
      </c>
      <c r="L1761" s="28">
        <f>(Sales!$J1761-Sales!$B1761)/Sales!$J1761</f>
        <v>-4.779411764705882E-2</v>
      </c>
      <c r="M1761" s="28" t="str">
        <f t="shared" si="27"/>
        <v>Below 0%</v>
      </c>
      <c r="N1761" s="27" t="s">
        <v>116</v>
      </c>
      <c r="O1761" s="27" t="s">
        <v>94</v>
      </c>
      <c r="P1761" s="27" t="s">
        <v>17</v>
      </c>
      <c r="Q1761" s="27" t="s">
        <v>14</v>
      </c>
    </row>
    <row r="1762" spans="1:17" x14ac:dyDescent="0.3">
      <c r="A1762" s="22">
        <v>25</v>
      </c>
      <c r="B1762" s="19">
        <v>75.36</v>
      </c>
      <c r="C1762" s="20">
        <f>Sales!$B1762*Sales!$A1762</f>
        <v>1884</v>
      </c>
      <c r="D1762" s="21">
        <v>38274</v>
      </c>
      <c r="E1762" s="22" t="s">
        <v>9</v>
      </c>
      <c r="F1762" s="22">
        <v>4</v>
      </c>
      <c r="G1762" s="22">
        <v>10</v>
      </c>
      <c r="H1762" s="22">
        <v>2004</v>
      </c>
      <c r="I1762" s="22" t="s">
        <v>115</v>
      </c>
      <c r="J1762" s="20">
        <v>68</v>
      </c>
      <c r="K1762" s="20">
        <f>Sales!$B1762-Sales!$J1762</f>
        <v>7.3599999999999994</v>
      </c>
      <c r="L1762" s="23">
        <f>(Sales!$J1762-Sales!$B1762)/Sales!$J1762</f>
        <v>-0.10823529411764705</v>
      </c>
      <c r="M1762" s="23" t="str">
        <f t="shared" si="27"/>
        <v>Below 0%</v>
      </c>
      <c r="N1762" s="22" t="s">
        <v>53</v>
      </c>
      <c r="O1762" s="22" t="s">
        <v>12</v>
      </c>
      <c r="P1762" s="22" t="s">
        <v>13</v>
      </c>
      <c r="Q1762" s="22" t="s">
        <v>14</v>
      </c>
    </row>
    <row r="1763" spans="1:17" x14ac:dyDescent="0.3">
      <c r="A1763" s="27">
        <v>34</v>
      </c>
      <c r="B1763" s="24">
        <v>63.71</v>
      </c>
      <c r="C1763" s="25">
        <f>Sales!$B1763*Sales!$A1763</f>
        <v>2166.14</v>
      </c>
      <c r="D1763" s="26">
        <v>38292</v>
      </c>
      <c r="E1763" s="27" t="s">
        <v>9</v>
      </c>
      <c r="F1763" s="27">
        <v>4</v>
      </c>
      <c r="G1763" s="27">
        <v>11</v>
      </c>
      <c r="H1763" s="27">
        <v>2004</v>
      </c>
      <c r="I1763" s="27" t="s">
        <v>115</v>
      </c>
      <c r="J1763" s="25">
        <v>68</v>
      </c>
      <c r="K1763" s="25">
        <f>Sales!$B1763-Sales!$J1763</f>
        <v>-4.2899999999999991</v>
      </c>
      <c r="L1763" s="28">
        <f>(Sales!$J1763-Sales!$B1763)/Sales!$J1763</f>
        <v>6.3088235294117639E-2</v>
      </c>
      <c r="M1763" s="28" t="str">
        <f t="shared" si="27"/>
        <v>5%-10%</v>
      </c>
      <c r="N1763" s="27" t="s">
        <v>84</v>
      </c>
      <c r="O1763" s="27" t="s">
        <v>43</v>
      </c>
      <c r="P1763" s="27" t="s">
        <v>17</v>
      </c>
      <c r="Q1763" s="27" t="s">
        <v>14</v>
      </c>
    </row>
    <row r="1764" spans="1:17" x14ac:dyDescent="0.3">
      <c r="A1764" s="22">
        <v>48</v>
      </c>
      <c r="B1764" s="19">
        <v>58.92</v>
      </c>
      <c r="C1764" s="20">
        <f>Sales!$B1764*Sales!$A1764</f>
        <v>2828.16</v>
      </c>
      <c r="D1764" s="21">
        <v>38303</v>
      </c>
      <c r="E1764" s="22" t="s">
        <v>9</v>
      </c>
      <c r="F1764" s="22">
        <v>4</v>
      </c>
      <c r="G1764" s="22">
        <v>11</v>
      </c>
      <c r="H1764" s="22">
        <v>2004</v>
      </c>
      <c r="I1764" s="22" t="s">
        <v>115</v>
      </c>
      <c r="J1764" s="20">
        <v>68</v>
      </c>
      <c r="K1764" s="20">
        <f>Sales!$B1764-Sales!$J1764</f>
        <v>-9.0799999999999983</v>
      </c>
      <c r="L1764" s="23">
        <f>(Sales!$J1764-Sales!$B1764)/Sales!$J1764</f>
        <v>0.13352941176470587</v>
      </c>
      <c r="M1764" s="23" t="str">
        <f t="shared" si="27"/>
        <v>10%-15%</v>
      </c>
      <c r="N1764" s="22" t="s">
        <v>113</v>
      </c>
      <c r="O1764" s="22" t="s">
        <v>61</v>
      </c>
      <c r="P1764" s="22" t="s">
        <v>17</v>
      </c>
      <c r="Q1764" s="22" t="s">
        <v>14</v>
      </c>
    </row>
    <row r="1765" spans="1:17" x14ac:dyDescent="0.3">
      <c r="A1765" s="27">
        <v>55</v>
      </c>
      <c r="B1765" s="24">
        <v>100</v>
      </c>
      <c r="C1765" s="25">
        <f>Sales!$B1765*Sales!$A1765</f>
        <v>5500</v>
      </c>
      <c r="D1765" s="26">
        <v>38314</v>
      </c>
      <c r="E1765" s="27" t="s">
        <v>9</v>
      </c>
      <c r="F1765" s="27">
        <v>4</v>
      </c>
      <c r="G1765" s="27">
        <v>11</v>
      </c>
      <c r="H1765" s="27">
        <v>2004</v>
      </c>
      <c r="I1765" s="27" t="s">
        <v>115</v>
      </c>
      <c r="J1765" s="25">
        <v>68</v>
      </c>
      <c r="K1765" s="25">
        <f>Sales!$B1765-Sales!$J1765</f>
        <v>32</v>
      </c>
      <c r="L1765" s="28">
        <f>(Sales!$J1765-Sales!$B1765)/Sales!$J1765</f>
        <v>-0.47058823529411764</v>
      </c>
      <c r="M1765" s="28" t="str">
        <f t="shared" si="27"/>
        <v>Below 0%</v>
      </c>
      <c r="N1765" s="27" t="s">
        <v>59</v>
      </c>
      <c r="O1765" s="27" t="s">
        <v>51</v>
      </c>
      <c r="P1765" s="27" t="s">
        <v>51</v>
      </c>
      <c r="Q1765" s="27" t="s">
        <v>19</v>
      </c>
    </row>
    <row r="1766" spans="1:17" x14ac:dyDescent="0.3">
      <c r="A1766" s="22">
        <v>25</v>
      </c>
      <c r="B1766" s="19">
        <v>74.680000000000007</v>
      </c>
      <c r="C1766" s="20">
        <f>Sales!$B1766*Sales!$A1766</f>
        <v>1867.0000000000002</v>
      </c>
      <c r="D1766" s="21">
        <v>38324</v>
      </c>
      <c r="E1766" s="22" t="s">
        <v>9</v>
      </c>
      <c r="F1766" s="22">
        <v>4</v>
      </c>
      <c r="G1766" s="22">
        <v>12</v>
      </c>
      <c r="H1766" s="22">
        <v>2004</v>
      </c>
      <c r="I1766" s="22" t="s">
        <v>115</v>
      </c>
      <c r="J1766" s="20">
        <v>68</v>
      </c>
      <c r="K1766" s="20">
        <f>Sales!$B1766-Sales!$J1766</f>
        <v>6.6800000000000068</v>
      </c>
      <c r="L1766" s="23">
        <f>(Sales!$J1766-Sales!$B1766)/Sales!$J1766</f>
        <v>-9.8235294117647157E-2</v>
      </c>
      <c r="M1766" s="23" t="str">
        <f t="shared" si="27"/>
        <v>Below 0%</v>
      </c>
      <c r="N1766" s="22" t="s">
        <v>74</v>
      </c>
      <c r="O1766" s="22" t="s">
        <v>43</v>
      </c>
      <c r="P1766" s="22" t="s">
        <v>17</v>
      </c>
      <c r="Q1766" s="22" t="s">
        <v>14</v>
      </c>
    </row>
    <row r="1767" spans="1:17" x14ac:dyDescent="0.3">
      <c r="A1767" s="27">
        <v>38</v>
      </c>
      <c r="B1767" s="24">
        <v>70.44</v>
      </c>
      <c r="C1767" s="25">
        <f>Sales!$B1767*Sales!$A1767</f>
        <v>2676.72</v>
      </c>
      <c r="D1767" s="26">
        <v>38383</v>
      </c>
      <c r="E1767" s="27" t="s">
        <v>9</v>
      </c>
      <c r="F1767" s="27">
        <v>1</v>
      </c>
      <c r="G1767" s="27">
        <v>1</v>
      </c>
      <c r="H1767" s="27">
        <v>2005</v>
      </c>
      <c r="I1767" s="27" t="s">
        <v>115</v>
      </c>
      <c r="J1767" s="25">
        <v>68</v>
      </c>
      <c r="K1767" s="25">
        <f>Sales!$B1767-Sales!$J1767</f>
        <v>2.4399999999999977</v>
      </c>
      <c r="L1767" s="28">
        <f>(Sales!$J1767-Sales!$B1767)/Sales!$J1767</f>
        <v>-3.5882352941176435E-2</v>
      </c>
      <c r="M1767" s="28" t="str">
        <f t="shared" si="27"/>
        <v>Below 0%</v>
      </c>
      <c r="N1767" s="27" t="s">
        <v>85</v>
      </c>
      <c r="O1767" s="27" t="s">
        <v>34</v>
      </c>
      <c r="P1767" s="27" t="s">
        <v>17</v>
      </c>
      <c r="Q1767" s="27" t="s">
        <v>14</v>
      </c>
    </row>
    <row r="1768" spans="1:17" x14ac:dyDescent="0.3">
      <c r="A1768" s="22">
        <v>39</v>
      </c>
      <c r="B1768" s="19">
        <v>55.96</v>
      </c>
      <c r="C1768" s="20">
        <f>Sales!$B1768*Sales!$A1768</f>
        <v>2182.44</v>
      </c>
      <c r="D1768" s="21">
        <v>38412</v>
      </c>
      <c r="E1768" s="22" t="s">
        <v>88</v>
      </c>
      <c r="F1768" s="22">
        <v>1</v>
      </c>
      <c r="G1768" s="22">
        <v>3</v>
      </c>
      <c r="H1768" s="22">
        <v>2005</v>
      </c>
      <c r="I1768" s="22" t="s">
        <v>115</v>
      </c>
      <c r="J1768" s="20">
        <v>68</v>
      </c>
      <c r="K1768" s="20">
        <f>Sales!$B1768-Sales!$J1768</f>
        <v>-12.04</v>
      </c>
      <c r="L1768" s="23">
        <f>(Sales!$J1768-Sales!$B1768)/Sales!$J1768</f>
        <v>0.17705882352941174</v>
      </c>
      <c r="M1768" s="23" t="str">
        <f t="shared" si="27"/>
        <v>15%-20%</v>
      </c>
      <c r="N1768" s="22" t="s">
        <v>45</v>
      </c>
      <c r="O1768" s="22" t="s">
        <v>46</v>
      </c>
      <c r="P1768" s="22" t="s">
        <v>17</v>
      </c>
      <c r="Q1768" s="22" t="s">
        <v>14</v>
      </c>
    </row>
    <row r="1769" spans="1:17" x14ac:dyDescent="0.3">
      <c r="A1769" s="27">
        <v>28</v>
      </c>
      <c r="B1769" s="24">
        <v>57.55</v>
      </c>
      <c r="C1769" s="25">
        <f>Sales!$B1769*Sales!$A1769</f>
        <v>1611.3999999999999</v>
      </c>
      <c r="D1769" s="26">
        <v>38441</v>
      </c>
      <c r="E1769" s="27" t="s">
        <v>9</v>
      </c>
      <c r="F1769" s="27">
        <v>1</v>
      </c>
      <c r="G1769" s="27">
        <v>3</v>
      </c>
      <c r="H1769" s="27">
        <v>2005</v>
      </c>
      <c r="I1769" s="27" t="s">
        <v>115</v>
      </c>
      <c r="J1769" s="25">
        <v>68</v>
      </c>
      <c r="K1769" s="25">
        <f>Sales!$B1769-Sales!$J1769</f>
        <v>-10.450000000000003</v>
      </c>
      <c r="L1769" s="28">
        <f>(Sales!$J1769-Sales!$B1769)/Sales!$J1769</f>
        <v>0.15367647058823533</v>
      </c>
      <c r="M1769" s="28" t="s">
        <v>132</v>
      </c>
      <c r="N1769" s="27" t="s">
        <v>15</v>
      </c>
      <c r="O1769" s="27" t="s">
        <v>16</v>
      </c>
      <c r="P1769" s="27" t="s">
        <v>17</v>
      </c>
      <c r="Q1769" s="27" t="s">
        <v>14</v>
      </c>
    </row>
    <row r="1770" spans="1:17" x14ac:dyDescent="0.3">
      <c r="A1770" s="22">
        <v>24</v>
      </c>
      <c r="B1770" s="19">
        <v>61.66</v>
      </c>
      <c r="C1770" s="20">
        <f>Sales!$B1770*Sales!$A1770</f>
        <v>1479.84</v>
      </c>
      <c r="D1770" s="21">
        <v>38443</v>
      </c>
      <c r="E1770" s="22" t="s">
        <v>9</v>
      </c>
      <c r="F1770" s="22">
        <v>2</v>
      </c>
      <c r="G1770" s="22">
        <v>4</v>
      </c>
      <c r="H1770" s="22">
        <v>2005</v>
      </c>
      <c r="I1770" s="22" t="s">
        <v>115</v>
      </c>
      <c r="J1770" s="20">
        <v>68</v>
      </c>
      <c r="K1770" s="20">
        <f>Sales!$B1770-Sales!$J1770</f>
        <v>-6.3400000000000034</v>
      </c>
      <c r="L1770" s="23">
        <f>(Sales!$J1770-Sales!$B1770)/Sales!$J1770</f>
        <v>9.3235294117647111E-2</v>
      </c>
      <c r="M1770" s="23" t="str">
        <f t="shared" si="27"/>
        <v>5%-10%</v>
      </c>
      <c r="N1770" s="22" t="s">
        <v>86</v>
      </c>
      <c r="O1770" s="22" t="s">
        <v>12</v>
      </c>
      <c r="P1770" s="22" t="s">
        <v>13</v>
      </c>
      <c r="Q1770" s="22" t="s">
        <v>14</v>
      </c>
    </row>
    <row r="1771" spans="1:17" x14ac:dyDescent="0.3">
      <c r="A1771" s="27">
        <v>21</v>
      </c>
      <c r="B1771" s="24">
        <v>67.819999999999993</v>
      </c>
      <c r="C1771" s="25">
        <f>Sales!$B1771*Sales!$A1771</f>
        <v>1424.2199999999998</v>
      </c>
      <c r="D1771" s="26">
        <v>38481</v>
      </c>
      <c r="E1771" s="27" t="s">
        <v>44</v>
      </c>
      <c r="F1771" s="27">
        <v>2</v>
      </c>
      <c r="G1771" s="27">
        <v>5</v>
      </c>
      <c r="H1771" s="27">
        <v>2005</v>
      </c>
      <c r="I1771" s="27" t="s">
        <v>115</v>
      </c>
      <c r="J1771" s="25">
        <v>68</v>
      </c>
      <c r="K1771" s="25">
        <f>Sales!$B1771-Sales!$J1771</f>
        <v>-0.18000000000000682</v>
      </c>
      <c r="L1771" s="28">
        <f>(Sales!$J1771-Sales!$B1771)/Sales!$J1771</f>
        <v>2.6470588235295123E-3</v>
      </c>
      <c r="M1771" s="28" t="s">
        <v>130</v>
      </c>
      <c r="N1771" s="27" t="s">
        <v>114</v>
      </c>
      <c r="O1771" s="27" t="s">
        <v>27</v>
      </c>
      <c r="P1771" s="27" t="s">
        <v>28</v>
      </c>
      <c r="Q1771" s="27" t="s">
        <v>14</v>
      </c>
    </row>
    <row r="1772" spans="1:17" x14ac:dyDescent="0.3">
      <c r="A1772" s="22">
        <v>46</v>
      </c>
      <c r="B1772" s="19">
        <v>100</v>
      </c>
      <c r="C1772" s="20">
        <f>Sales!$B1772*Sales!$A1772</f>
        <v>4600</v>
      </c>
      <c r="D1772" s="21">
        <v>37698</v>
      </c>
      <c r="E1772" s="22" t="s">
        <v>9</v>
      </c>
      <c r="F1772" s="22">
        <v>1</v>
      </c>
      <c r="G1772" s="22">
        <v>3</v>
      </c>
      <c r="H1772" s="22">
        <v>2003</v>
      </c>
      <c r="I1772" s="22" t="s">
        <v>47</v>
      </c>
      <c r="J1772" s="20">
        <v>117</v>
      </c>
      <c r="K1772" s="20">
        <f>Sales!$B1772-Sales!$J1772</f>
        <v>-17</v>
      </c>
      <c r="L1772" s="23">
        <f>(Sales!$J1772-Sales!$B1772)/Sales!$J1772</f>
        <v>0.14529914529914531</v>
      </c>
      <c r="M1772" s="23" t="str">
        <f t="shared" si="27"/>
        <v>10%-15%</v>
      </c>
      <c r="N1772" s="22" t="s">
        <v>102</v>
      </c>
      <c r="O1772" s="22" t="s">
        <v>43</v>
      </c>
      <c r="P1772" s="22" t="s">
        <v>17</v>
      </c>
      <c r="Q1772" s="22" t="s">
        <v>19</v>
      </c>
    </row>
    <row r="1773" spans="1:17" x14ac:dyDescent="0.3">
      <c r="A1773" s="27">
        <v>25</v>
      </c>
      <c r="B1773" s="24">
        <v>93.95</v>
      </c>
      <c r="C1773" s="25">
        <f>Sales!$B1773*Sales!$A1773</f>
        <v>2348.75</v>
      </c>
      <c r="D1773" s="26">
        <v>37762</v>
      </c>
      <c r="E1773" s="27" t="s">
        <v>9</v>
      </c>
      <c r="F1773" s="27">
        <v>2</v>
      </c>
      <c r="G1773" s="27">
        <v>5</v>
      </c>
      <c r="H1773" s="27">
        <v>2003</v>
      </c>
      <c r="I1773" s="27" t="s">
        <v>47</v>
      </c>
      <c r="J1773" s="25">
        <v>117</v>
      </c>
      <c r="K1773" s="25">
        <f>Sales!$B1773-Sales!$J1773</f>
        <v>-23.049999999999997</v>
      </c>
      <c r="L1773" s="28">
        <f>(Sales!$J1773-Sales!$B1773)/Sales!$J1773</f>
        <v>0.19700854700854697</v>
      </c>
      <c r="M1773" s="28" t="str">
        <f t="shared" si="27"/>
        <v>15%-20%</v>
      </c>
      <c r="N1773" s="27" t="s">
        <v>109</v>
      </c>
      <c r="O1773" s="27" t="s">
        <v>12</v>
      </c>
      <c r="P1773" s="27" t="s">
        <v>13</v>
      </c>
      <c r="Q1773" s="27" t="s">
        <v>14</v>
      </c>
    </row>
    <row r="1774" spans="1:17" x14ac:dyDescent="0.3">
      <c r="A1774" s="22">
        <v>34</v>
      </c>
      <c r="B1774" s="19">
        <v>100</v>
      </c>
      <c r="C1774" s="20">
        <f>Sales!$B1774*Sales!$A1774</f>
        <v>3400</v>
      </c>
      <c r="D1774" s="21">
        <v>37875</v>
      </c>
      <c r="E1774" s="22" t="s">
        <v>9</v>
      </c>
      <c r="F1774" s="22">
        <v>3</v>
      </c>
      <c r="G1774" s="22">
        <v>9</v>
      </c>
      <c r="H1774" s="22">
        <v>2003</v>
      </c>
      <c r="I1774" s="22" t="s">
        <v>47</v>
      </c>
      <c r="J1774" s="20">
        <v>117</v>
      </c>
      <c r="K1774" s="20">
        <f>Sales!$B1774-Sales!$J1774</f>
        <v>-17</v>
      </c>
      <c r="L1774" s="23">
        <f>(Sales!$J1774-Sales!$B1774)/Sales!$J1774</f>
        <v>0.14529914529914531</v>
      </c>
      <c r="M1774" s="23" t="str">
        <f t="shared" si="27"/>
        <v>10%-15%</v>
      </c>
      <c r="N1774" s="22" t="s">
        <v>67</v>
      </c>
      <c r="O1774" s="22" t="s">
        <v>27</v>
      </c>
      <c r="P1774" s="22" t="s">
        <v>28</v>
      </c>
      <c r="Q1774" s="22" t="s">
        <v>19</v>
      </c>
    </row>
    <row r="1775" spans="1:17" x14ac:dyDescent="0.3">
      <c r="A1775" s="27">
        <v>25</v>
      </c>
      <c r="B1775" s="24">
        <v>100</v>
      </c>
      <c r="C1775" s="25">
        <f>Sales!$B1775*Sales!$A1775</f>
        <v>2500</v>
      </c>
      <c r="D1775" s="26">
        <v>37911</v>
      </c>
      <c r="E1775" s="27" t="s">
        <v>9</v>
      </c>
      <c r="F1775" s="27">
        <v>4</v>
      </c>
      <c r="G1775" s="27">
        <v>10</v>
      </c>
      <c r="H1775" s="27">
        <v>2003</v>
      </c>
      <c r="I1775" s="27" t="s">
        <v>47</v>
      </c>
      <c r="J1775" s="25">
        <v>117</v>
      </c>
      <c r="K1775" s="25">
        <f>Sales!$B1775-Sales!$J1775</f>
        <v>-17</v>
      </c>
      <c r="L1775" s="28">
        <f>(Sales!$J1775-Sales!$B1775)/Sales!$J1775</f>
        <v>0.14529914529914531</v>
      </c>
      <c r="M1775" s="28" t="str">
        <f t="shared" si="27"/>
        <v>10%-15%</v>
      </c>
      <c r="N1775" s="27" t="s">
        <v>103</v>
      </c>
      <c r="O1775" s="27" t="s">
        <v>73</v>
      </c>
      <c r="P1775" s="27" t="s">
        <v>17</v>
      </c>
      <c r="Q1775" s="27" t="s">
        <v>14</v>
      </c>
    </row>
    <row r="1776" spans="1:17" x14ac:dyDescent="0.3">
      <c r="A1776" s="22">
        <v>23</v>
      </c>
      <c r="B1776" s="19">
        <v>100</v>
      </c>
      <c r="C1776" s="20">
        <f>Sales!$B1776*Sales!$A1776</f>
        <v>2300</v>
      </c>
      <c r="D1776" s="21">
        <v>37930</v>
      </c>
      <c r="E1776" s="22" t="s">
        <v>9</v>
      </c>
      <c r="F1776" s="22">
        <v>4</v>
      </c>
      <c r="G1776" s="22">
        <v>11</v>
      </c>
      <c r="H1776" s="22">
        <v>2003</v>
      </c>
      <c r="I1776" s="22" t="s">
        <v>47</v>
      </c>
      <c r="J1776" s="20">
        <v>117</v>
      </c>
      <c r="K1776" s="20">
        <f>Sales!$B1776-Sales!$J1776</f>
        <v>-17</v>
      </c>
      <c r="L1776" s="23">
        <f>(Sales!$J1776-Sales!$B1776)/Sales!$J1776</f>
        <v>0.14529914529914531</v>
      </c>
      <c r="M1776" s="23" t="str">
        <f t="shared" si="27"/>
        <v>10%-15%</v>
      </c>
      <c r="N1776" s="22" t="s">
        <v>113</v>
      </c>
      <c r="O1776" s="22" t="s">
        <v>61</v>
      </c>
      <c r="P1776" s="22" t="s">
        <v>17</v>
      </c>
      <c r="Q1776" s="22" t="s">
        <v>14</v>
      </c>
    </row>
    <row r="1777" spans="1:17" x14ac:dyDescent="0.3">
      <c r="A1777" s="27">
        <v>20</v>
      </c>
      <c r="B1777" s="24">
        <v>100</v>
      </c>
      <c r="C1777" s="25">
        <f>Sales!$B1777*Sales!$A1777</f>
        <v>2000</v>
      </c>
      <c r="D1777" s="26">
        <v>37937</v>
      </c>
      <c r="E1777" s="27" t="s">
        <v>9</v>
      </c>
      <c r="F1777" s="27">
        <v>4</v>
      </c>
      <c r="G1777" s="27">
        <v>11</v>
      </c>
      <c r="H1777" s="27">
        <v>2003</v>
      </c>
      <c r="I1777" s="27" t="s">
        <v>47</v>
      </c>
      <c r="J1777" s="25">
        <v>117</v>
      </c>
      <c r="K1777" s="25">
        <f>Sales!$B1777-Sales!$J1777</f>
        <v>-17</v>
      </c>
      <c r="L1777" s="28">
        <f>(Sales!$J1777-Sales!$B1777)/Sales!$J1777</f>
        <v>0.14529914529914531</v>
      </c>
      <c r="M1777" s="28" t="str">
        <f t="shared" si="27"/>
        <v>10%-15%</v>
      </c>
      <c r="N1777" s="27" t="s">
        <v>64</v>
      </c>
      <c r="O1777" s="27" t="s">
        <v>12</v>
      </c>
      <c r="P1777" s="27" t="s">
        <v>13</v>
      </c>
      <c r="Q1777" s="27" t="s">
        <v>14</v>
      </c>
    </row>
    <row r="1778" spans="1:17" x14ac:dyDescent="0.3">
      <c r="A1778" s="22">
        <v>23</v>
      </c>
      <c r="B1778" s="19">
        <v>100</v>
      </c>
      <c r="C1778" s="20">
        <f>Sales!$B1778*Sales!$A1778</f>
        <v>2300</v>
      </c>
      <c r="D1778" s="21">
        <v>37945</v>
      </c>
      <c r="E1778" s="22" t="s">
        <v>9</v>
      </c>
      <c r="F1778" s="22">
        <v>4</v>
      </c>
      <c r="G1778" s="22">
        <v>11</v>
      </c>
      <c r="H1778" s="22">
        <v>2003</v>
      </c>
      <c r="I1778" s="22" t="s">
        <v>47</v>
      </c>
      <c r="J1778" s="20">
        <v>117</v>
      </c>
      <c r="K1778" s="20">
        <f>Sales!$B1778-Sales!$J1778</f>
        <v>-17</v>
      </c>
      <c r="L1778" s="23">
        <f>(Sales!$J1778-Sales!$B1778)/Sales!$J1778</f>
        <v>0.14529914529914531</v>
      </c>
      <c r="M1778" s="23" t="str">
        <f t="shared" si="27"/>
        <v>10%-15%</v>
      </c>
      <c r="N1778" s="22" t="s">
        <v>65</v>
      </c>
      <c r="O1778" s="22" t="s">
        <v>12</v>
      </c>
      <c r="P1778" s="22" t="s">
        <v>13</v>
      </c>
      <c r="Q1778" s="22" t="s">
        <v>19</v>
      </c>
    </row>
    <row r="1779" spans="1:17" x14ac:dyDescent="0.3">
      <c r="A1779" s="27">
        <v>42</v>
      </c>
      <c r="B1779" s="24">
        <v>100</v>
      </c>
      <c r="C1779" s="25">
        <f>Sales!$B1779*Sales!$A1779</f>
        <v>4200</v>
      </c>
      <c r="D1779" s="26">
        <v>37957</v>
      </c>
      <c r="E1779" s="27" t="s">
        <v>9</v>
      </c>
      <c r="F1779" s="27">
        <v>4</v>
      </c>
      <c r="G1779" s="27">
        <v>12</v>
      </c>
      <c r="H1779" s="27">
        <v>2003</v>
      </c>
      <c r="I1779" s="27" t="s">
        <v>47</v>
      </c>
      <c r="J1779" s="25">
        <v>117</v>
      </c>
      <c r="K1779" s="25">
        <f>Sales!$B1779-Sales!$J1779</f>
        <v>-17</v>
      </c>
      <c r="L1779" s="28">
        <f>(Sales!$J1779-Sales!$B1779)/Sales!$J1779</f>
        <v>0.14529914529914531</v>
      </c>
      <c r="M1779" s="28" t="str">
        <f t="shared" si="27"/>
        <v>10%-15%</v>
      </c>
      <c r="N1779" s="27" t="s">
        <v>11</v>
      </c>
      <c r="O1779" s="27" t="s">
        <v>12</v>
      </c>
      <c r="P1779" s="27" t="s">
        <v>13</v>
      </c>
      <c r="Q1779" s="27" t="s">
        <v>19</v>
      </c>
    </row>
    <row r="1780" spans="1:17" x14ac:dyDescent="0.3">
      <c r="A1780" s="22">
        <v>27</v>
      </c>
      <c r="B1780" s="19">
        <v>100</v>
      </c>
      <c r="C1780" s="20">
        <f>Sales!$B1780*Sales!$A1780</f>
        <v>2700</v>
      </c>
      <c r="D1780" s="21">
        <v>38008</v>
      </c>
      <c r="E1780" s="22" t="s">
        <v>9</v>
      </c>
      <c r="F1780" s="22">
        <v>1</v>
      </c>
      <c r="G1780" s="22">
        <v>1</v>
      </c>
      <c r="H1780" s="22">
        <v>2004</v>
      </c>
      <c r="I1780" s="22" t="s">
        <v>47</v>
      </c>
      <c r="J1780" s="20">
        <v>117</v>
      </c>
      <c r="K1780" s="20">
        <f>Sales!$B1780-Sales!$J1780</f>
        <v>-17</v>
      </c>
      <c r="L1780" s="23">
        <f>(Sales!$J1780-Sales!$B1780)/Sales!$J1780</f>
        <v>0.14529914529914531</v>
      </c>
      <c r="M1780" s="23" t="str">
        <f t="shared" si="27"/>
        <v>10%-15%</v>
      </c>
      <c r="N1780" s="22" t="s">
        <v>74</v>
      </c>
      <c r="O1780" s="22" t="s">
        <v>43</v>
      </c>
      <c r="P1780" s="22" t="s">
        <v>17</v>
      </c>
      <c r="Q1780" s="22" t="s">
        <v>14</v>
      </c>
    </row>
    <row r="1781" spans="1:17" x14ac:dyDescent="0.3">
      <c r="A1781" s="27">
        <v>33</v>
      </c>
      <c r="B1781" s="24">
        <v>100</v>
      </c>
      <c r="C1781" s="25">
        <f>Sales!$B1781*Sales!$A1781</f>
        <v>3300</v>
      </c>
      <c r="D1781" s="26">
        <v>38048</v>
      </c>
      <c r="E1781" s="27" t="s">
        <v>9</v>
      </c>
      <c r="F1781" s="27">
        <v>1</v>
      </c>
      <c r="G1781" s="27">
        <v>3</v>
      </c>
      <c r="H1781" s="27">
        <v>2004</v>
      </c>
      <c r="I1781" s="27" t="s">
        <v>47</v>
      </c>
      <c r="J1781" s="25">
        <v>117</v>
      </c>
      <c r="K1781" s="25">
        <f>Sales!$B1781-Sales!$J1781</f>
        <v>-17</v>
      </c>
      <c r="L1781" s="28">
        <f>(Sales!$J1781-Sales!$B1781)/Sales!$J1781</f>
        <v>0.14529914529914531</v>
      </c>
      <c r="M1781" s="28" t="str">
        <f t="shared" si="27"/>
        <v>10%-15%</v>
      </c>
      <c r="N1781" s="27" t="s">
        <v>54</v>
      </c>
      <c r="O1781" s="27" t="s">
        <v>16</v>
      </c>
      <c r="P1781" s="27" t="s">
        <v>17</v>
      </c>
      <c r="Q1781" s="27" t="s">
        <v>19</v>
      </c>
    </row>
    <row r="1782" spans="1:17" x14ac:dyDescent="0.3">
      <c r="A1782" s="22">
        <v>28</v>
      </c>
      <c r="B1782" s="19">
        <v>98.65</v>
      </c>
      <c r="C1782" s="20">
        <f>Sales!$B1782*Sales!$A1782</f>
        <v>2762.2000000000003</v>
      </c>
      <c r="D1782" s="21">
        <v>38090</v>
      </c>
      <c r="E1782" s="22" t="s">
        <v>9</v>
      </c>
      <c r="F1782" s="22">
        <v>2</v>
      </c>
      <c r="G1782" s="22">
        <v>4</v>
      </c>
      <c r="H1782" s="22">
        <v>2004</v>
      </c>
      <c r="I1782" s="22" t="s">
        <v>47</v>
      </c>
      <c r="J1782" s="20">
        <v>117</v>
      </c>
      <c r="K1782" s="20">
        <f>Sales!$B1782-Sales!$J1782</f>
        <v>-18.349999999999994</v>
      </c>
      <c r="L1782" s="23">
        <f>(Sales!$J1782-Sales!$B1782)/Sales!$J1782</f>
        <v>0.15683760683760678</v>
      </c>
      <c r="M1782" s="23" t="str">
        <f t="shared" si="27"/>
        <v>15%-20%</v>
      </c>
      <c r="N1782" s="22" t="s">
        <v>108</v>
      </c>
      <c r="O1782" s="22" t="s">
        <v>16</v>
      </c>
      <c r="P1782" s="22" t="s">
        <v>17</v>
      </c>
      <c r="Q1782" s="22" t="s">
        <v>14</v>
      </c>
    </row>
    <row r="1783" spans="1:17" x14ac:dyDescent="0.3">
      <c r="A1783" s="27">
        <v>43</v>
      </c>
      <c r="B1783" s="24">
        <v>100</v>
      </c>
      <c r="C1783" s="25">
        <f>Sales!$B1783*Sales!$A1783</f>
        <v>4300</v>
      </c>
      <c r="D1783" s="26">
        <v>38175</v>
      </c>
      <c r="E1783" s="27" t="s">
        <v>9</v>
      </c>
      <c r="F1783" s="27">
        <v>3</v>
      </c>
      <c r="G1783" s="27">
        <v>7</v>
      </c>
      <c r="H1783" s="27">
        <v>2004</v>
      </c>
      <c r="I1783" s="27" t="s">
        <v>47</v>
      </c>
      <c r="J1783" s="25">
        <v>117</v>
      </c>
      <c r="K1783" s="25">
        <f>Sales!$B1783-Sales!$J1783</f>
        <v>-17</v>
      </c>
      <c r="L1783" s="28">
        <f>(Sales!$J1783-Sales!$B1783)/Sales!$J1783</f>
        <v>0.14529914529914531</v>
      </c>
      <c r="M1783" s="28" t="str">
        <f t="shared" si="27"/>
        <v>10%-15%</v>
      </c>
      <c r="N1783" s="27" t="s">
        <v>11</v>
      </c>
      <c r="O1783" s="27" t="s">
        <v>12</v>
      </c>
      <c r="P1783" s="27" t="s">
        <v>13</v>
      </c>
      <c r="Q1783" s="27" t="s">
        <v>19</v>
      </c>
    </row>
    <row r="1784" spans="1:17" x14ac:dyDescent="0.3">
      <c r="A1784" s="22">
        <v>48</v>
      </c>
      <c r="B1784" s="19">
        <v>100</v>
      </c>
      <c r="C1784" s="20">
        <f>Sales!$B1784*Sales!$A1784</f>
        <v>4800</v>
      </c>
      <c r="D1784" s="21">
        <v>38208</v>
      </c>
      <c r="E1784" s="22" t="s">
        <v>9</v>
      </c>
      <c r="F1784" s="22">
        <v>3</v>
      </c>
      <c r="G1784" s="22">
        <v>8</v>
      </c>
      <c r="H1784" s="22">
        <v>2004</v>
      </c>
      <c r="I1784" s="22" t="s">
        <v>47</v>
      </c>
      <c r="J1784" s="20">
        <v>117</v>
      </c>
      <c r="K1784" s="20">
        <f>Sales!$B1784-Sales!$J1784</f>
        <v>-17</v>
      </c>
      <c r="L1784" s="23">
        <f>(Sales!$J1784-Sales!$B1784)/Sales!$J1784</f>
        <v>0.14529914529914531</v>
      </c>
      <c r="M1784" s="23" t="str">
        <f t="shared" si="27"/>
        <v>10%-15%</v>
      </c>
      <c r="N1784" s="22" t="s">
        <v>45</v>
      </c>
      <c r="O1784" s="22" t="s">
        <v>46</v>
      </c>
      <c r="P1784" s="22" t="s">
        <v>17</v>
      </c>
      <c r="Q1784" s="22" t="s">
        <v>19</v>
      </c>
    </row>
    <row r="1785" spans="1:17" x14ac:dyDescent="0.3">
      <c r="A1785" s="27">
        <v>48</v>
      </c>
      <c r="B1785" s="24">
        <v>100</v>
      </c>
      <c r="C1785" s="25">
        <f>Sales!$B1785*Sales!$A1785</f>
        <v>4800</v>
      </c>
      <c r="D1785" s="26">
        <v>38231</v>
      </c>
      <c r="E1785" s="27" t="s">
        <v>9</v>
      </c>
      <c r="F1785" s="27">
        <v>3</v>
      </c>
      <c r="G1785" s="27">
        <v>9</v>
      </c>
      <c r="H1785" s="27">
        <v>2004</v>
      </c>
      <c r="I1785" s="27" t="s">
        <v>47</v>
      </c>
      <c r="J1785" s="25">
        <v>117</v>
      </c>
      <c r="K1785" s="25">
        <f>Sales!$B1785-Sales!$J1785</f>
        <v>-17</v>
      </c>
      <c r="L1785" s="28">
        <f>(Sales!$J1785-Sales!$B1785)/Sales!$J1785</f>
        <v>0.14529914529914531</v>
      </c>
      <c r="M1785" s="28" t="str">
        <f t="shared" si="27"/>
        <v>10%-15%</v>
      </c>
      <c r="N1785" s="27" t="s">
        <v>50</v>
      </c>
      <c r="O1785" s="27" t="s">
        <v>50</v>
      </c>
      <c r="P1785" s="27" t="s">
        <v>28</v>
      </c>
      <c r="Q1785" s="27" t="s">
        <v>19</v>
      </c>
    </row>
    <row r="1786" spans="1:17" x14ac:dyDescent="0.3">
      <c r="A1786" s="22">
        <v>45</v>
      </c>
      <c r="B1786" s="19">
        <v>100</v>
      </c>
      <c r="C1786" s="20">
        <f>Sales!$B1786*Sales!$A1786</f>
        <v>4500</v>
      </c>
      <c r="D1786" s="21">
        <v>37900</v>
      </c>
      <c r="E1786" s="22" t="s">
        <v>9</v>
      </c>
      <c r="F1786" s="22">
        <v>4</v>
      </c>
      <c r="G1786" s="22">
        <v>10</v>
      </c>
      <c r="H1786" s="22">
        <v>2003</v>
      </c>
      <c r="I1786" s="22" t="s">
        <v>47</v>
      </c>
      <c r="J1786" s="20">
        <v>117</v>
      </c>
      <c r="K1786" s="20">
        <f>Sales!$B1786-Sales!$J1786</f>
        <v>-17</v>
      </c>
      <c r="L1786" s="23">
        <f>(Sales!$J1786-Sales!$B1786)/Sales!$J1786</f>
        <v>0.14529914529914531</v>
      </c>
      <c r="M1786" s="23" t="str">
        <f t="shared" si="27"/>
        <v>10%-15%</v>
      </c>
      <c r="N1786" s="22" t="s">
        <v>42</v>
      </c>
      <c r="O1786" s="22" t="s">
        <v>43</v>
      </c>
      <c r="P1786" s="22" t="s">
        <v>17</v>
      </c>
      <c r="Q1786" s="22" t="s">
        <v>19</v>
      </c>
    </row>
    <row r="1787" spans="1:17" x14ac:dyDescent="0.3">
      <c r="A1787" s="27">
        <v>43</v>
      </c>
      <c r="B1787" s="24">
        <v>100</v>
      </c>
      <c r="C1787" s="25">
        <f>Sales!$B1787*Sales!$A1787</f>
        <v>4300</v>
      </c>
      <c r="D1787" s="26">
        <v>38276</v>
      </c>
      <c r="E1787" s="27" t="s">
        <v>9</v>
      </c>
      <c r="F1787" s="27">
        <v>4</v>
      </c>
      <c r="G1787" s="27">
        <v>10</v>
      </c>
      <c r="H1787" s="27">
        <v>2004</v>
      </c>
      <c r="I1787" s="27" t="s">
        <v>47</v>
      </c>
      <c r="J1787" s="25">
        <v>117</v>
      </c>
      <c r="K1787" s="25">
        <f>Sales!$B1787-Sales!$J1787</f>
        <v>-17</v>
      </c>
      <c r="L1787" s="28">
        <f>(Sales!$J1787-Sales!$B1787)/Sales!$J1787</f>
        <v>0.14529914529914531</v>
      </c>
      <c r="M1787" s="28" t="str">
        <f t="shared" si="27"/>
        <v>10%-15%</v>
      </c>
      <c r="N1787" s="27" t="s">
        <v>45</v>
      </c>
      <c r="O1787" s="27" t="s">
        <v>46</v>
      </c>
      <c r="P1787" s="27" t="s">
        <v>17</v>
      </c>
      <c r="Q1787" s="27" t="s">
        <v>19</v>
      </c>
    </row>
    <row r="1788" spans="1:17" x14ac:dyDescent="0.3">
      <c r="A1788" s="22">
        <v>44</v>
      </c>
      <c r="B1788" s="19">
        <v>42.26</v>
      </c>
      <c r="C1788" s="20">
        <f>Sales!$B1788*Sales!$A1788</f>
        <v>1859.4399999999998</v>
      </c>
      <c r="D1788" s="21">
        <v>38308</v>
      </c>
      <c r="E1788" s="22" t="s">
        <v>9</v>
      </c>
      <c r="F1788" s="22">
        <v>4</v>
      </c>
      <c r="G1788" s="22">
        <v>11</v>
      </c>
      <c r="H1788" s="22">
        <v>2004</v>
      </c>
      <c r="I1788" s="22" t="s">
        <v>47</v>
      </c>
      <c r="J1788" s="20">
        <v>117</v>
      </c>
      <c r="K1788" s="20">
        <f>Sales!$B1788-Sales!$J1788</f>
        <v>-74.740000000000009</v>
      </c>
      <c r="L1788" s="23">
        <f>(Sales!$J1788-Sales!$B1788)/Sales!$J1788</f>
        <v>0.63880341880341884</v>
      </c>
      <c r="M1788" s="23" t="str">
        <f t="shared" si="27"/>
        <v>+20%</v>
      </c>
      <c r="N1788" s="22" t="s">
        <v>102</v>
      </c>
      <c r="O1788" s="22" t="s">
        <v>43</v>
      </c>
      <c r="P1788" s="22" t="s">
        <v>17</v>
      </c>
      <c r="Q1788" s="22" t="s">
        <v>14</v>
      </c>
    </row>
    <row r="1789" spans="1:17" x14ac:dyDescent="0.3">
      <c r="A1789" s="27">
        <v>24</v>
      </c>
      <c r="B1789" s="24">
        <v>87.24</v>
      </c>
      <c r="C1789" s="25">
        <f>Sales!$B1789*Sales!$A1789</f>
        <v>2093.7599999999998</v>
      </c>
      <c r="D1789" s="26">
        <v>38320</v>
      </c>
      <c r="E1789" s="27" t="s">
        <v>9</v>
      </c>
      <c r="F1789" s="27">
        <v>4</v>
      </c>
      <c r="G1789" s="27">
        <v>11</v>
      </c>
      <c r="H1789" s="27">
        <v>2004</v>
      </c>
      <c r="I1789" s="27" t="s">
        <v>47</v>
      </c>
      <c r="J1789" s="25">
        <v>117</v>
      </c>
      <c r="K1789" s="25">
        <f>Sales!$B1789-Sales!$J1789</f>
        <v>-29.760000000000005</v>
      </c>
      <c r="L1789" s="28">
        <f>(Sales!$J1789-Sales!$B1789)/Sales!$J1789</f>
        <v>0.25435897435897442</v>
      </c>
      <c r="M1789" s="28" t="str">
        <f t="shared" si="27"/>
        <v>+20%</v>
      </c>
      <c r="N1789" s="27" t="s">
        <v>109</v>
      </c>
      <c r="O1789" s="27" t="s">
        <v>12</v>
      </c>
      <c r="P1789" s="27" t="s">
        <v>13</v>
      </c>
      <c r="Q1789" s="27" t="s">
        <v>14</v>
      </c>
    </row>
    <row r="1790" spans="1:17" x14ac:dyDescent="0.3">
      <c r="A1790" s="22">
        <v>31</v>
      </c>
      <c r="B1790" s="19">
        <v>100</v>
      </c>
      <c r="C1790" s="20">
        <f>Sales!$B1790*Sales!$A1790</f>
        <v>3100</v>
      </c>
      <c r="D1790" s="21">
        <v>38371</v>
      </c>
      <c r="E1790" s="22" t="s">
        <v>9</v>
      </c>
      <c r="F1790" s="22">
        <v>1</v>
      </c>
      <c r="G1790" s="22">
        <v>1</v>
      </c>
      <c r="H1790" s="22">
        <v>2005</v>
      </c>
      <c r="I1790" s="22" t="s">
        <v>47</v>
      </c>
      <c r="J1790" s="20">
        <v>117</v>
      </c>
      <c r="K1790" s="20">
        <f>Sales!$B1790-Sales!$J1790</f>
        <v>-17</v>
      </c>
      <c r="L1790" s="23">
        <f>(Sales!$J1790-Sales!$B1790)/Sales!$J1790</f>
        <v>0.14529914529914531</v>
      </c>
      <c r="M1790" s="23" t="str">
        <f t="shared" si="27"/>
        <v>10%-15%</v>
      </c>
      <c r="N1790" s="22" t="s">
        <v>64</v>
      </c>
      <c r="O1790" s="22" t="s">
        <v>12</v>
      </c>
      <c r="P1790" s="22" t="s">
        <v>13</v>
      </c>
      <c r="Q1790" s="22" t="s">
        <v>19</v>
      </c>
    </row>
    <row r="1791" spans="1:17" x14ac:dyDescent="0.3">
      <c r="A1791" s="27">
        <v>44</v>
      </c>
      <c r="B1791" s="24">
        <v>36.29</v>
      </c>
      <c r="C1791" s="25">
        <f>Sales!$B1791*Sales!$A1791</f>
        <v>1596.76</v>
      </c>
      <c r="D1791" s="26">
        <v>38399</v>
      </c>
      <c r="E1791" s="27" t="s">
        <v>9</v>
      </c>
      <c r="F1791" s="27">
        <v>1</v>
      </c>
      <c r="G1791" s="27">
        <v>2</v>
      </c>
      <c r="H1791" s="27">
        <v>2005</v>
      </c>
      <c r="I1791" s="27" t="s">
        <v>47</v>
      </c>
      <c r="J1791" s="25">
        <v>117</v>
      </c>
      <c r="K1791" s="25">
        <f>Sales!$B1791-Sales!$J1791</f>
        <v>-80.710000000000008</v>
      </c>
      <c r="L1791" s="28">
        <f>(Sales!$J1791-Sales!$B1791)/Sales!$J1791</f>
        <v>0.68982905982905984</v>
      </c>
      <c r="M1791" s="28" t="str">
        <f t="shared" si="27"/>
        <v>+20%</v>
      </c>
      <c r="N1791" s="27" t="s">
        <v>45</v>
      </c>
      <c r="O1791" s="27" t="s">
        <v>46</v>
      </c>
      <c r="P1791" s="27" t="s">
        <v>17</v>
      </c>
      <c r="Q1791" s="27" t="s">
        <v>14</v>
      </c>
    </row>
    <row r="1792" spans="1:17" x14ac:dyDescent="0.3">
      <c r="A1792" s="22">
        <v>59</v>
      </c>
      <c r="B1792" s="19">
        <v>98.65</v>
      </c>
      <c r="C1792" s="20">
        <f>Sales!$B1792*Sales!$A1792</f>
        <v>5820.35</v>
      </c>
      <c r="D1792" s="21">
        <v>38464</v>
      </c>
      <c r="E1792" s="22" t="s">
        <v>87</v>
      </c>
      <c r="F1792" s="22">
        <v>2</v>
      </c>
      <c r="G1792" s="22">
        <v>4</v>
      </c>
      <c r="H1792" s="22">
        <v>2005</v>
      </c>
      <c r="I1792" s="22" t="s">
        <v>47</v>
      </c>
      <c r="J1792" s="20">
        <v>117</v>
      </c>
      <c r="K1792" s="20">
        <f>Sales!$B1792-Sales!$J1792</f>
        <v>-18.349999999999994</v>
      </c>
      <c r="L1792" s="23">
        <f>(Sales!$J1792-Sales!$B1792)/Sales!$J1792</f>
        <v>0.15683760683760678</v>
      </c>
      <c r="M1792" s="23" t="str">
        <f t="shared" si="27"/>
        <v>15%-20%</v>
      </c>
      <c r="N1792" s="22" t="s">
        <v>86</v>
      </c>
      <c r="O1792" s="22" t="s">
        <v>12</v>
      </c>
      <c r="P1792" s="22" t="s">
        <v>13</v>
      </c>
      <c r="Q1792" s="22" t="s">
        <v>19</v>
      </c>
    </row>
    <row r="1793" spans="1:17" x14ac:dyDescent="0.3">
      <c r="A1793" s="27">
        <v>55</v>
      </c>
      <c r="B1793" s="24">
        <v>96.3</v>
      </c>
      <c r="C1793" s="25">
        <f>Sales!$B1793*Sales!$A1793</f>
        <v>5296.5</v>
      </c>
      <c r="D1793" s="26">
        <v>38501</v>
      </c>
      <c r="E1793" s="27" t="s">
        <v>69</v>
      </c>
      <c r="F1793" s="27">
        <v>2</v>
      </c>
      <c r="G1793" s="27">
        <v>5</v>
      </c>
      <c r="H1793" s="27">
        <v>2005</v>
      </c>
      <c r="I1793" s="27" t="s">
        <v>47</v>
      </c>
      <c r="J1793" s="25">
        <v>117</v>
      </c>
      <c r="K1793" s="25">
        <f>Sales!$B1793-Sales!$J1793</f>
        <v>-20.700000000000003</v>
      </c>
      <c r="L1793" s="28">
        <f>(Sales!$J1793-Sales!$B1793)/Sales!$J1793</f>
        <v>0.17692307692307696</v>
      </c>
      <c r="M1793" s="28" t="str">
        <f t="shared" si="27"/>
        <v>15%-20%</v>
      </c>
      <c r="N1793" s="27" t="s">
        <v>40</v>
      </c>
      <c r="O1793" s="27" t="s">
        <v>27</v>
      </c>
      <c r="P1793" s="27" t="s">
        <v>28</v>
      </c>
      <c r="Q1793" s="27" t="s">
        <v>19</v>
      </c>
    </row>
    <row r="1794" spans="1:17" x14ac:dyDescent="0.3">
      <c r="A1794" s="22">
        <v>29</v>
      </c>
      <c r="B1794" s="19">
        <v>32.1</v>
      </c>
      <c r="C1794" s="20">
        <f>Sales!$B1794*Sales!$A1794</f>
        <v>930.90000000000009</v>
      </c>
      <c r="D1794" s="21">
        <v>37690</v>
      </c>
      <c r="E1794" s="22" t="s">
        <v>9</v>
      </c>
      <c r="F1794" s="22">
        <v>1</v>
      </c>
      <c r="G1794" s="22">
        <v>3</v>
      </c>
      <c r="H1794" s="22">
        <v>2003</v>
      </c>
      <c r="I1794" s="22" t="s">
        <v>47</v>
      </c>
      <c r="J1794" s="20">
        <v>37</v>
      </c>
      <c r="K1794" s="20">
        <f>Sales!$B1794-Sales!$J1794</f>
        <v>-4.8999999999999986</v>
      </c>
      <c r="L1794" s="23">
        <f>(Sales!$J1794-Sales!$B1794)/Sales!$J1794</f>
        <v>0.13243243243243238</v>
      </c>
      <c r="M1794" s="23" t="str">
        <f t="shared" si="27"/>
        <v>10%-15%</v>
      </c>
      <c r="N1794" s="22" t="s">
        <v>53</v>
      </c>
      <c r="O1794" s="22" t="s">
        <v>12</v>
      </c>
      <c r="P1794" s="22" t="s">
        <v>13</v>
      </c>
      <c r="Q1794" s="22" t="s">
        <v>14</v>
      </c>
    </row>
    <row r="1795" spans="1:17" x14ac:dyDescent="0.3">
      <c r="A1795" s="27">
        <v>39</v>
      </c>
      <c r="B1795" s="24">
        <v>30.96</v>
      </c>
      <c r="C1795" s="25">
        <f>Sales!$B1795*Sales!$A1795</f>
        <v>1207.44</v>
      </c>
      <c r="D1795" s="26">
        <v>37749</v>
      </c>
      <c r="E1795" s="27" t="s">
        <v>9</v>
      </c>
      <c r="F1795" s="27">
        <v>2</v>
      </c>
      <c r="G1795" s="27">
        <v>5</v>
      </c>
      <c r="H1795" s="27">
        <v>2003</v>
      </c>
      <c r="I1795" s="27" t="s">
        <v>47</v>
      </c>
      <c r="J1795" s="25">
        <v>37</v>
      </c>
      <c r="K1795" s="25">
        <f>Sales!$B1795-Sales!$J1795</f>
        <v>-6.0399999999999991</v>
      </c>
      <c r="L1795" s="28">
        <f>(Sales!$J1795-Sales!$B1795)/Sales!$J1795</f>
        <v>0.16324324324324321</v>
      </c>
      <c r="M1795" s="28" t="str">
        <f t="shared" ref="M1795:M1858" si="28">IF(L1795&lt;0%,"Below 0%",IF(L1795=0%,"0%",IF(AND(L1795&lt;=5%,L1795&gt;0%),"0%-5%",IF(AND(L1795&lt;=10%,L1795&gt;5%),"5%-10%",IF(AND(L1795&lt;=15%,L1795&gt;10%),"10%-15%",IF(AND(L1795&lt;=20%,L1795&gt;15%),"15%-20%","+20%"))))))</f>
        <v>15%-20%</v>
      </c>
      <c r="N1795" s="27" t="s">
        <v>92</v>
      </c>
      <c r="O1795" s="27" t="s">
        <v>16</v>
      </c>
      <c r="P1795" s="27" t="s">
        <v>17</v>
      </c>
      <c r="Q1795" s="27" t="s">
        <v>14</v>
      </c>
    </row>
    <row r="1796" spans="1:17" x14ac:dyDescent="0.3">
      <c r="A1796" s="22">
        <v>20</v>
      </c>
      <c r="B1796" s="19">
        <v>35.869999999999997</v>
      </c>
      <c r="C1796" s="20">
        <f>Sales!$B1796*Sales!$A1796</f>
        <v>717.4</v>
      </c>
      <c r="D1796" s="21">
        <v>37804</v>
      </c>
      <c r="E1796" s="22" t="s">
        <v>9</v>
      </c>
      <c r="F1796" s="22">
        <v>3</v>
      </c>
      <c r="G1796" s="22">
        <v>7</v>
      </c>
      <c r="H1796" s="22">
        <v>2003</v>
      </c>
      <c r="I1796" s="22" t="s">
        <v>47</v>
      </c>
      <c r="J1796" s="20">
        <v>37</v>
      </c>
      <c r="K1796" s="20">
        <f>Sales!$B1796-Sales!$J1796</f>
        <v>-1.1300000000000026</v>
      </c>
      <c r="L1796" s="23">
        <f>(Sales!$J1796-Sales!$B1796)/Sales!$J1796</f>
        <v>3.054054054054061E-2</v>
      </c>
      <c r="M1796" s="23" t="str">
        <f t="shared" si="28"/>
        <v>0%-5%</v>
      </c>
      <c r="N1796" s="22" t="s">
        <v>64</v>
      </c>
      <c r="O1796" s="22" t="s">
        <v>12</v>
      </c>
      <c r="P1796" s="22" t="s">
        <v>13</v>
      </c>
      <c r="Q1796" s="22" t="s">
        <v>14</v>
      </c>
    </row>
    <row r="1797" spans="1:17" x14ac:dyDescent="0.3">
      <c r="A1797" s="27">
        <v>25</v>
      </c>
      <c r="B1797" s="24">
        <v>42.67</v>
      </c>
      <c r="C1797" s="25">
        <f>Sales!$B1797*Sales!$A1797</f>
        <v>1066.75</v>
      </c>
      <c r="D1797" s="26">
        <v>37869</v>
      </c>
      <c r="E1797" s="27" t="s">
        <v>9</v>
      </c>
      <c r="F1797" s="27">
        <v>3</v>
      </c>
      <c r="G1797" s="27">
        <v>9</v>
      </c>
      <c r="H1797" s="27">
        <v>2003</v>
      </c>
      <c r="I1797" s="27" t="s">
        <v>47</v>
      </c>
      <c r="J1797" s="25">
        <v>37</v>
      </c>
      <c r="K1797" s="25">
        <f>Sales!$B1797-Sales!$J1797</f>
        <v>5.6700000000000017</v>
      </c>
      <c r="L1797" s="28">
        <f>(Sales!$J1797-Sales!$B1797)/Sales!$J1797</f>
        <v>-0.15324324324324329</v>
      </c>
      <c r="M1797" s="28" t="str">
        <f t="shared" si="28"/>
        <v>Below 0%</v>
      </c>
      <c r="N1797" s="27" t="s">
        <v>66</v>
      </c>
      <c r="O1797" s="27" t="s">
        <v>12</v>
      </c>
      <c r="P1797" s="27" t="s">
        <v>13</v>
      </c>
      <c r="Q1797" s="27" t="s">
        <v>14</v>
      </c>
    </row>
    <row r="1798" spans="1:17" x14ac:dyDescent="0.3">
      <c r="A1798" s="22">
        <v>42</v>
      </c>
      <c r="B1798" s="19">
        <v>37</v>
      </c>
      <c r="C1798" s="20">
        <f>Sales!$B1798*Sales!$A1798</f>
        <v>1554</v>
      </c>
      <c r="D1798" s="21">
        <v>37905</v>
      </c>
      <c r="E1798" s="22" t="s">
        <v>9</v>
      </c>
      <c r="F1798" s="22">
        <v>4</v>
      </c>
      <c r="G1798" s="22">
        <v>10</v>
      </c>
      <c r="H1798" s="22">
        <v>2003</v>
      </c>
      <c r="I1798" s="22" t="s">
        <v>47</v>
      </c>
      <c r="J1798" s="20">
        <v>37</v>
      </c>
      <c r="K1798" s="20">
        <f>Sales!$B1798-Sales!$J1798</f>
        <v>0</v>
      </c>
      <c r="L1798" s="23">
        <f>(Sales!$J1798-Sales!$B1798)/Sales!$J1798</f>
        <v>0</v>
      </c>
      <c r="M1798" s="23" t="s">
        <v>130</v>
      </c>
      <c r="N1798" s="22" t="s">
        <v>78</v>
      </c>
      <c r="O1798" s="22" t="s">
        <v>12</v>
      </c>
      <c r="P1798" s="22" t="s">
        <v>13</v>
      </c>
      <c r="Q1798" s="22" t="s">
        <v>14</v>
      </c>
    </row>
    <row r="1799" spans="1:17" x14ac:dyDescent="0.3">
      <c r="A1799" s="27">
        <v>36</v>
      </c>
      <c r="B1799" s="24">
        <v>35.49</v>
      </c>
      <c r="C1799" s="25">
        <f>Sales!$B1799*Sales!$A1799</f>
        <v>1277.6400000000001</v>
      </c>
      <c r="D1799" s="26">
        <v>37930</v>
      </c>
      <c r="E1799" s="27" t="s">
        <v>9</v>
      </c>
      <c r="F1799" s="27">
        <v>4</v>
      </c>
      <c r="G1799" s="27">
        <v>11</v>
      </c>
      <c r="H1799" s="27">
        <v>2003</v>
      </c>
      <c r="I1799" s="27" t="s">
        <v>47</v>
      </c>
      <c r="J1799" s="25">
        <v>37</v>
      </c>
      <c r="K1799" s="25">
        <f>Sales!$B1799-Sales!$J1799</f>
        <v>-1.509999999999998</v>
      </c>
      <c r="L1799" s="28">
        <f>(Sales!$J1799-Sales!$B1799)/Sales!$J1799</f>
        <v>4.0810810810810755E-2</v>
      </c>
      <c r="M1799" s="28" t="str">
        <f t="shared" si="28"/>
        <v>0%-5%</v>
      </c>
      <c r="N1799" s="27" t="s">
        <v>68</v>
      </c>
      <c r="O1799" s="27" t="s">
        <v>56</v>
      </c>
      <c r="P1799" s="27" t="s">
        <v>13</v>
      </c>
      <c r="Q1799" s="27" t="s">
        <v>14</v>
      </c>
    </row>
    <row r="1800" spans="1:17" x14ac:dyDescent="0.3">
      <c r="A1800" s="22">
        <v>37</v>
      </c>
      <c r="B1800" s="19">
        <v>42.67</v>
      </c>
      <c r="C1800" s="20">
        <f>Sales!$B1800*Sales!$A1800</f>
        <v>1578.79</v>
      </c>
      <c r="D1800" s="21">
        <v>37937</v>
      </c>
      <c r="E1800" s="22" t="s">
        <v>9</v>
      </c>
      <c r="F1800" s="22">
        <v>4</v>
      </c>
      <c r="G1800" s="22">
        <v>11</v>
      </c>
      <c r="H1800" s="22">
        <v>2003</v>
      </c>
      <c r="I1800" s="22" t="s">
        <v>47</v>
      </c>
      <c r="J1800" s="20">
        <v>37</v>
      </c>
      <c r="K1800" s="20">
        <f>Sales!$B1800-Sales!$J1800</f>
        <v>5.6700000000000017</v>
      </c>
      <c r="L1800" s="23">
        <f>(Sales!$J1800-Sales!$B1800)/Sales!$J1800</f>
        <v>-0.15324324324324329</v>
      </c>
      <c r="M1800" s="23" t="str">
        <f t="shared" si="28"/>
        <v>Below 0%</v>
      </c>
      <c r="N1800" s="22" t="s">
        <v>24</v>
      </c>
      <c r="O1800" s="22" t="s">
        <v>25</v>
      </c>
      <c r="P1800" s="22" t="s">
        <v>17</v>
      </c>
      <c r="Q1800" s="22" t="s">
        <v>14</v>
      </c>
    </row>
    <row r="1801" spans="1:17" x14ac:dyDescent="0.3">
      <c r="A1801" s="27">
        <v>30</v>
      </c>
      <c r="B1801" s="24">
        <v>30.59</v>
      </c>
      <c r="C1801" s="25">
        <f>Sales!$B1801*Sales!$A1801</f>
        <v>917.7</v>
      </c>
      <c r="D1801" s="26">
        <v>37945</v>
      </c>
      <c r="E1801" s="27" t="s">
        <v>9</v>
      </c>
      <c r="F1801" s="27">
        <v>4</v>
      </c>
      <c r="G1801" s="27">
        <v>11</v>
      </c>
      <c r="H1801" s="27">
        <v>2003</v>
      </c>
      <c r="I1801" s="27" t="s">
        <v>47</v>
      </c>
      <c r="J1801" s="25">
        <v>37</v>
      </c>
      <c r="K1801" s="25">
        <f>Sales!$B1801-Sales!$J1801</f>
        <v>-6.41</v>
      </c>
      <c r="L1801" s="28">
        <f>(Sales!$J1801-Sales!$B1801)/Sales!$J1801</f>
        <v>0.17324324324324325</v>
      </c>
      <c r="M1801" s="28" t="str">
        <f t="shared" si="28"/>
        <v>15%-20%</v>
      </c>
      <c r="N1801" s="27" t="s">
        <v>65</v>
      </c>
      <c r="O1801" s="27" t="s">
        <v>12</v>
      </c>
      <c r="P1801" s="27" t="s">
        <v>13</v>
      </c>
      <c r="Q1801" s="27" t="s">
        <v>14</v>
      </c>
    </row>
    <row r="1802" spans="1:17" x14ac:dyDescent="0.3">
      <c r="A1802" s="22">
        <v>21</v>
      </c>
      <c r="B1802" s="19">
        <v>37</v>
      </c>
      <c r="C1802" s="20">
        <f>Sales!$B1802*Sales!$A1802</f>
        <v>777</v>
      </c>
      <c r="D1802" s="21">
        <v>37957</v>
      </c>
      <c r="E1802" s="22" t="s">
        <v>9</v>
      </c>
      <c r="F1802" s="22">
        <v>4</v>
      </c>
      <c r="G1802" s="22">
        <v>12</v>
      </c>
      <c r="H1802" s="22">
        <v>2003</v>
      </c>
      <c r="I1802" s="22" t="s">
        <v>47</v>
      </c>
      <c r="J1802" s="20">
        <v>37</v>
      </c>
      <c r="K1802" s="20">
        <f>Sales!$B1802-Sales!$J1802</f>
        <v>0</v>
      </c>
      <c r="L1802" s="23">
        <f>(Sales!$J1802-Sales!$B1802)/Sales!$J1802</f>
        <v>0</v>
      </c>
      <c r="M1802" s="23" t="s">
        <v>130</v>
      </c>
      <c r="N1802" s="22" t="s">
        <v>45</v>
      </c>
      <c r="O1802" s="22" t="s">
        <v>46</v>
      </c>
      <c r="P1802" s="22" t="s">
        <v>17</v>
      </c>
      <c r="Q1802" s="22" t="s">
        <v>14</v>
      </c>
    </row>
    <row r="1803" spans="1:17" x14ac:dyDescent="0.3">
      <c r="A1803" s="27">
        <v>34</v>
      </c>
      <c r="B1803" s="24">
        <v>43.42</v>
      </c>
      <c r="C1803" s="25">
        <f>Sales!$B1803*Sales!$A1803</f>
        <v>1476.28</v>
      </c>
      <c r="D1803" s="26">
        <v>38002</v>
      </c>
      <c r="E1803" s="27" t="s">
        <v>9</v>
      </c>
      <c r="F1803" s="27">
        <v>1</v>
      </c>
      <c r="G1803" s="27">
        <v>1</v>
      </c>
      <c r="H1803" s="27">
        <v>2004</v>
      </c>
      <c r="I1803" s="27" t="s">
        <v>47</v>
      </c>
      <c r="J1803" s="25">
        <v>37</v>
      </c>
      <c r="K1803" s="25">
        <f>Sales!$B1803-Sales!$J1803</f>
        <v>6.4200000000000017</v>
      </c>
      <c r="L1803" s="28">
        <f>(Sales!$J1803-Sales!$B1803)/Sales!$J1803</f>
        <v>-0.17351351351351357</v>
      </c>
      <c r="M1803" s="28" t="str">
        <f t="shared" si="28"/>
        <v>Below 0%</v>
      </c>
      <c r="N1803" s="27" t="s">
        <v>45</v>
      </c>
      <c r="O1803" s="27" t="s">
        <v>46</v>
      </c>
      <c r="P1803" s="27" t="s">
        <v>17</v>
      </c>
      <c r="Q1803" s="27" t="s">
        <v>14</v>
      </c>
    </row>
    <row r="1804" spans="1:17" x14ac:dyDescent="0.3">
      <c r="A1804" s="22">
        <v>42</v>
      </c>
      <c r="B1804" s="19">
        <v>36.630000000000003</v>
      </c>
      <c r="C1804" s="20">
        <f>Sales!$B1804*Sales!$A1804</f>
        <v>1538.46</v>
      </c>
      <c r="D1804" s="21">
        <v>38039</v>
      </c>
      <c r="E1804" s="22" t="s">
        <v>9</v>
      </c>
      <c r="F1804" s="22">
        <v>1</v>
      </c>
      <c r="G1804" s="22">
        <v>2</v>
      </c>
      <c r="H1804" s="22">
        <v>2004</v>
      </c>
      <c r="I1804" s="22" t="s">
        <v>47</v>
      </c>
      <c r="J1804" s="20">
        <v>37</v>
      </c>
      <c r="K1804" s="20">
        <f>Sales!$B1804-Sales!$J1804</f>
        <v>-0.36999999999999744</v>
      </c>
      <c r="L1804" s="23">
        <f>(Sales!$J1804-Sales!$B1804)/Sales!$J1804</f>
        <v>9.9999999999999308E-3</v>
      </c>
      <c r="M1804" s="23" t="str">
        <f t="shared" si="28"/>
        <v>0%-5%</v>
      </c>
      <c r="N1804" s="22" t="s">
        <v>95</v>
      </c>
      <c r="O1804" s="22" t="s">
        <v>96</v>
      </c>
      <c r="P1804" s="22" t="s">
        <v>17</v>
      </c>
      <c r="Q1804" s="22" t="s">
        <v>14</v>
      </c>
    </row>
    <row r="1805" spans="1:17" x14ac:dyDescent="0.3">
      <c r="A1805" s="27">
        <v>20</v>
      </c>
      <c r="B1805" s="24">
        <v>44.56</v>
      </c>
      <c r="C1805" s="25">
        <f>Sales!$B1805*Sales!$A1805</f>
        <v>891.2</v>
      </c>
      <c r="D1805" s="26">
        <v>38089</v>
      </c>
      <c r="E1805" s="27" t="s">
        <v>9</v>
      </c>
      <c r="F1805" s="27">
        <v>2</v>
      </c>
      <c r="G1805" s="27">
        <v>4</v>
      </c>
      <c r="H1805" s="27">
        <v>2004</v>
      </c>
      <c r="I1805" s="27" t="s">
        <v>47</v>
      </c>
      <c r="J1805" s="25">
        <v>37</v>
      </c>
      <c r="K1805" s="25">
        <f>Sales!$B1805-Sales!$J1805</f>
        <v>7.5600000000000023</v>
      </c>
      <c r="L1805" s="28">
        <f>(Sales!$J1805-Sales!$B1805)/Sales!$J1805</f>
        <v>-0.20432432432432437</v>
      </c>
      <c r="M1805" s="28" t="str">
        <f t="shared" si="28"/>
        <v>Below 0%</v>
      </c>
      <c r="N1805" s="27" t="s">
        <v>85</v>
      </c>
      <c r="O1805" s="27" t="s">
        <v>34</v>
      </c>
      <c r="P1805" s="27" t="s">
        <v>17</v>
      </c>
      <c r="Q1805" s="27" t="s">
        <v>14</v>
      </c>
    </row>
    <row r="1806" spans="1:17" x14ac:dyDescent="0.3">
      <c r="A1806" s="22">
        <v>40</v>
      </c>
      <c r="B1806" s="19">
        <v>42.67</v>
      </c>
      <c r="C1806" s="20">
        <f>Sales!$B1806*Sales!$A1806</f>
        <v>1706.8000000000002</v>
      </c>
      <c r="D1806" s="21">
        <v>38139</v>
      </c>
      <c r="E1806" s="22" t="s">
        <v>75</v>
      </c>
      <c r="F1806" s="22">
        <v>2</v>
      </c>
      <c r="G1806" s="22">
        <v>6</v>
      </c>
      <c r="H1806" s="22">
        <v>2004</v>
      </c>
      <c r="I1806" s="22" t="s">
        <v>47</v>
      </c>
      <c r="J1806" s="20">
        <v>37</v>
      </c>
      <c r="K1806" s="20">
        <f>Sales!$B1806-Sales!$J1806</f>
        <v>5.6700000000000017</v>
      </c>
      <c r="L1806" s="23">
        <f>(Sales!$J1806-Sales!$B1806)/Sales!$J1806</f>
        <v>-0.15324324324324329</v>
      </c>
      <c r="M1806" s="23" t="str">
        <f t="shared" si="28"/>
        <v>Below 0%</v>
      </c>
      <c r="N1806" s="22" t="s">
        <v>42</v>
      </c>
      <c r="O1806" s="22" t="s">
        <v>43</v>
      </c>
      <c r="P1806" s="22" t="s">
        <v>17</v>
      </c>
      <c r="Q1806" s="22" t="s">
        <v>14</v>
      </c>
    </row>
    <row r="1807" spans="1:17" x14ac:dyDescent="0.3">
      <c r="A1807" s="27">
        <v>34</v>
      </c>
      <c r="B1807" s="24">
        <v>40.4</v>
      </c>
      <c r="C1807" s="25">
        <f>Sales!$B1807*Sales!$A1807</f>
        <v>1373.6</v>
      </c>
      <c r="D1807" s="26">
        <v>38174</v>
      </c>
      <c r="E1807" s="27" t="s">
        <v>9</v>
      </c>
      <c r="F1807" s="27">
        <v>3</v>
      </c>
      <c r="G1807" s="27">
        <v>7</v>
      </c>
      <c r="H1807" s="27">
        <v>2004</v>
      </c>
      <c r="I1807" s="27" t="s">
        <v>47</v>
      </c>
      <c r="J1807" s="25">
        <v>37</v>
      </c>
      <c r="K1807" s="25">
        <f>Sales!$B1807-Sales!$J1807</f>
        <v>3.3999999999999986</v>
      </c>
      <c r="L1807" s="28">
        <f>(Sales!$J1807-Sales!$B1807)/Sales!$J1807</f>
        <v>-9.1891891891891855E-2</v>
      </c>
      <c r="M1807" s="28" t="str">
        <f t="shared" si="28"/>
        <v>Below 0%</v>
      </c>
      <c r="N1807" s="27" t="s">
        <v>97</v>
      </c>
      <c r="O1807" s="27" t="s">
        <v>61</v>
      </c>
      <c r="P1807" s="27" t="s">
        <v>17</v>
      </c>
      <c r="Q1807" s="27" t="s">
        <v>14</v>
      </c>
    </row>
    <row r="1808" spans="1:17" x14ac:dyDescent="0.3">
      <c r="A1808" s="22">
        <v>31</v>
      </c>
      <c r="B1808" s="19">
        <v>38.89</v>
      </c>
      <c r="C1808" s="20">
        <f>Sales!$B1808*Sales!$A1808</f>
        <v>1205.5899999999999</v>
      </c>
      <c r="D1808" s="21">
        <v>38205</v>
      </c>
      <c r="E1808" s="22" t="s">
        <v>9</v>
      </c>
      <c r="F1808" s="22">
        <v>3</v>
      </c>
      <c r="G1808" s="22">
        <v>8</v>
      </c>
      <c r="H1808" s="22">
        <v>2004</v>
      </c>
      <c r="I1808" s="22" t="s">
        <v>47</v>
      </c>
      <c r="J1808" s="20">
        <v>37</v>
      </c>
      <c r="K1808" s="20">
        <f>Sales!$B1808-Sales!$J1808</f>
        <v>1.8900000000000006</v>
      </c>
      <c r="L1808" s="23">
        <f>(Sales!$J1808-Sales!$B1808)/Sales!$J1808</f>
        <v>-5.1081081081081094E-2</v>
      </c>
      <c r="M1808" s="23" t="str">
        <f t="shared" si="28"/>
        <v>Below 0%</v>
      </c>
      <c r="N1808" s="22" t="s">
        <v>109</v>
      </c>
      <c r="O1808" s="22" t="s">
        <v>12</v>
      </c>
      <c r="P1808" s="22" t="s">
        <v>13</v>
      </c>
      <c r="Q1808" s="22" t="s">
        <v>14</v>
      </c>
    </row>
    <row r="1809" spans="1:17" x14ac:dyDescent="0.3">
      <c r="A1809" s="27">
        <v>36</v>
      </c>
      <c r="B1809" s="24">
        <v>39.65</v>
      </c>
      <c r="C1809" s="25">
        <f>Sales!$B1809*Sales!$A1809</f>
        <v>1427.3999999999999</v>
      </c>
      <c r="D1809" s="26">
        <v>38229</v>
      </c>
      <c r="E1809" s="27" t="s">
        <v>9</v>
      </c>
      <c r="F1809" s="27">
        <v>3</v>
      </c>
      <c r="G1809" s="27">
        <v>8</v>
      </c>
      <c r="H1809" s="27">
        <v>2004</v>
      </c>
      <c r="I1809" s="27" t="s">
        <v>47</v>
      </c>
      <c r="J1809" s="25">
        <v>37</v>
      </c>
      <c r="K1809" s="25">
        <f>Sales!$B1809-Sales!$J1809</f>
        <v>2.6499999999999986</v>
      </c>
      <c r="L1809" s="28">
        <f>(Sales!$J1809-Sales!$B1809)/Sales!$J1809</f>
        <v>-7.1621621621621584E-2</v>
      </c>
      <c r="M1809" s="28" t="str">
        <f t="shared" si="28"/>
        <v>Below 0%</v>
      </c>
      <c r="N1809" s="27" t="s">
        <v>95</v>
      </c>
      <c r="O1809" s="27" t="s">
        <v>96</v>
      </c>
      <c r="P1809" s="27" t="s">
        <v>17</v>
      </c>
      <c r="Q1809" s="27" t="s">
        <v>14</v>
      </c>
    </row>
    <row r="1810" spans="1:17" x14ac:dyDescent="0.3">
      <c r="A1810" s="22">
        <v>48</v>
      </c>
      <c r="B1810" s="19">
        <v>34.36</v>
      </c>
      <c r="C1810" s="20">
        <f>Sales!$B1810*Sales!$A1810</f>
        <v>1649.28</v>
      </c>
      <c r="D1810" s="21">
        <v>37899</v>
      </c>
      <c r="E1810" s="22" t="s">
        <v>9</v>
      </c>
      <c r="F1810" s="22">
        <v>4</v>
      </c>
      <c r="G1810" s="22">
        <v>10</v>
      </c>
      <c r="H1810" s="22">
        <v>2003</v>
      </c>
      <c r="I1810" s="22" t="s">
        <v>47</v>
      </c>
      <c r="J1810" s="20">
        <v>37</v>
      </c>
      <c r="K1810" s="20">
        <f>Sales!$B1810-Sales!$J1810</f>
        <v>-2.6400000000000006</v>
      </c>
      <c r="L1810" s="23">
        <f>(Sales!$J1810-Sales!$B1810)/Sales!$J1810</f>
        <v>7.1351351351351372E-2</v>
      </c>
      <c r="M1810" s="23" t="str">
        <f t="shared" si="28"/>
        <v>5%-10%</v>
      </c>
      <c r="N1810" s="22" t="s">
        <v>110</v>
      </c>
      <c r="O1810" s="22" t="s">
        <v>25</v>
      </c>
      <c r="P1810" s="22" t="s">
        <v>17</v>
      </c>
      <c r="Q1810" s="22" t="s">
        <v>14</v>
      </c>
    </row>
    <row r="1811" spans="1:17" x14ac:dyDescent="0.3">
      <c r="A1811" s="27">
        <v>33</v>
      </c>
      <c r="B1811" s="24">
        <v>41.91</v>
      </c>
      <c r="C1811" s="25">
        <f>Sales!$B1811*Sales!$A1811</f>
        <v>1383.03</v>
      </c>
      <c r="D1811" s="26">
        <v>38276</v>
      </c>
      <c r="E1811" s="27" t="s">
        <v>9</v>
      </c>
      <c r="F1811" s="27">
        <v>4</v>
      </c>
      <c r="G1811" s="27">
        <v>10</v>
      </c>
      <c r="H1811" s="27">
        <v>2004</v>
      </c>
      <c r="I1811" s="27" t="s">
        <v>47</v>
      </c>
      <c r="J1811" s="25">
        <v>37</v>
      </c>
      <c r="K1811" s="25">
        <f>Sales!$B1811-Sales!$J1811</f>
        <v>4.9099999999999966</v>
      </c>
      <c r="L1811" s="28">
        <f>(Sales!$J1811-Sales!$B1811)/Sales!$J1811</f>
        <v>-0.13270270270270262</v>
      </c>
      <c r="M1811" s="28" t="str">
        <f t="shared" si="28"/>
        <v>Below 0%</v>
      </c>
      <c r="N1811" s="27" t="s">
        <v>93</v>
      </c>
      <c r="O1811" s="27" t="s">
        <v>94</v>
      </c>
      <c r="P1811" s="27" t="s">
        <v>17</v>
      </c>
      <c r="Q1811" s="27" t="s">
        <v>14</v>
      </c>
    </row>
    <row r="1812" spans="1:17" x14ac:dyDescent="0.3">
      <c r="A1812" s="22">
        <v>37</v>
      </c>
      <c r="B1812" s="19">
        <v>33.229999999999997</v>
      </c>
      <c r="C1812" s="20">
        <f>Sales!$B1812*Sales!$A1812</f>
        <v>1229.51</v>
      </c>
      <c r="D1812" s="21">
        <v>38295</v>
      </c>
      <c r="E1812" s="22" t="s">
        <v>9</v>
      </c>
      <c r="F1812" s="22">
        <v>4</v>
      </c>
      <c r="G1812" s="22">
        <v>11</v>
      </c>
      <c r="H1812" s="22">
        <v>2004</v>
      </c>
      <c r="I1812" s="22" t="s">
        <v>47</v>
      </c>
      <c r="J1812" s="20">
        <v>37</v>
      </c>
      <c r="K1812" s="20">
        <f>Sales!$B1812-Sales!$J1812</f>
        <v>-3.7700000000000031</v>
      </c>
      <c r="L1812" s="23">
        <f>(Sales!$J1812-Sales!$B1812)/Sales!$J1812</f>
        <v>0.10189189189189198</v>
      </c>
      <c r="M1812" s="23" t="s">
        <v>134</v>
      </c>
      <c r="N1812" s="22" t="s">
        <v>41</v>
      </c>
      <c r="O1812" s="22" t="s">
        <v>12</v>
      </c>
      <c r="P1812" s="22" t="s">
        <v>13</v>
      </c>
      <c r="Q1812" s="22" t="s">
        <v>14</v>
      </c>
    </row>
    <row r="1813" spans="1:17" x14ac:dyDescent="0.3">
      <c r="A1813" s="27">
        <v>27</v>
      </c>
      <c r="B1813" s="24">
        <v>42.24</v>
      </c>
      <c r="C1813" s="25">
        <f>Sales!$B1813*Sales!$A1813</f>
        <v>1140.48</v>
      </c>
      <c r="D1813" s="26">
        <v>38308</v>
      </c>
      <c r="E1813" s="27" t="s">
        <v>9</v>
      </c>
      <c r="F1813" s="27">
        <v>4</v>
      </c>
      <c r="G1813" s="27">
        <v>11</v>
      </c>
      <c r="H1813" s="27">
        <v>2004</v>
      </c>
      <c r="I1813" s="27" t="s">
        <v>47</v>
      </c>
      <c r="J1813" s="25">
        <v>37</v>
      </c>
      <c r="K1813" s="25">
        <f>Sales!$B1813-Sales!$J1813</f>
        <v>5.240000000000002</v>
      </c>
      <c r="L1813" s="28">
        <f>(Sales!$J1813-Sales!$B1813)/Sales!$J1813</f>
        <v>-0.14162162162162167</v>
      </c>
      <c r="M1813" s="28" t="str">
        <f t="shared" si="28"/>
        <v>Below 0%</v>
      </c>
      <c r="N1813" s="27" t="s">
        <v>53</v>
      </c>
      <c r="O1813" s="27" t="s">
        <v>12</v>
      </c>
      <c r="P1813" s="27" t="s">
        <v>13</v>
      </c>
      <c r="Q1813" s="27" t="s">
        <v>14</v>
      </c>
    </row>
    <row r="1814" spans="1:17" x14ac:dyDescent="0.3">
      <c r="A1814" s="22">
        <v>39</v>
      </c>
      <c r="B1814" s="19">
        <v>40.4</v>
      </c>
      <c r="C1814" s="20">
        <f>Sales!$B1814*Sales!$A1814</f>
        <v>1575.6</v>
      </c>
      <c r="D1814" s="21">
        <v>38315</v>
      </c>
      <c r="E1814" s="22" t="s">
        <v>9</v>
      </c>
      <c r="F1814" s="22">
        <v>4</v>
      </c>
      <c r="G1814" s="22">
        <v>11</v>
      </c>
      <c r="H1814" s="22">
        <v>2004</v>
      </c>
      <c r="I1814" s="22" t="s">
        <v>47</v>
      </c>
      <c r="J1814" s="20">
        <v>37</v>
      </c>
      <c r="K1814" s="20">
        <f>Sales!$B1814-Sales!$J1814</f>
        <v>3.3999999999999986</v>
      </c>
      <c r="L1814" s="23">
        <f>(Sales!$J1814-Sales!$B1814)/Sales!$J1814</f>
        <v>-9.1891891891891855E-2</v>
      </c>
      <c r="M1814" s="23" t="str">
        <f t="shared" si="28"/>
        <v>Below 0%</v>
      </c>
      <c r="N1814" s="22" t="s">
        <v>26</v>
      </c>
      <c r="O1814" s="22" t="s">
        <v>27</v>
      </c>
      <c r="P1814" s="22" t="s">
        <v>28</v>
      </c>
      <c r="Q1814" s="22" t="s">
        <v>14</v>
      </c>
    </row>
    <row r="1815" spans="1:17" x14ac:dyDescent="0.3">
      <c r="A1815" s="27">
        <v>36</v>
      </c>
      <c r="B1815" s="24">
        <v>38.520000000000003</v>
      </c>
      <c r="C1815" s="25">
        <f>Sales!$B1815*Sales!$A1815</f>
        <v>1386.72</v>
      </c>
      <c r="D1815" s="26">
        <v>38328</v>
      </c>
      <c r="E1815" s="27" t="s">
        <v>9</v>
      </c>
      <c r="F1815" s="27">
        <v>4</v>
      </c>
      <c r="G1815" s="27">
        <v>12</v>
      </c>
      <c r="H1815" s="27">
        <v>2004</v>
      </c>
      <c r="I1815" s="27" t="s">
        <v>47</v>
      </c>
      <c r="J1815" s="25">
        <v>37</v>
      </c>
      <c r="K1815" s="25">
        <f>Sales!$B1815-Sales!$J1815</f>
        <v>1.5200000000000031</v>
      </c>
      <c r="L1815" s="28">
        <f>(Sales!$J1815-Sales!$B1815)/Sales!$J1815</f>
        <v>-4.1081081081081168E-2</v>
      </c>
      <c r="M1815" s="28" t="str">
        <f t="shared" si="28"/>
        <v>Below 0%</v>
      </c>
      <c r="N1815" s="27" t="s">
        <v>45</v>
      </c>
      <c r="O1815" s="27" t="s">
        <v>46</v>
      </c>
      <c r="P1815" s="27" t="s">
        <v>17</v>
      </c>
      <c r="Q1815" s="27" t="s">
        <v>14</v>
      </c>
    </row>
    <row r="1816" spans="1:17" x14ac:dyDescent="0.3">
      <c r="A1816" s="22">
        <v>36</v>
      </c>
      <c r="B1816" s="19">
        <v>100</v>
      </c>
      <c r="C1816" s="20">
        <f>Sales!$B1816*Sales!$A1816</f>
        <v>3600</v>
      </c>
      <c r="D1816" s="21">
        <v>38364</v>
      </c>
      <c r="E1816" s="22" t="s">
        <v>88</v>
      </c>
      <c r="F1816" s="22">
        <v>1</v>
      </c>
      <c r="G1816" s="22">
        <v>1</v>
      </c>
      <c r="H1816" s="22">
        <v>2005</v>
      </c>
      <c r="I1816" s="22" t="s">
        <v>47</v>
      </c>
      <c r="J1816" s="20">
        <v>37</v>
      </c>
      <c r="K1816" s="20">
        <f>Sales!$B1816-Sales!$J1816</f>
        <v>63</v>
      </c>
      <c r="L1816" s="23">
        <f>(Sales!$J1816-Sales!$B1816)/Sales!$J1816</f>
        <v>-1.7027027027027026</v>
      </c>
      <c r="M1816" s="23" t="str">
        <f t="shared" si="28"/>
        <v>Below 0%</v>
      </c>
      <c r="N1816" s="22" t="s">
        <v>20</v>
      </c>
      <c r="O1816" s="22" t="s">
        <v>12</v>
      </c>
      <c r="P1816" s="22" t="s">
        <v>13</v>
      </c>
      <c r="Q1816" s="22" t="s">
        <v>19</v>
      </c>
    </row>
    <row r="1817" spans="1:17" x14ac:dyDescent="0.3">
      <c r="A1817" s="27">
        <v>41</v>
      </c>
      <c r="B1817" s="24">
        <v>100</v>
      </c>
      <c r="C1817" s="25">
        <f>Sales!$B1817*Sales!$A1817</f>
        <v>4100</v>
      </c>
      <c r="D1817" s="26">
        <v>38393</v>
      </c>
      <c r="E1817" s="27" t="s">
        <v>9</v>
      </c>
      <c r="F1817" s="27">
        <v>1</v>
      </c>
      <c r="G1817" s="27">
        <v>2</v>
      </c>
      <c r="H1817" s="27">
        <v>2005</v>
      </c>
      <c r="I1817" s="27" t="s">
        <v>47</v>
      </c>
      <c r="J1817" s="25">
        <v>37</v>
      </c>
      <c r="K1817" s="25">
        <f>Sales!$B1817-Sales!$J1817</f>
        <v>63</v>
      </c>
      <c r="L1817" s="28">
        <f>(Sales!$J1817-Sales!$B1817)/Sales!$J1817</f>
        <v>-1.7027027027027026</v>
      </c>
      <c r="M1817" s="28" t="str">
        <f t="shared" si="28"/>
        <v>Below 0%</v>
      </c>
      <c r="N1817" s="27" t="s">
        <v>45</v>
      </c>
      <c r="O1817" s="27" t="s">
        <v>46</v>
      </c>
      <c r="P1817" s="27" t="s">
        <v>17</v>
      </c>
      <c r="Q1817" s="27" t="s">
        <v>19</v>
      </c>
    </row>
    <row r="1818" spans="1:17" x14ac:dyDescent="0.3">
      <c r="A1818" s="22">
        <v>37</v>
      </c>
      <c r="B1818" s="19">
        <v>100</v>
      </c>
      <c r="C1818" s="20">
        <f>Sales!$B1818*Sales!$A1818</f>
        <v>3700</v>
      </c>
      <c r="D1818" s="21">
        <v>38415</v>
      </c>
      <c r="E1818" s="22" t="s">
        <v>9</v>
      </c>
      <c r="F1818" s="22">
        <v>1</v>
      </c>
      <c r="G1818" s="22">
        <v>3</v>
      </c>
      <c r="H1818" s="22">
        <v>2005</v>
      </c>
      <c r="I1818" s="22" t="s">
        <v>47</v>
      </c>
      <c r="J1818" s="20">
        <v>37</v>
      </c>
      <c r="K1818" s="20">
        <f>Sales!$B1818-Sales!$J1818</f>
        <v>63</v>
      </c>
      <c r="L1818" s="23">
        <f>(Sales!$J1818-Sales!$B1818)/Sales!$J1818</f>
        <v>-1.7027027027027026</v>
      </c>
      <c r="M1818" s="23" t="str">
        <f t="shared" si="28"/>
        <v>Below 0%</v>
      </c>
      <c r="N1818" s="22" t="s">
        <v>64</v>
      </c>
      <c r="O1818" s="22" t="s">
        <v>12</v>
      </c>
      <c r="P1818" s="22" t="s">
        <v>13</v>
      </c>
      <c r="Q1818" s="22" t="s">
        <v>19</v>
      </c>
    </row>
    <row r="1819" spans="1:17" x14ac:dyDescent="0.3">
      <c r="A1819" s="27">
        <v>47</v>
      </c>
      <c r="B1819" s="24">
        <v>44.56</v>
      </c>
      <c r="C1819" s="25">
        <f>Sales!$B1819*Sales!$A1819</f>
        <v>2094.3200000000002</v>
      </c>
      <c r="D1819" s="26">
        <v>38456</v>
      </c>
      <c r="E1819" s="27" t="s">
        <v>9</v>
      </c>
      <c r="F1819" s="27">
        <v>2</v>
      </c>
      <c r="G1819" s="27">
        <v>4</v>
      </c>
      <c r="H1819" s="27">
        <v>2005</v>
      </c>
      <c r="I1819" s="27" t="s">
        <v>47</v>
      </c>
      <c r="J1819" s="25">
        <v>37</v>
      </c>
      <c r="K1819" s="25">
        <f>Sales!$B1819-Sales!$J1819</f>
        <v>7.5600000000000023</v>
      </c>
      <c r="L1819" s="28">
        <f>(Sales!$J1819-Sales!$B1819)/Sales!$J1819</f>
        <v>-0.20432432432432437</v>
      </c>
      <c r="M1819" s="28" t="str">
        <f t="shared" si="28"/>
        <v>Below 0%</v>
      </c>
      <c r="N1819" s="27" t="s">
        <v>108</v>
      </c>
      <c r="O1819" s="27" t="s">
        <v>16</v>
      </c>
      <c r="P1819" s="27" t="s">
        <v>17</v>
      </c>
      <c r="Q1819" s="27" t="s">
        <v>14</v>
      </c>
    </row>
    <row r="1820" spans="1:17" x14ac:dyDescent="0.3">
      <c r="A1820" s="22">
        <v>15</v>
      </c>
      <c r="B1820" s="19">
        <v>42.67</v>
      </c>
      <c r="C1820" s="20">
        <f>Sales!$B1820*Sales!$A1820</f>
        <v>640.05000000000007</v>
      </c>
      <c r="D1820" s="21">
        <v>38489</v>
      </c>
      <c r="E1820" s="22" t="s">
        <v>9</v>
      </c>
      <c r="F1820" s="22">
        <v>2</v>
      </c>
      <c r="G1820" s="22">
        <v>5</v>
      </c>
      <c r="H1820" s="22">
        <v>2005</v>
      </c>
      <c r="I1820" s="22" t="s">
        <v>47</v>
      </c>
      <c r="J1820" s="20">
        <v>37</v>
      </c>
      <c r="K1820" s="20">
        <f>Sales!$B1820-Sales!$J1820</f>
        <v>5.6700000000000017</v>
      </c>
      <c r="L1820" s="23">
        <f>(Sales!$J1820-Sales!$B1820)/Sales!$J1820</f>
        <v>-0.15324324324324329</v>
      </c>
      <c r="M1820" s="23" t="str">
        <f t="shared" si="28"/>
        <v>Below 0%</v>
      </c>
      <c r="N1820" s="22" t="s">
        <v>37</v>
      </c>
      <c r="O1820" s="22" t="s">
        <v>38</v>
      </c>
      <c r="P1820" s="22" t="s">
        <v>17</v>
      </c>
      <c r="Q1820" s="22" t="s">
        <v>14</v>
      </c>
    </row>
    <row r="1821" spans="1:17" x14ac:dyDescent="0.3">
      <c r="A1821" s="27">
        <v>44</v>
      </c>
      <c r="B1821" s="24">
        <v>72.58</v>
      </c>
      <c r="C1821" s="25">
        <f>Sales!$B1821*Sales!$A1821</f>
        <v>3193.52</v>
      </c>
      <c r="D1821" s="26">
        <v>37663</v>
      </c>
      <c r="E1821" s="27" t="s">
        <v>9</v>
      </c>
      <c r="F1821" s="27">
        <v>1</v>
      </c>
      <c r="G1821" s="27">
        <v>2</v>
      </c>
      <c r="H1821" s="27">
        <v>2003</v>
      </c>
      <c r="I1821" s="27" t="s">
        <v>112</v>
      </c>
      <c r="J1821" s="25">
        <v>88</v>
      </c>
      <c r="K1821" s="25">
        <f>Sales!$B1821-Sales!$J1821</f>
        <v>-15.420000000000002</v>
      </c>
      <c r="L1821" s="28">
        <f>(Sales!$J1821-Sales!$B1821)/Sales!$J1821</f>
        <v>0.17522727272727276</v>
      </c>
      <c r="M1821" s="28" t="str">
        <f t="shared" si="28"/>
        <v>15%-20%</v>
      </c>
      <c r="N1821" s="27" t="s">
        <v>72</v>
      </c>
      <c r="O1821" s="27" t="s">
        <v>73</v>
      </c>
      <c r="P1821" s="27" t="s">
        <v>17</v>
      </c>
      <c r="Q1821" s="27" t="s">
        <v>19</v>
      </c>
    </row>
    <row r="1822" spans="1:17" x14ac:dyDescent="0.3">
      <c r="A1822" s="22">
        <v>35</v>
      </c>
      <c r="B1822" s="19">
        <v>87.62</v>
      </c>
      <c r="C1822" s="20">
        <f>Sales!$B1822*Sales!$A1822</f>
        <v>3066.7000000000003</v>
      </c>
      <c r="D1822" s="21">
        <v>37739</v>
      </c>
      <c r="E1822" s="22" t="s">
        <v>9</v>
      </c>
      <c r="F1822" s="22">
        <v>2</v>
      </c>
      <c r="G1822" s="22">
        <v>4</v>
      </c>
      <c r="H1822" s="22">
        <v>2003</v>
      </c>
      <c r="I1822" s="22" t="s">
        <v>112</v>
      </c>
      <c r="J1822" s="20">
        <v>88</v>
      </c>
      <c r="K1822" s="20">
        <f>Sales!$B1822-Sales!$J1822</f>
        <v>-0.37999999999999545</v>
      </c>
      <c r="L1822" s="23">
        <f>(Sales!$J1822-Sales!$B1822)/Sales!$J1822</f>
        <v>4.3181818181817662E-3</v>
      </c>
      <c r="M1822" s="23" t="s">
        <v>130</v>
      </c>
      <c r="N1822" s="22" t="s">
        <v>37</v>
      </c>
      <c r="O1822" s="22" t="s">
        <v>38</v>
      </c>
      <c r="P1822" s="22" t="s">
        <v>17</v>
      </c>
      <c r="Q1822" s="22" t="s">
        <v>19</v>
      </c>
    </row>
    <row r="1823" spans="1:17" x14ac:dyDescent="0.3">
      <c r="A1823" s="27">
        <v>41</v>
      </c>
      <c r="B1823" s="24">
        <v>94.71</v>
      </c>
      <c r="C1823" s="25">
        <f>Sales!$B1823*Sales!$A1823</f>
        <v>3883.1099999999997</v>
      </c>
      <c r="D1823" s="26">
        <v>37784</v>
      </c>
      <c r="E1823" s="27" t="s">
        <v>9</v>
      </c>
      <c r="F1823" s="27">
        <v>2</v>
      </c>
      <c r="G1823" s="27">
        <v>6</v>
      </c>
      <c r="H1823" s="27">
        <v>2003</v>
      </c>
      <c r="I1823" s="27" t="s">
        <v>112</v>
      </c>
      <c r="J1823" s="25">
        <v>88</v>
      </c>
      <c r="K1823" s="25">
        <f>Sales!$B1823-Sales!$J1823</f>
        <v>6.7099999999999937</v>
      </c>
      <c r="L1823" s="28">
        <f>(Sales!$J1823-Sales!$B1823)/Sales!$J1823</f>
        <v>-7.6249999999999929E-2</v>
      </c>
      <c r="M1823" s="28" t="str">
        <f t="shared" si="28"/>
        <v>Below 0%</v>
      </c>
      <c r="N1823" s="27" t="s">
        <v>74</v>
      </c>
      <c r="O1823" s="27" t="s">
        <v>43</v>
      </c>
      <c r="P1823" s="27" t="s">
        <v>17</v>
      </c>
      <c r="Q1823" s="27" t="s">
        <v>19</v>
      </c>
    </row>
    <row r="1824" spans="1:17" x14ac:dyDescent="0.3">
      <c r="A1824" s="22">
        <v>49</v>
      </c>
      <c r="B1824" s="19">
        <v>98.25</v>
      </c>
      <c r="C1824" s="20">
        <f>Sales!$B1824*Sales!$A1824</f>
        <v>4814.25</v>
      </c>
      <c r="D1824" s="21">
        <v>37841</v>
      </c>
      <c r="E1824" s="22" t="s">
        <v>9</v>
      </c>
      <c r="F1824" s="22">
        <v>3</v>
      </c>
      <c r="G1824" s="22">
        <v>8</v>
      </c>
      <c r="H1824" s="22">
        <v>2003</v>
      </c>
      <c r="I1824" s="22" t="s">
        <v>112</v>
      </c>
      <c r="J1824" s="20">
        <v>88</v>
      </c>
      <c r="K1824" s="20">
        <f>Sales!$B1824-Sales!$J1824</f>
        <v>10.25</v>
      </c>
      <c r="L1824" s="23">
        <f>(Sales!$J1824-Sales!$B1824)/Sales!$J1824</f>
        <v>-0.11647727272727272</v>
      </c>
      <c r="M1824" s="23" t="str">
        <f t="shared" si="28"/>
        <v>Below 0%</v>
      </c>
      <c r="N1824" s="22" t="s">
        <v>64</v>
      </c>
      <c r="O1824" s="22" t="s">
        <v>12</v>
      </c>
      <c r="P1824" s="22" t="s">
        <v>13</v>
      </c>
      <c r="Q1824" s="22" t="s">
        <v>19</v>
      </c>
    </row>
    <row r="1825" spans="1:17" x14ac:dyDescent="0.3">
      <c r="A1825" s="27">
        <v>31</v>
      </c>
      <c r="B1825" s="24">
        <v>91.17</v>
      </c>
      <c r="C1825" s="25">
        <f>Sales!$B1825*Sales!$A1825</f>
        <v>2826.27</v>
      </c>
      <c r="D1825" s="26">
        <v>37896</v>
      </c>
      <c r="E1825" s="27" t="s">
        <v>9</v>
      </c>
      <c r="F1825" s="27">
        <v>4</v>
      </c>
      <c r="G1825" s="27">
        <v>10</v>
      </c>
      <c r="H1825" s="27">
        <v>2003</v>
      </c>
      <c r="I1825" s="27" t="s">
        <v>112</v>
      </c>
      <c r="J1825" s="25">
        <v>88</v>
      </c>
      <c r="K1825" s="25">
        <f>Sales!$B1825-Sales!$J1825</f>
        <v>3.1700000000000017</v>
      </c>
      <c r="L1825" s="28">
        <f>(Sales!$J1825-Sales!$B1825)/Sales!$J1825</f>
        <v>-3.602272727272729E-2</v>
      </c>
      <c r="M1825" s="28" t="str">
        <f t="shared" si="28"/>
        <v>Below 0%</v>
      </c>
      <c r="N1825" s="27" t="s">
        <v>105</v>
      </c>
      <c r="O1825" s="27" t="s">
        <v>12</v>
      </c>
      <c r="P1825" s="27" t="s">
        <v>13</v>
      </c>
      <c r="Q1825" s="27" t="s">
        <v>14</v>
      </c>
    </row>
    <row r="1826" spans="1:17" x14ac:dyDescent="0.3">
      <c r="A1826" s="22">
        <v>20</v>
      </c>
      <c r="B1826" s="19">
        <v>79.66</v>
      </c>
      <c r="C1826" s="20">
        <f>Sales!$B1826*Sales!$A1826</f>
        <v>1593.1999999999998</v>
      </c>
      <c r="D1826" s="21">
        <v>37917</v>
      </c>
      <c r="E1826" s="22" t="s">
        <v>75</v>
      </c>
      <c r="F1826" s="22">
        <v>4</v>
      </c>
      <c r="G1826" s="22">
        <v>10</v>
      </c>
      <c r="H1826" s="22">
        <v>2003</v>
      </c>
      <c r="I1826" s="22" t="s">
        <v>112</v>
      </c>
      <c r="J1826" s="20">
        <v>88</v>
      </c>
      <c r="K1826" s="20">
        <f>Sales!$B1826-Sales!$J1826</f>
        <v>-8.3400000000000034</v>
      </c>
      <c r="L1826" s="23">
        <f>(Sales!$J1826-Sales!$B1826)/Sales!$J1826</f>
        <v>9.4772727272727314E-2</v>
      </c>
      <c r="M1826" s="23" t="str">
        <f t="shared" si="28"/>
        <v>5%-10%</v>
      </c>
      <c r="N1826" s="22" t="s">
        <v>62</v>
      </c>
      <c r="O1826" s="22" t="s">
        <v>49</v>
      </c>
      <c r="P1826" s="22" t="s">
        <v>17</v>
      </c>
      <c r="Q1826" s="22" t="s">
        <v>14</v>
      </c>
    </row>
    <row r="1827" spans="1:17" x14ac:dyDescent="0.3">
      <c r="A1827" s="27">
        <v>45</v>
      </c>
      <c r="B1827" s="24">
        <v>72.58</v>
      </c>
      <c r="C1827" s="25">
        <f>Sales!$B1827*Sales!$A1827</f>
        <v>3266.1</v>
      </c>
      <c r="D1827" s="26">
        <v>37932</v>
      </c>
      <c r="E1827" s="27" t="s">
        <v>9</v>
      </c>
      <c r="F1827" s="27">
        <v>4</v>
      </c>
      <c r="G1827" s="27">
        <v>11</v>
      </c>
      <c r="H1827" s="27">
        <v>2003</v>
      </c>
      <c r="I1827" s="27" t="s">
        <v>112</v>
      </c>
      <c r="J1827" s="25">
        <v>88</v>
      </c>
      <c r="K1827" s="25">
        <f>Sales!$B1827-Sales!$J1827</f>
        <v>-15.420000000000002</v>
      </c>
      <c r="L1827" s="28">
        <f>(Sales!$J1827-Sales!$B1827)/Sales!$J1827</f>
        <v>0.17522727272727276</v>
      </c>
      <c r="M1827" s="28" t="str">
        <f t="shared" si="28"/>
        <v>15%-20%</v>
      </c>
      <c r="N1827" s="27" t="s">
        <v>45</v>
      </c>
      <c r="O1827" s="27" t="s">
        <v>46</v>
      </c>
      <c r="P1827" s="27" t="s">
        <v>17</v>
      </c>
      <c r="Q1827" s="27" t="s">
        <v>19</v>
      </c>
    </row>
    <row r="1828" spans="1:17" x14ac:dyDescent="0.3">
      <c r="A1828" s="22">
        <v>33</v>
      </c>
      <c r="B1828" s="19">
        <v>74.349999999999994</v>
      </c>
      <c r="C1828" s="20">
        <f>Sales!$B1828*Sales!$A1828</f>
        <v>2453.5499999999997</v>
      </c>
      <c r="D1828" s="21">
        <v>37939</v>
      </c>
      <c r="E1828" s="22" t="s">
        <v>9</v>
      </c>
      <c r="F1828" s="22">
        <v>4</v>
      </c>
      <c r="G1828" s="22">
        <v>11</v>
      </c>
      <c r="H1828" s="22">
        <v>2003</v>
      </c>
      <c r="I1828" s="22" t="s">
        <v>112</v>
      </c>
      <c r="J1828" s="20">
        <v>88</v>
      </c>
      <c r="K1828" s="20">
        <f>Sales!$B1828-Sales!$J1828</f>
        <v>-13.650000000000006</v>
      </c>
      <c r="L1828" s="23">
        <f>(Sales!$J1828-Sales!$B1828)/Sales!$J1828</f>
        <v>0.15511363636363643</v>
      </c>
      <c r="M1828" s="23" t="str">
        <f t="shared" si="28"/>
        <v>15%-20%</v>
      </c>
      <c r="N1828" s="22" t="s">
        <v>41</v>
      </c>
      <c r="O1828" s="22" t="s">
        <v>12</v>
      </c>
      <c r="P1828" s="22" t="s">
        <v>13</v>
      </c>
      <c r="Q1828" s="22" t="s">
        <v>14</v>
      </c>
    </row>
    <row r="1829" spans="1:17" x14ac:dyDescent="0.3">
      <c r="A1829" s="27">
        <v>47</v>
      </c>
      <c r="B1829" s="24">
        <v>83.2</v>
      </c>
      <c r="C1829" s="25">
        <f>Sales!$B1829*Sales!$A1829</f>
        <v>3910.4</v>
      </c>
      <c r="D1829" s="26">
        <v>37951</v>
      </c>
      <c r="E1829" s="27" t="s">
        <v>9</v>
      </c>
      <c r="F1829" s="27">
        <v>4</v>
      </c>
      <c r="G1829" s="27">
        <v>11</v>
      </c>
      <c r="H1829" s="27">
        <v>2003</v>
      </c>
      <c r="I1829" s="27" t="s">
        <v>112</v>
      </c>
      <c r="J1829" s="25">
        <v>88</v>
      </c>
      <c r="K1829" s="25">
        <f>Sales!$B1829-Sales!$J1829</f>
        <v>-4.7999999999999972</v>
      </c>
      <c r="L1829" s="28">
        <f>(Sales!$J1829-Sales!$B1829)/Sales!$J1829</f>
        <v>5.4545454545454515E-2</v>
      </c>
      <c r="M1829" s="28" t="s">
        <v>131</v>
      </c>
      <c r="N1829" s="27" t="s">
        <v>77</v>
      </c>
      <c r="O1829" s="27" t="s">
        <v>46</v>
      </c>
      <c r="P1829" s="27" t="s">
        <v>17</v>
      </c>
      <c r="Q1829" s="27" t="s">
        <v>19</v>
      </c>
    </row>
    <row r="1830" spans="1:17" x14ac:dyDescent="0.3">
      <c r="A1830" s="22">
        <v>20</v>
      </c>
      <c r="B1830" s="19">
        <v>89.4</v>
      </c>
      <c r="C1830" s="20">
        <f>Sales!$B1830*Sales!$A1830</f>
        <v>1788</v>
      </c>
      <c r="D1830" s="21">
        <v>37988</v>
      </c>
      <c r="E1830" s="22" t="s">
        <v>9</v>
      </c>
      <c r="F1830" s="22">
        <v>1</v>
      </c>
      <c r="G1830" s="22">
        <v>1</v>
      </c>
      <c r="H1830" s="22">
        <v>2004</v>
      </c>
      <c r="I1830" s="22" t="s">
        <v>112</v>
      </c>
      <c r="J1830" s="20">
        <v>88</v>
      </c>
      <c r="K1830" s="20">
        <f>Sales!$B1830-Sales!$J1830</f>
        <v>1.4000000000000057</v>
      </c>
      <c r="L1830" s="23">
        <f>(Sales!$J1830-Sales!$B1830)/Sales!$J1830</f>
        <v>-1.5909090909090973E-2</v>
      </c>
      <c r="M1830" s="23" t="str">
        <f t="shared" si="28"/>
        <v>Below 0%</v>
      </c>
      <c r="N1830" s="22" t="s">
        <v>54</v>
      </c>
      <c r="O1830" s="22" t="s">
        <v>16</v>
      </c>
      <c r="P1830" s="22" t="s">
        <v>17</v>
      </c>
      <c r="Q1830" s="22" t="s">
        <v>14</v>
      </c>
    </row>
    <row r="1831" spans="1:17" x14ac:dyDescent="0.3">
      <c r="A1831" s="27">
        <v>47</v>
      </c>
      <c r="B1831" s="24">
        <v>70.81</v>
      </c>
      <c r="C1831" s="25">
        <f>Sales!$B1831*Sales!$A1831</f>
        <v>3328.07</v>
      </c>
      <c r="D1831" s="26">
        <v>38036</v>
      </c>
      <c r="E1831" s="27" t="s">
        <v>9</v>
      </c>
      <c r="F1831" s="27">
        <v>1</v>
      </c>
      <c r="G1831" s="27">
        <v>2</v>
      </c>
      <c r="H1831" s="27">
        <v>2004</v>
      </c>
      <c r="I1831" s="27" t="s">
        <v>112</v>
      </c>
      <c r="J1831" s="25">
        <v>88</v>
      </c>
      <c r="K1831" s="25">
        <f>Sales!$B1831-Sales!$J1831</f>
        <v>-17.189999999999998</v>
      </c>
      <c r="L1831" s="28">
        <f>(Sales!$J1831-Sales!$B1831)/Sales!$J1831</f>
        <v>0.19534090909090907</v>
      </c>
      <c r="M1831" s="28" t="str">
        <f t="shared" si="28"/>
        <v>15%-20%</v>
      </c>
      <c r="N1831" s="27" t="s">
        <v>79</v>
      </c>
      <c r="O1831" s="27" t="s">
        <v>12</v>
      </c>
      <c r="P1831" s="27" t="s">
        <v>13</v>
      </c>
      <c r="Q1831" s="27" t="s">
        <v>19</v>
      </c>
    </row>
    <row r="1832" spans="1:17" x14ac:dyDescent="0.3">
      <c r="A1832" s="22">
        <v>40</v>
      </c>
      <c r="B1832" s="19">
        <v>94.71</v>
      </c>
      <c r="C1832" s="20">
        <f>Sales!$B1832*Sales!$A1832</f>
        <v>3788.3999999999996</v>
      </c>
      <c r="D1832" s="21">
        <v>38075</v>
      </c>
      <c r="E1832" s="22" t="s">
        <v>9</v>
      </c>
      <c r="F1832" s="22">
        <v>1</v>
      </c>
      <c r="G1832" s="22">
        <v>3</v>
      </c>
      <c r="H1832" s="22">
        <v>2004</v>
      </c>
      <c r="I1832" s="22" t="s">
        <v>112</v>
      </c>
      <c r="J1832" s="20">
        <v>88</v>
      </c>
      <c r="K1832" s="20">
        <f>Sales!$B1832-Sales!$J1832</f>
        <v>6.7099999999999937</v>
      </c>
      <c r="L1832" s="23">
        <f>(Sales!$J1832-Sales!$B1832)/Sales!$J1832</f>
        <v>-7.6249999999999929E-2</v>
      </c>
      <c r="M1832" s="23" t="str">
        <f t="shared" si="28"/>
        <v>Below 0%</v>
      </c>
      <c r="N1832" s="22" t="s">
        <v>29</v>
      </c>
      <c r="O1832" s="22" t="s">
        <v>12</v>
      </c>
      <c r="P1832" s="22" t="s">
        <v>13</v>
      </c>
      <c r="Q1832" s="22" t="s">
        <v>19</v>
      </c>
    </row>
    <row r="1833" spans="1:17" x14ac:dyDescent="0.3">
      <c r="A1833" s="27">
        <v>30</v>
      </c>
      <c r="B1833" s="24">
        <v>100</v>
      </c>
      <c r="C1833" s="25">
        <f>Sales!$B1833*Sales!$A1833</f>
        <v>3000</v>
      </c>
      <c r="D1833" s="26">
        <v>38114</v>
      </c>
      <c r="E1833" s="27" t="s">
        <v>75</v>
      </c>
      <c r="F1833" s="27">
        <v>2</v>
      </c>
      <c r="G1833" s="27">
        <v>5</v>
      </c>
      <c r="H1833" s="27">
        <v>2004</v>
      </c>
      <c r="I1833" s="27" t="s">
        <v>112</v>
      </c>
      <c r="J1833" s="25">
        <v>88</v>
      </c>
      <c r="K1833" s="25">
        <f>Sales!$B1833-Sales!$J1833</f>
        <v>12</v>
      </c>
      <c r="L1833" s="28">
        <f>(Sales!$J1833-Sales!$B1833)/Sales!$J1833</f>
        <v>-0.13636363636363635</v>
      </c>
      <c r="M1833" s="28" t="str">
        <f t="shared" si="28"/>
        <v>Below 0%</v>
      </c>
      <c r="N1833" s="27" t="s">
        <v>11</v>
      </c>
      <c r="O1833" s="27" t="s">
        <v>12</v>
      </c>
      <c r="P1833" s="27" t="s">
        <v>13</v>
      </c>
      <c r="Q1833" s="27" t="s">
        <v>19</v>
      </c>
    </row>
    <row r="1834" spans="1:17" x14ac:dyDescent="0.3">
      <c r="A1834" s="22">
        <v>22</v>
      </c>
      <c r="B1834" s="19">
        <v>91.17</v>
      </c>
      <c r="C1834" s="20">
        <f>Sales!$B1834*Sales!$A1834</f>
        <v>2005.74</v>
      </c>
      <c r="D1834" s="21">
        <v>38155</v>
      </c>
      <c r="E1834" s="22" t="s">
        <v>9</v>
      </c>
      <c r="F1834" s="22">
        <v>2</v>
      </c>
      <c r="G1834" s="22">
        <v>6</v>
      </c>
      <c r="H1834" s="22">
        <v>2004</v>
      </c>
      <c r="I1834" s="22" t="s">
        <v>112</v>
      </c>
      <c r="J1834" s="20">
        <v>88</v>
      </c>
      <c r="K1834" s="20">
        <f>Sales!$B1834-Sales!$J1834</f>
        <v>3.1700000000000017</v>
      </c>
      <c r="L1834" s="23">
        <f>(Sales!$J1834-Sales!$B1834)/Sales!$J1834</f>
        <v>-3.602272727272729E-2</v>
      </c>
      <c r="M1834" s="23" t="str">
        <f t="shared" si="28"/>
        <v>Below 0%</v>
      </c>
      <c r="N1834" s="22" t="s">
        <v>68</v>
      </c>
      <c r="O1834" s="22" t="s">
        <v>56</v>
      </c>
      <c r="P1834" s="22" t="s">
        <v>13</v>
      </c>
      <c r="Q1834" s="22" t="s">
        <v>14</v>
      </c>
    </row>
    <row r="1835" spans="1:17" x14ac:dyDescent="0.3">
      <c r="A1835" s="27">
        <v>27</v>
      </c>
      <c r="B1835" s="24">
        <v>100</v>
      </c>
      <c r="C1835" s="25">
        <f>Sales!$B1835*Sales!$A1835</f>
        <v>2700</v>
      </c>
      <c r="D1835" s="26">
        <v>38189</v>
      </c>
      <c r="E1835" s="27" t="s">
        <v>9</v>
      </c>
      <c r="F1835" s="27">
        <v>3</v>
      </c>
      <c r="G1835" s="27">
        <v>7</v>
      </c>
      <c r="H1835" s="27">
        <v>2004</v>
      </c>
      <c r="I1835" s="27" t="s">
        <v>112</v>
      </c>
      <c r="J1835" s="25">
        <v>88</v>
      </c>
      <c r="K1835" s="25">
        <f>Sales!$B1835-Sales!$J1835</f>
        <v>12</v>
      </c>
      <c r="L1835" s="28">
        <f>(Sales!$J1835-Sales!$B1835)/Sales!$J1835</f>
        <v>-0.13636363636363635</v>
      </c>
      <c r="M1835" s="28" t="str">
        <f t="shared" si="28"/>
        <v>Below 0%</v>
      </c>
      <c r="N1835" s="27" t="s">
        <v>80</v>
      </c>
      <c r="O1835" s="27" t="s">
        <v>81</v>
      </c>
      <c r="P1835" s="27" t="s">
        <v>17</v>
      </c>
      <c r="Q1835" s="27" t="s">
        <v>14</v>
      </c>
    </row>
    <row r="1836" spans="1:17" x14ac:dyDescent="0.3">
      <c r="A1836" s="22">
        <v>34</v>
      </c>
      <c r="B1836" s="19">
        <v>92.94</v>
      </c>
      <c r="C1836" s="20">
        <f>Sales!$B1836*Sales!$A1836</f>
        <v>3159.96</v>
      </c>
      <c r="D1836" s="21">
        <v>38219</v>
      </c>
      <c r="E1836" s="22" t="s">
        <v>9</v>
      </c>
      <c r="F1836" s="22">
        <v>3</v>
      </c>
      <c r="G1836" s="22">
        <v>8</v>
      </c>
      <c r="H1836" s="22">
        <v>2004</v>
      </c>
      <c r="I1836" s="22" t="s">
        <v>112</v>
      </c>
      <c r="J1836" s="20">
        <v>88</v>
      </c>
      <c r="K1836" s="20">
        <f>Sales!$B1836-Sales!$J1836</f>
        <v>4.9399999999999977</v>
      </c>
      <c r="L1836" s="23">
        <f>(Sales!$J1836-Sales!$B1836)/Sales!$J1836</f>
        <v>-5.6136363636363609E-2</v>
      </c>
      <c r="M1836" s="23" t="str">
        <f t="shared" si="28"/>
        <v>Below 0%</v>
      </c>
      <c r="N1836" s="22" t="s">
        <v>82</v>
      </c>
      <c r="O1836" s="22" t="s">
        <v>56</v>
      </c>
      <c r="P1836" s="22" t="s">
        <v>13</v>
      </c>
      <c r="Q1836" s="22" t="s">
        <v>19</v>
      </c>
    </row>
    <row r="1837" spans="1:17" x14ac:dyDescent="0.3">
      <c r="A1837" s="27">
        <v>46</v>
      </c>
      <c r="B1837" s="24">
        <v>84.97</v>
      </c>
      <c r="C1837" s="25">
        <f>Sales!$B1837*Sales!$A1837</f>
        <v>3908.62</v>
      </c>
      <c r="D1837" s="26">
        <v>38240</v>
      </c>
      <c r="E1837" s="27" t="s">
        <v>9</v>
      </c>
      <c r="F1837" s="27">
        <v>3</v>
      </c>
      <c r="G1837" s="27">
        <v>9</v>
      </c>
      <c r="H1837" s="27">
        <v>2004</v>
      </c>
      <c r="I1837" s="27" t="s">
        <v>112</v>
      </c>
      <c r="J1837" s="25">
        <v>88</v>
      </c>
      <c r="K1837" s="25">
        <f>Sales!$B1837-Sales!$J1837</f>
        <v>-3.0300000000000011</v>
      </c>
      <c r="L1837" s="28">
        <f>(Sales!$J1837-Sales!$B1837)/Sales!$J1837</f>
        <v>3.4431818181818195E-2</v>
      </c>
      <c r="M1837" s="28" t="str">
        <f t="shared" si="28"/>
        <v>0%-5%</v>
      </c>
      <c r="N1837" s="27" t="s">
        <v>83</v>
      </c>
      <c r="O1837" s="27" t="s">
        <v>12</v>
      </c>
      <c r="P1837" s="27" t="s">
        <v>13</v>
      </c>
      <c r="Q1837" s="27" t="s">
        <v>19</v>
      </c>
    </row>
    <row r="1838" spans="1:17" x14ac:dyDescent="0.3">
      <c r="A1838" s="22">
        <v>31</v>
      </c>
      <c r="B1838" s="19">
        <v>84.08</v>
      </c>
      <c r="C1838" s="20">
        <f>Sales!$B1838*Sales!$A1838</f>
        <v>2606.48</v>
      </c>
      <c r="D1838" s="21">
        <v>38274</v>
      </c>
      <c r="E1838" s="22" t="s">
        <v>9</v>
      </c>
      <c r="F1838" s="22">
        <v>4</v>
      </c>
      <c r="G1838" s="22">
        <v>10</v>
      </c>
      <c r="H1838" s="22">
        <v>2004</v>
      </c>
      <c r="I1838" s="22" t="s">
        <v>112</v>
      </c>
      <c r="J1838" s="20">
        <v>88</v>
      </c>
      <c r="K1838" s="20">
        <f>Sales!$B1838-Sales!$J1838</f>
        <v>-3.9200000000000017</v>
      </c>
      <c r="L1838" s="23">
        <f>(Sales!$J1838-Sales!$B1838)/Sales!$J1838</f>
        <v>4.4545454545454562E-2</v>
      </c>
      <c r="M1838" s="23" t="str">
        <f t="shared" si="28"/>
        <v>0%-5%</v>
      </c>
      <c r="N1838" s="22" t="s">
        <v>102</v>
      </c>
      <c r="O1838" s="22" t="s">
        <v>43</v>
      </c>
      <c r="P1838" s="22" t="s">
        <v>17</v>
      </c>
      <c r="Q1838" s="22" t="s">
        <v>14</v>
      </c>
    </row>
    <row r="1839" spans="1:17" x14ac:dyDescent="0.3">
      <c r="A1839" s="27">
        <v>24</v>
      </c>
      <c r="B1839" s="24">
        <v>86.74</v>
      </c>
      <c r="C1839" s="25">
        <f>Sales!$B1839*Sales!$A1839</f>
        <v>2081.7599999999998</v>
      </c>
      <c r="D1839" s="26">
        <v>38289</v>
      </c>
      <c r="E1839" s="27" t="s">
        <v>9</v>
      </c>
      <c r="F1839" s="27">
        <v>4</v>
      </c>
      <c r="G1839" s="27">
        <v>10</v>
      </c>
      <c r="H1839" s="27">
        <v>2004</v>
      </c>
      <c r="I1839" s="27" t="s">
        <v>112</v>
      </c>
      <c r="J1839" s="25">
        <v>88</v>
      </c>
      <c r="K1839" s="25">
        <f>Sales!$B1839-Sales!$J1839</f>
        <v>-1.2600000000000051</v>
      </c>
      <c r="L1839" s="28">
        <f>(Sales!$J1839-Sales!$B1839)/Sales!$J1839</f>
        <v>1.4318181818181876E-2</v>
      </c>
      <c r="M1839" s="28" t="str">
        <f t="shared" si="28"/>
        <v>0%-5%</v>
      </c>
      <c r="N1839" s="27" t="s">
        <v>31</v>
      </c>
      <c r="O1839" s="27" t="s">
        <v>16</v>
      </c>
      <c r="P1839" s="27" t="s">
        <v>17</v>
      </c>
      <c r="Q1839" s="27" t="s">
        <v>14</v>
      </c>
    </row>
    <row r="1840" spans="1:17" x14ac:dyDescent="0.3">
      <c r="A1840" s="22">
        <v>41</v>
      </c>
      <c r="B1840" s="19">
        <v>85.85</v>
      </c>
      <c r="C1840" s="20">
        <f>Sales!$B1840*Sales!$A1840</f>
        <v>3519.85</v>
      </c>
      <c r="D1840" s="21">
        <v>38300</v>
      </c>
      <c r="E1840" s="22" t="s">
        <v>9</v>
      </c>
      <c r="F1840" s="22">
        <v>4</v>
      </c>
      <c r="G1840" s="22">
        <v>11</v>
      </c>
      <c r="H1840" s="22">
        <v>2004</v>
      </c>
      <c r="I1840" s="22" t="s">
        <v>112</v>
      </c>
      <c r="J1840" s="20">
        <v>88</v>
      </c>
      <c r="K1840" s="20">
        <f>Sales!$B1840-Sales!$J1840</f>
        <v>-2.1500000000000057</v>
      </c>
      <c r="L1840" s="23">
        <f>(Sales!$J1840-Sales!$B1840)/Sales!$J1840</f>
        <v>2.4431818181818245E-2</v>
      </c>
      <c r="M1840" s="23" t="str">
        <f t="shared" si="28"/>
        <v>0%-5%</v>
      </c>
      <c r="N1840" s="22" t="s">
        <v>48</v>
      </c>
      <c r="O1840" s="22" t="s">
        <v>49</v>
      </c>
      <c r="P1840" s="22" t="s">
        <v>17</v>
      </c>
      <c r="Q1840" s="22" t="s">
        <v>19</v>
      </c>
    </row>
    <row r="1841" spans="1:17" x14ac:dyDescent="0.3">
      <c r="A1841" s="27">
        <v>55</v>
      </c>
      <c r="B1841" s="24">
        <v>100</v>
      </c>
      <c r="C1841" s="25">
        <f>Sales!$B1841*Sales!$A1841</f>
        <v>5500</v>
      </c>
      <c r="D1841" s="26">
        <v>38314</v>
      </c>
      <c r="E1841" s="27" t="s">
        <v>9</v>
      </c>
      <c r="F1841" s="27">
        <v>4</v>
      </c>
      <c r="G1841" s="27">
        <v>11</v>
      </c>
      <c r="H1841" s="27">
        <v>2004</v>
      </c>
      <c r="I1841" s="27" t="s">
        <v>112</v>
      </c>
      <c r="J1841" s="25">
        <v>88</v>
      </c>
      <c r="K1841" s="25">
        <f>Sales!$B1841-Sales!$J1841</f>
        <v>12</v>
      </c>
      <c r="L1841" s="28">
        <f>(Sales!$J1841-Sales!$B1841)/Sales!$J1841</f>
        <v>-0.13636363636363635</v>
      </c>
      <c r="M1841" s="28" t="str">
        <f t="shared" si="28"/>
        <v>Below 0%</v>
      </c>
      <c r="N1841" s="27" t="s">
        <v>59</v>
      </c>
      <c r="O1841" s="27" t="s">
        <v>51</v>
      </c>
      <c r="P1841" s="27" t="s">
        <v>51</v>
      </c>
      <c r="Q1841" s="27" t="s">
        <v>39</v>
      </c>
    </row>
    <row r="1842" spans="1:17" x14ac:dyDescent="0.3">
      <c r="A1842" s="22">
        <v>30</v>
      </c>
      <c r="B1842" s="19">
        <v>100</v>
      </c>
      <c r="C1842" s="20">
        <f>Sales!$B1842*Sales!$A1842</f>
        <v>3000</v>
      </c>
      <c r="D1842" s="21">
        <v>38323</v>
      </c>
      <c r="E1842" s="22" t="s">
        <v>9</v>
      </c>
      <c r="F1842" s="22">
        <v>4</v>
      </c>
      <c r="G1842" s="22">
        <v>12</v>
      </c>
      <c r="H1842" s="22">
        <v>2004</v>
      </c>
      <c r="I1842" s="22" t="s">
        <v>112</v>
      </c>
      <c r="J1842" s="20">
        <v>88</v>
      </c>
      <c r="K1842" s="20">
        <f>Sales!$B1842-Sales!$J1842</f>
        <v>12</v>
      </c>
      <c r="L1842" s="23">
        <f>(Sales!$J1842-Sales!$B1842)/Sales!$J1842</f>
        <v>-0.13636363636363635</v>
      </c>
      <c r="M1842" s="23" t="str">
        <f t="shared" si="28"/>
        <v>Below 0%</v>
      </c>
      <c r="N1842" s="22" t="s">
        <v>45</v>
      </c>
      <c r="O1842" s="22" t="s">
        <v>46</v>
      </c>
      <c r="P1842" s="22" t="s">
        <v>17</v>
      </c>
      <c r="Q1842" s="22" t="s">
        <v>19</v>
      </c>
    </row>
    <row r="1843" spans="1:17" x14ac:dyDescent="0.3">
      <c r="A1843" s="27">
        <v>33</v>
      </c>
      <c r="B1843" s="24">
        <v>57.32</v>
      </c>
      <c r="C1843" s="25">
        <f>Sales!$B1843*Sales!$A1843</f>
        <v>1891.56</v>
      </c>
      <c r="D1843" s="26">
        <v>38383</v>
      </c>
      <c r="E1843" s="27" t="s">
        <v>9</v>
      </c>
      <c r="F1843" s="27">
        <v>1</v>
      </c>
      <c r="G1843" s="27">
        <v>1</v>
      </c>
      <c r="H1843" s="27">
        <v>2005</v>
      </c>
      <c r="I1843" s="27" t="s">
        <v>112</v>
      </c>
      <c r="J1843" s="25">
        <v>88</v>
      </c>
      <c r="K1843" s="25">
        <f>Sales!$B1843-Sales!$J1843</f>
        <v>-30.68</v>
      </c>
      <c r="L1843" s="28">
        <f>(Sales!$J1843-Sales!$B1843)/Sales!$J1843</f>
        <v>0.34863636363636363</v>
      </c>
      <c r="M1843" s="28" t="str">
        <f t="shared" si="28"/>
        <v>+20%</v>
      </c>
      <c r="N1843" s="27" t="s">
        <v>85</v>
      </c>
      <c r="O1843" s="27" t="s">
        <v>34</v>
      </c>
      <c r="P1843" s="27" t="s">
        <v>17</v>
      </c>
      <c r="Q1843" s="27" t="s">
        <v>14</v>
      </c>
    </row>
    <row r="1844" spans="1:17" x14ac:dyDescent="0.3">
      <c r="A1844" s="22">
        <v>43</v>
      </c>
      <c r="B1844" s="19">
        <v>97.87</v>
      </c>
      <c r="C1844" s="20">
        <f>Sales!$B1844*Sales!$A1844</f>
        <v>4208.41</v>
      </c>
      <c r="D1844" s="21">
        <v>38406</v>
      </c>
      <c r="E1844" s="22" t="s">
        <v>9</v>
      </c>
      <c r="F1844" s="22">
        <v>1</v>
      </c>
      <c r="G1844" s="22">
        <v>2</v>
      </c>
      <c r="H1844" s="22">
        <v>2005</v>
      </c>
      <c r="I1844" s="22" t="s">
        <v>112</v>
      </c>
      <c r="J1844" s="20">
        <v>88</v>
      </c>
      <c r="K1844" s="20">
        <f>Sales!$B1844-Sales!$J1844</f>
        <v>9.8700000000000045</v>
      </c>
      <c r="L1844" s="23">
        <f>(Sales!$J1844-Sales!$B1844)/Sales!$J1844</f>
        <v>-0.11215909090909096</v>
      </c>
      <c r="M1844" s="23" t="str">
        <f t="shared" si="28"/>
        <v>Below 0%</v>
      </c>
      <c r="N1844" s="22" t="s">
        <v>21</v>
      </c>
      <c r="O1844" s="22" t="s">
        <v>12</v>
      </c>
      <c r="P1844" s="22" t="s">
        <v>13</v>
      </c>
      <c r="Q1844" s="22" t="s">
        <v>19</v>
      </c>
    </row>
    <row r="1845" spans="1:17" x14ac:dyDescent="0.3">
      <c r="A1845" s="27">
        <v>27</v>
      </c>
      <c r="B1845" s="24">
        <v>83.2</v>
      </c>
      <c r="C1845" s="25">
        <f>Sales!$B1845*Sales!$A1845</f>
        <v>2246.4</v>
      </c>
      <c r="D1845" s="26">
        <v>38434</v>
      </c>
      <c r="E1845" s="27" t="s">
        <v>9</v>
      </c>
      <c r="F1845" s="27">
        <v>1</v>
      </c>
      <c r="G1845" s="27">
        <v>3</v>
      </c>
      <c r="H1845" s="27">
        <v>2005</v>
      </c>
      <c r="I1845" s="27" t="s">
        <v>112</v>
      </c>
      <c r="J1845" s="25">
        <v>88</v>
      </c>
      <c r="K1845" s="25">
        <f>Sales!$B1845-Sales!$J1845</f>
        <v>-4.7999999999999972</v>
      </c>
      <c r="L1845" s="28">
        <f>(Sales!$J1845-Sales!$B1845)/Sales!$J1845</f>
        <v>5.4545454545454515E-2</v>
      </c>
      <c r="M1845" s="28" t="s">
        <v>131</v>
      </c>
      <c r="N1845" s="27" t="s">
        <v>64</v>
      </c>
      <c r="O1845" s="27" t="s">
        <v>12</v>
      </c>
      <c r="P1845" s="27" t="s">
        <v>13</v>
      </c>
      <c r="Q1845" s="27" t="s">
        <v>14</v>
      </c>
    </row>
    <row r="1846" spans="1:17" x14ac:dyDescent="0.3">
      <c r="A1846" s="22">
        <v>60</v>
      </c>
      <c r="B1846" s="19">
        <v>100</v>
      </c>
      <c r="C1846" s="20">
        <f>Sales!$B1846*Sales!$A1846</f>
        <v>6000</v>
      </c>
      <c r="D1846" s="21">
        <v>38478</v>
      </c>
      <c r="E1846" s="22" t="s">
        <v>87</v>
      </c>
      <c r="F1846" s="22">
        <v>2</v>
      </c>
      <c r="G1846" s="22">
        <v>5</v>
      </c>
      <c r="H1846" s="22">
        <v>2005</v>
      </c>
      <c r="I1846" s="22" t="s">
        <v>112</v>
      </c>
      <c r="J1846" s="20">
        <v>88</v>
      </c>
      <c r="K1846" s="20">
        <f>Sales!$B1846-Sales!$J1846</f>
        <v>12</v>
      </c>
      <c r="L1846" s="23">
        <f>(Sales!$J1846-Sales!$B1846)/Sales!$J1846</f>
        <v>-0.13636363636363635</v>
      </c>
      <c r="M1846" s="23" t="str">
        <f t="shared" si="28"/>
        <v>Below 0%</v>
      </c>
      <c r="N1846" s="22" t="s">
        <v>83</v>
      </c>
      <c r="O1846" s="22" t="s">
        <v>12</v>
      </c>
      <c r="P1846" s="22" t="s">
        <v>13</v>
      </c>
      <c r="Q1846" s="22" t="s">
        <v>19</v>
      </c>
    </row>
    <row r="1847" spans="1:17" x14ac:dyDescent="0.3">
      <c r="A1847" s="27">
        <v>27</v>
      </c>
      <c r="B1847" s="24">
        <v>73.62</v>
      </c>
      <c r="C1847" s="25">
        <f>Sales!$B1847*Sales!$A1847</f>
        <v>1987.7400000000002</v>
      </c>
      <c r="D1847" s="26">
        <v>37698</v>
      </c>
      <c r="E1847" s="27" t="s">
        <v>9</v>
      </c>
      <c r="F1847" s="27">
        <v>1</v>
      </c>
      <c r="G1847" s="27">
        <v>3</v>
      </c>
      <c r="H1847" s="27">
        <v>2003</v>
      </c>
      <c r="I1847" s="27" t="s">
        <v>47</v>
      </c>
      <c r="J1847" s="25">
        <v>85</v>
      </c>
      <c r="K1847" s="25">
        <f>Sales!$B1847-Sales!$J1847</f>
        <v>-11.379999999999995</v>
      </c>
      <c r="L1847" s="28">
        <f>(Sales!$J1847-Sales!$B1847)/Sales!$J1847</f>
        <v>0.13388235294117642</v>
      </c>
      <c r="M1847" s="28" t="str">
        <f t="shared" si="28"/>
        <v>10%-15%</v>
      </c>
      <c r="N1847" s="27" t="s">
        <v>102</v>
      </c>
      <c r="O1847" s="27" t="s">
        <v>43</v>
      </c>
      <c r="P1847" s="27" t="s">
        <v>17</v>
      </c>
      <c r="Q1847" s="27" t="s">
        <v>14</v>
      </c>
    </row>
    <row r="1848" spans="1:17" x14ac:dyDescent="0.3">
      <c r="A1848" s="22">
        <v>49</v>
      </c>
      <c r="B1848" s="19">
        <v>83.04</v>
      </c>
      <c r="C1848" s="20">
        <f>Sales!$B1848*Sales!$A1848</f>
        <v>4068.9600000000005</v>
      </c>
      <c r="D1848" s="21">
        <v>37762</v>
      </c>
      <c r="E1848" s="22" t="s">
        <v>9</v>
      </c>
      <c r="F1848" s="22">
        <v>2</v>
      </c>
      <c r="G1848" s="22">
        <v>5</v>
      </c>
      <c r="H1848" s="22">
        <v>2003</v>
      </c>
      <c r="I1848" s="22" t="s">
        <v>47</v>
      </c>
      <c r="J1848" s="20">
        <v>85</v>
      </c>
      <c r="K1848" s="20">
        <f>Sales!$B1848-Sales!$J1848</f>
        <v>-1.9599999999999937</v>
      </c>
      <c r="L1848" s="23">
        <f>(Sales!$J1848-Sales!$B1848)/Sales!$J1848</f>
        <v>2.3058823529411691E-2</v>
      </c>
      <c r="M1848" s="23" t="str">
        <f t="shared" si="28"/>
        <v>0%-5%</v>
      </c>
      <c r="N1848" s="22" t="s">
        <v>109</v>
      </c>
      <c r="O1848" s="22" t="s">
        <v>12</v>
      </c>
      <c r="P1848" s="22" t="s">
        <v>13</v>
      </c>
      <c r="Q1848" s="22" t="s">
        <v>19</v>
      </c>
    </row>
    <row r="1849" spans="1:17" x14ac:dyDescent="0.3">
      <c r="A1849" s="27">
        <v>31</v>
      </c>
      <c r="B1849" s="24">
        <v>73.62</v>
      </c>
      <c r="C1849" s="25">
        <f>Sales!$B1849*Sales!$A1849</f>
        <v>2282.2200000000003</v>
      </c>
      <c r="D1849" s="26">
        <v>37875</v>
      </c>
      <c r="E1849" s="27" t="s">
        <v>9</v>
      </c>
      <c r="F1849" s="27">
        <v>3</v>
      </c>
      <c r="G1849" s="27">
        <v>9</v>
      </c>
      <c r="H1849" s="27">
        <v>2003</v>
      </c>
      <c r="I1849" s="27" t="s">
        <v>47</v>
      </c>
      <c r="J1849" s="25">
        <v>85</v>
      </c>
      <c r="K1849" s="25">
        <f>Sales!$B1849-Sales!$J1849</f>
        <v>-11.379999999999995</v>
      </c>
      <c r="L1849" s="28">
        <f>(Sales!$J1849-Sales!$B1849)/Sales!$J1849</f>
        <v>0.13388235294117642</v>
      </c>
      <c r="M1849" s="28" t="str">
        <f t="shared" si="28"/>
        <v>10%-15%</v>
      </c>
      <c r="N1849" s="27" t="s">
        <v>67</v>
      </c>
      <c r="O1849" s="27" t="s">
        <v>27</v>
      </c>
      <c r="P1849" s="27" t="s">
        <v>28</v>
      </c>
      <c r="Q1849" s="27" t="s">
        <v>14</v>
      </c>
    </row>
    <row r="1850" spans="1:17" x14ac:dyDescent="0.3">
      <c r="A1850" s="22">
        <v>20</v>
      </c>
      <c r="B1850" s="19">
        <v>77.05</v>
      </c>
      <c r="C1850" s="20">
        <f>Sales!$B1850*Sales!$A1850</f>
        <v>1541</v>
      </c>
      <c r="D1850" s="21">
        <v>37911</v>
      </c>
      <c r="E1850" s="22" t="s">
        <v>9</v>
      </c>
      <c r="F1850" s="22">
        <v>4</v>
      </c>
      <c r="G1850" s="22">
        <v>10</v>
      </c>
      <c r="H1850" s="22">
        <v>2003</v>
      </c>
      <c r="I1850" s="22" t="s">
        <v>47</v>
      </c>
      <c r="J1850" s="20">
        <v>85</v>
      </c>
      <c r="K1850" s="20">
        <f>Sales!$B1850-Sales!$J1850</f>
        <v>-7.9500000000000028</v>
      </c>
      <c r="L1850" s="23">
        <f>(Sales!$J1850-Sales!$B1850)/Sales!$J1850</f>
        <v>9.3529411764705916E-2</v>
      </c>
      <c r="M1850" s="23" t="str">
        <f t="shared" si="28"/>
        <v>5%-10%</v>
      </c>
      <c r="N1850" s="22" t="s">
        <v>103</v>
      </c>
      <c r="O1850" s="22" t="s">
        <v>73</v>
      </c>
      <c r="P1850" s="22" t="s">
        <v>17</v>
      </c>
      <c r="Q1850" s="22" t="s">
        <v>14</v>
      </c>
    </row>
    <row r="1851" spans="1:17" x14ac:dyDescent="0.3">
      <c r="A1851" s="27">
        <v>24</v>
      </c>
      <c r="B1851" s="24">
        <v>81.33</v>
      </c>
      <c r="C1851" s="25">
        <f>Sales!$B1851*Sales!$A1851</f>
        <v>1951.92</v>
      </c>
      <c r="D1851" s="26">
        <v>37930</v>
      </c>
      <c r="E1851" s="27" t="s">
        <v>9</v>
      </c>
      <c r="F1851" s="27">
        <v>4</v>
      </c>
      <c r="G1851" s="27">
        <v>11</v>
      </c>
      <c r="H1851" s="27">
        <v>2003</v>
      </c>
      <c r="I1851" s="27" t="s">
        <v>47</v>
      </c>
      <c r="J1851" s="25">
        <v>85</v>
      </c>
      <c r="K1851" s="25">
        <f>Sales!$B1851-Sales!$J1851</f>
        <v>-3.6700000000000017</v>
      </c>
      <c r="L1851" s="28">
        <f>(Sales!$J1851-Sales!$B1851)/Sales!$J1851</f>
        <v>4.3176470588235316E-2</v>
      </c>
      <c r="M1851" s="28" t="str">
        <f t="shared" si="28"/>
        <v>0%-5%</v>
      </c>
      <c r="N1851" s="27" t="s">
        <v>30</v>
      </c>
      <c r="O1851" s="27" t="s">
        <v>12</v>
      </c>
      <c r="P1851" s="27" t="s">
        <v>13</v>
      </c>
      <c r="Q1851" s="27" t="s">
        <v>14</v>
      </c>
    </row>
    <row r="1852" spans="1:17" x14ac:dyDescent="0.3">
      <c r="A1852" s="22">
        <v>33</v>
      </c>
      <c r="B1852" s="19">
        <v>94.17</v>
      </c>
      <c r="C1852" s="20">
        <f>Sales!$B1852*Sales!$A1852</f>
        <v>3107.61</v>
      </c>
      <c r="D1852" s="21">
        <v>37937</v>
      </c>
      <c r="E1852" s="22" t="s">
        <v>9</v>
      </c>
      <c r="F1852" s="22">
        <v>4</v>
      </c>
      <c r="G1852" s="22">
        <v>11</v>
      </c>
      <c r="H1852" s="22">
        <v>2003</v>
      </c>
      <c r="I1852" s="22" t="s">
        <v>47</v>
      </c>
      <c r="J1852" s="20">
        <v>85</v>
      </c>
      <c r="K1852" s="20">
        <f>Sales!$B1852-Sales!$J1852</f>
        <v>9.1700000000000017</v>
      </c>
      <c r="L1852" s="23">
        <f>(Sales!$J1852-Sales!$B1852)/Sales!$J1852</f>
        <v>-0.10788235294117648</v>
      </c>
      <c r="M1852" s="23" t="str">
        <f t="shared" si="28"/>
        <v>Below 0%</v>
      </c>
      <c r="N1852" s="22" t="s">
        <v>64</v>
      </c>
      <c r="O1852" s="22" t="s">
        <v>12</v>
      </c>
      <c r="P1852" s="22" t="s">
        <v>13</v>
      </c>
      <c r="Q1852" s="22" t="s">
        <v>19</v>
      </c>
    </row>
    <row r="1853" spans="1:17" x14ac:dyDescent="0.3">
      <c r="A1853" s="27">
        <v>32</v>
      </c>
      <c r="B1853" s="24">
        <v>72.77</v>
      </c>
      <c r="C1853" s="25">
        <f>Sales!$B1853*Sales!$A1853</f>
        <v>2328.64</v>
      </c>
      <c r="D1853" s="26">
        <v>37945</v>
      </c>
      <c r="E1853" s="27" t="s">
        <v>9</v>
      </c>
      <c r="F1853" s="27">
        <v>4</v>
      </c>
      <c r="G1853" s="27">
        <v>11</v>
      </c>
      <c r="H1853" s="27">
        <v>2003</v>
      </c>
      <c r="I1853" s="27" t="s">
        <v>47</v>
      </c>
      <c r="J1853" s="25">
        <v>85</v>
      </c>
      <c r="K1853" s="25">
        <f>Sales!$B1853-Sales!$J1853</f>
        <v>-12.230000000000004</v>
      </c>
      <c r="L1853" s="28">
        <f>(Sales!$J1853-Sales!$B1853)/Sales!$J1853</f>
        <v>0.14388235294117652</v>
      </c>
      <c r="M1853" s="28" t="str">
        <f t="shared" si="28"/>
        <v>10%-15%</v>
      </c>
      <c r="N1853" s="27" t="s">
        <v>65</v>
      </c>
      <c r="O1853" s="27" t="s">
        <v>12</v>
      </c>
      <c r="P1853" s="27" t="s">
        <v>13</v>
      </c>
      <c r="Q1853" s="27" t="s">
        <v>14</v>
      </c>
    </row>
    <row r="1854" spans="1:17" x14ac:dyDescent="0.3">
      <c r="A1854" s="22">
        <v>40</v>
      </c>
      <c r="B1854" s="19">
        <v>79.62</v>
      </c>
      <c r="C1854" s="20">
        <f>Sales!$B1854*Sales!$A1854</f>
        <v>3184.8</v>
      </c>
      <c r="D1854" s="21">
        <v>37957</v>
      </c>
      <c r="E1854" s="22" t="s">
        <v>9</v>
      </c>
      <c r="F1854" s="22">
        <v>4</v>
      </c>
      <c r="G1854" s="22">
        <v>12</v>
      </c>
      <c r="H1854" s="22">
        <v>2003</v>
      </c>
      <c r="I1854" s="22" t="s">
        <v>47</v>
      </c>
      <c r="J1854" s="20">
        <v>85</v>
      </c>
      <c r="K1854" s="20">
        <f>Sales!$B1854-Sales!$J1854</f>
        <v>-5.3799999999999955</v>
      </c>
      <c r="L1854" s="23">
        <f>(Sales!$J1854-Sales!$B1854)/Sales!$J1854</f>
        <v>6.3294117647058765E-2</v>
      </c>
      <c r="M1854" s="23" t="str">
        <f t="shared" si="28"/>
        <v>5%-10%</v>
      </c>
      <c r="N1854" s="22" t="s">
        <v>11</v>
      </c>
      <c r="O1854" s="22" t="s">
        <v>12</v>
      </c>
      <c r="P1854" s="22" t="s">
        <v>13</v>
      </c>
      <c r="Q1854" s="22" t="s">
        <v>19</v>
      </c>
    </row>
    <row r="1855" spans="1:17" x14ac:dyDescent="0.3">
      <c r="A1855" s="27">
        <v>27</v>
      </c>
      <c r="B1855" s="24">
        <v>79.62</v>
      </c>
      <c r="C1855" s="25">
        <f>Sales!$B1855*Sales!$A1855</f>
        <v>2149.7400000000002</v>
      </c>
      <c r="D1855" s="26">
        <v>38002</v>
      </c>
      <c r="E1855" s="27" t="s">
        <v>9</v>
      </c>
      <c r="F1855" s="27">
        <v>1</v>
      </c>
      <c r="G1855" s="27">
        <v>1</v>
      </c>
      <c r="H1855" s="27">
        <v>2004</v>
      </c>
      <c r="I1855" s="27" t="s">
        <v>47</v>
      </c>
      <c r="J1855" s="25">
        <v>85</v>
      </c>
      <c r="K1855" s="25">
        <f>Sales!$B1855-Sales!$J1855</f>
        <v>-5.3799999999999955</v>
      </c>
      <c r="L1855" s="28">
        <f>(Sales!$J1855-Sales!$B1855)/Sales!$J1855</f>
        <v>6.3294117647058765E-2</v>
      </c>
      <c r="M1855" s="28" t="str">
        <f t="shared" si="28"/>
        <v>5%-10%</v>
      </c>
      <c r="N1855" s="27" t="s">
        <v>45</v>
      </c>
      <c r="O1855" s="27" t="s">
        <v>46</v>
      </c>
      <c r="P1855" s="27" t="s">
        <v>17</v>
      </c>
      <c r="Q1855" s="27" t="s">
        <v>14</v>
      </c>
    </row>
    <row r="1856" spans="1:17" x14ac:dyDescent="0.3">
      <c r="A1856" s="22">
        <v>40</v>
      </c>
      <c r="B1856" s="19">
        <v>79.62</v>
      </c>
      <c r="C1856" s="20">
        <f>Sales!$B1856*Sales!$A1856</f>
        <v>3184.8</v>
      </c>
      <c r="D1856" s="21">
        <v>38048</v>
      </c>
      <c r="E1856" s="22" t="s">
        <v>9</v>
      </c>
      <c r="F1856" s="22">
        <v>1</v>
      </c>
      <c r="G1856" s="22">
        <v>3</v>
      </c>
      <c r="H1856" s="22">
        <v>2004</v>
      </c>
      <c r="I1856" s="22" t="s">
        <v>47</v>
      </c>
      <c r="J1856" s="20">
        <v>85</v>
      </c>
      <c r="K1856" s="20">
        <f>Sales!$B1856-Sales!$J1856</f>
        <v>-5.3799999999999955</v>
      </c>
      <c r="L1856" s="23">
        <f>(Sales!$J1856-Sales!$B1856)/Sales!$J1856</f>
        <v>6.3294117647058765E-2</v>
      </c>
      <c r="M1856" s="23" t="str">
        <f t="shared" si="28"/>
        <v>5%-10%</v>
      </c>
      <c r="N1856" s="22" t="s">
        <v>54</v>
      </c>
      <c r="O1856" s="22" t="s">
        <v>16</v>
      </c>
      <c r="P1856" s="22" t="s">
        <v>17</v>
      </c>
      <c r="Q1856" s="22" t="s">
        <v>19</v>
      </c>
    </row>
    <row r="1857" spans="1:17" x14ac:dyDescent="0.3">
      <c r="A1857" s="27">
        <v>26</v>
      </c>
      <c r="B1857" s="24">
        <v>81.33</v>
      </c>
      <c r="C1857" s="25">
        <f>Sales!$B1857*Sales!$A1857</f>
        <v>2114.58</v>
      </c>
      <c r="D1857" s="26">
        <v>38090</v>
      </c>
      <c r="E1857" s="27" t="s">
        <v>9</v>
      </c>
      <c r="F1857" s="27">
        <v>2</v>
      </c>
      <c r="G1857" s="27">
        <v>4</v>
      </c>
      <c r="H1857" s="27">
        <v>2004</v>
      </c>
      <c r="I1857" s="27" t="s">
        <v>47</v>
      </c>
      <c r="J1857" s="25">
        <v>85</v>
      </c>
      <c r="K1857" s="25">
        <f>Sales!$B1857-Sales!$J1857</f>
        <v>-3.6700000000000017</v>
      </c>
      <c r="L1857" s="28">
        <f>(Sales!$J1857-Sales!$B1857)/Sales!$J1857</f>
        <v>4.3176470588235316E-2</v>
      </c>
      <c r="M1857" s="28" t="str">
        <f t="shared" si="28"/>
        <v>0%-5%</v>
      </c>
      <c r="N1857" s="27" t="s">
        <v>108</v>
      </c>
      <c r="O1857" s="27" t="s">
        <v>16</v>
      </c>
      <c r="P1857" s="27" t="s">
        <v>17</v>
      </c>
      <c r="Q1857" s="27" t="s">
        <v>14</v>
      </c>
    </row>
    <row r="1858" spans="1:17" x14ac:dyDescent="0.3">
      <c r="A1858" s="22">
        <v>44</v>
      </c>
      <c r="B1858" s="19">
        <v>96.74</v>
      </c>
      <c r="C1858" s="20">
        <f>Sales!$B1858*Sales!$A1858</f>
        <v>4256.5599999999995</v>
      </c>
      <c r="D1858" s="21">
        <v>38175</v>
      </c>
      <c r="E1858" s="22" t="s">
        <v>9</v>
      </c>
      <c r="F1858" s="22">
        <v>3</v>
      </c>
      <c r="G1858" s="22">
        <v>7</v>
      </c>
      <c r="H1858" s="22">
        <v>2004</v>
      </c>
      <c r="I1858" s="22" t="s">
        <v>47</v>
      </c>
      <c r="J1858" s="20">
        <v>85</v>
      </c>
      <c r="K1858" s="20">
        <f>Sales!$B1858-Sales!$J1858</f>
        <v>11.739999999999995</v>
      </c>
      <c r="L1858" s="23">
        <f>(Sales!$J1858-Sales!$B1858)/Sales!$J1858</f>
        <v>-0.13811764705882346</v>
      </c>
      <c r="M1858" s="23" t="str">
        <f t="shared" si="28"/>
        <v>Below 0%</v>
      </c>
      <c r="N1858" s="22" t="s">
        <v>11</v>
      </c>
      <c r="O1858" s="22" t="s">
        <v>12</v>
      </c>
      <c r="P1858" s="22" t="s">
        <v>13</v>
      </c>
      <c r="Q1858" s="22" t="s">
        <v>19</v>
      </c>
    </row>
    <row r="1859" spans="1:17" x14ac:dyDescent="0.3">
      <c r="A1859" s="27">
        <v>33</v>
      </c>
      <c r="B1859" s="24">
        <v>71.06</v>
      </c>
      <c r="C1859" s="25">
        <f>Sales!$B1859*Sales!$A1859</f>
        <v>2344.98</v>
      </c>
      <c r="D1859" s="26">
        <v>38208</v>
      </c>
      <c r="E1859" s="27" t="s">
        <v>9</v>
      </c>
      <c r="F1859" s="27">
        <v>3</v>
      </c>
      <c r="G1859" s="27">
        <v>8</v>
      </c>
      <c r="H1859" s="27">
        <v>2004</v>
      </c>
      <c r="I1859" s="27" t="s">
        <v>47</v>
      </c>
      <c r="J1859" s="25">
        <v>85</v>
      </c>
      <c r="K1859" s="25">
        <f>Sales!$B1859-Sales!$J1859</f>
        <v>-13.939999999999998</v>
      </c>
      <c r="L1859" s="28">
        <f>(Sales!$J1859-Sales!$B1859)/Sales!$J1859</f>
        <v>0.16399999999999998</v>
      </c>
      <c r="M1859" s="28" t="str">
        <f t="shared" ref="M1859:M1922" si="29">IF(L1859&lt;0%,"Below 0%",IF(L1859=0%,"0%",IF(AND(L1859&lt;=5%,L1859&gt;0%),"0%-5%",IF(AND(L1859&lt;=10%,L1859&gt;5%),"5%-10%",IF(AND(L1859&lt;=15%,L1859&gt;10%),"10%-15%",IF(AND(L1859&lt;=20%,L1859&gt;15%),"15%-20%","+20%"))))))</f>
        <v>15%-20%</v>
      </c>
      <c r="N1859" s="27" t="s">
        <v>45</v>
      </c>
      <c r="O1859" s="27" t="s">
        <v>46</v>
      </c>
      <c r="P1859" s="27" t="s">
        <v>17</v>
      </c>
      <c r="Q1859" s="27" t="s">
        <v>14</v>
      </c>
    </row>
    <row r="1860" spans="1:17" x14ac:dyDescent="0.3">
      <c r="A1860" s="22">
        <v>34</v>
      </c>
      <c r="B1860" s="19">
        <v>68.489999999999995</v>
      </c>
      <c r="C1860" s="20">
        <f>Sales!$B1860*Sales!$A1860</f>
        <v>2328.66</v>
      </c>
      <c r="D1860" s="21">
        <v>38231</v>
      </c>
      <c r="E1860" s="22" t="s">
        <v>9</v>
      </c>
      <c r="F1860" s="22">
        <v>3</v>
      </c>
      <c r="G1860" s="22">
        <v>9</v>
      </c>
      <c r="H1860" s="22">
        <v>2004</v>
      </c>
      <c r="I1860" s="22" t="s">
        <v>47</v>
      </c>
      <c r="J1860" s="20">
        <v>85</v>
      </c>
      <c r="K1860" s="20">
        <f>Sales!$B1860-Sales!$J1860</f>
        <v>-16.510000000000005</v>
      </c>
      <c r="L1860" s="23">
        <f>(Sales!$J1860-Sales!$B1860)/Sales!$J1860</f>
        <v>0.19423529411764712</v>
      </c>
      <c r="M1860" s="23" t="str">
        <f t="shared" si="29"/>
        <v>15%-20%</v>
      </c>
      <c r="N1860" s="22" t="s">
        <v>50</v>
      </c>
      <c r="O1860" s="22" t="s">
        <v>50</v>
      </c>
      <c r="P1860" s="22" t="s">
        <v>28</v>
      </c>
      <c r="Q1860" s="22" t="s">
        <v>14</v>
      </c>
    </row>
    <row r="1861" spans="1:17" x14ac:dyDescent="0.3">
      <c r="A1861" s="27">
        <v>48</v>
      </c>
      <c r="B1861" s="24">
        <v>74.48</v>
      </c>
      <c r="C1861" s="25">
        <f>Sales!$B1861*Sales!$A1861</f>
        <v>3575.04</v>
      </c>
      <c r="D1861" s="26">
        <v>37900</v>
      </c>
      <c r="E1861" s="27" t="s">
        <v>9</v>
      </c>
      <c r="F1861" s="27">
        <v>4</v>
      </c>
      <c r="G1861" s="27">
        <v>10</v>
      </c>
      <c r="H1861" s="27">
        <v>2003</v>
      </c>
      <c r="I1861" s="27" t="s">
        <v>47</v>
      </c>
      <c r="J1861" s="25">
        <v>85</v>
      </c>
      <c r="K1861" s="25">
        <f>Sales!$B1861-Sales!$J1861</f>
        <v>-10.519999999999996</v>
      </c>
      <c r="L1861" s="28">
        <f>(Sales!$J1861-Sales!$B1861)/Sales!$J1861</f>
        <v>0.12376470588235289</v>
      </c>
      <c r="M1861" s="28" t="str">
        <f t="shared" si="29"/>
        <v>10%-15%</v>
      </c>
      <c r="N1861" s="27" t="s">
        <v>42</v>
      </c>
      <c r="O1861" s="27" t="s">
        <v>43</v>
      </c>
      <c r="P1861" s="27" t="s">
        <v>17</v>
      </c>
      <c r="Q1861" s="27" t="s">
        <v>19</v>
      </c>
    </row>
    <row r="1862" spans="1:17" x14ac:dyDescent="0.3">
      <c r="A1862" s="22">
        <v>25</v>
      </c>
      <c r="B1862" s="19">
        <v>83.04</v>
      </c>
      <c r="C1862" s="20">
        <f>Sales!$B1862*Sales!$A1862</f>
        <v>2076</v>
      </c>
      <c r="D1862" s="21">
        <v>38276</v>
      </c>
      <c r="E1862" s="22" t="s">
        <v>9</v>
      </c>
      <c r="F1862" s="22">
        <v>4</v>
      </c>
      <c r="G1862" s="22">
        <v>10</v>
      </c>
      <c r="H1862" s="22">
        <v>2004</v>
      </c>
      <c r="I1862" s="22" t="s">
        <v>47</v>
      </c>
      <c r="J1862" s="20">
        <v>85</v>
      </c>
      <c r="K1862" s="20">
        <f>Sales!$B1862-Sales!$J1862</f>
        <v>-1.9599999999999937</v>
      </c>
      <c r="L1862" s="23">
        <f>(Sales!$J1862-Sales!$B1862)/Sales!$J1862</f>
        <v>2.3058823529411691E-2</v>
      </c>
      <c r="M1862" s="23" t="str">
        <f t="shared" si="29"/>
        <v>0%-5%</v>
      </c>
      <c r="N1862" s="22" t="s">
        <v>45</v>
      </c>
      <c r="O1862" s="22" t="s">
        <v>46</v>
      </c>
      <c r="P1862" s="22" t="s">
        <v>17</v>
      </c>
      <c r="Q1862" s="22" t="s">
        <v>14</v>
      </c>
    </row>
    <row r="1863" spans="1:17" x14ac:dyDescent="0.3">
      <c r="A1863" s="27">
        <v>39</v>
      </c>
      <c r="B1863" s="24">
        <v>84.75</v>
      </c>
      <c r="C1863" s="25">
        <f>Sales!$B1863*Sales!$A1863</f>
        <v>3305.25</v>
      </c>
      <c r="D1863" s="26">
        <v>38295</v>
      </c>
      <c r="E1863" s="27" t="s">
        <v>9</v>
      </c>
      <c r="F1863" s="27">
        <v>4</v>
      </c>
      <c r="G1863" s="27">
        <v>11</v>
      </c>
      <c r="H1863" s="27">
        <v>2004</v>
      </c>
      <c r="I1863" s="27" t="s">
        <v>47</v>
      </c>
      <c r="J1863" s="25">
        <v>85</v>
      </c>
      <c r="K1863" s="25">
        <f>Sales!$B1863-Sales!$J1863</f>
        <v>-0.25</v>
      </c>
      <c r="L1863" s="28">
        <f>(Sales!$J1863-Sales!$B1863)/Sales!$J1863</f>
        <v>2.9411764705882353E-3</v>
      </c>
      <c r="M1863" s="28" t="s">
        <v>130</v>
      </c>
      <c r="N1863" s="27" t="s">
        <v>41</v>
      </c>
      <c r="O1863" s="27" t="s">
        <v>12</v>
      </c>
      <c r="P1863" s="27" t="s">
        <v>13</v>
      </c>
      <c r="Q1863" s="27" t="s">
        <v>19</v>
      </c>
    </row>
    <row r="1864" spans="1:17" x14ac:dyDescent="0.3">
      <c r="A1864" s="22">
        <v>45</v>
      </c>
      <c r="B1864" s="19">
        <v>34.19</v>
      </c>
      <c r="C1864" s="20">
        <f>Sales!$B1864*Sales!$A1864</f>
        <v>1538.55</v>
      </c>
      <c r="D1864" s="21">
        <v>38308</v>
      </c>
      <c r="E1864" s="22" t="s">
        <v>9</v>
      </c>
      <c r="F1864" s="22">
        <v>4</v>
      </c>
      <c r="G1864" s="22">
        <v>11</v>
      </c>
      <c r="H1864" s="22">
        <v>2004</v>
      </c>
      <c r="I1864" s="22" t="s">
        <v>47</v>
      </c>
      <c r="J1864" s="20">
        <v>85</v>
      </c>
      <c r="K1864" s="20">
        <f>Sales!$B1864-Sales!$J1864</f>
        <v>-50.81</v>
      </c>
      <c r="L1864" s="23">
        <f>(Sales!$J1864-Sales!$B1864)/Sales!$J1864</f>
        <v>0.59776470588235298</v>
      </c>
      <c r="M1864" s="23" t="str">
        <f t="shared" si="29"/>
        <v>+20%</v>
      </c>
      <c r="N1864" s="22" t="s">
        <v>102</v>
      </c>
      <c r="O1864" s="22" t="s">
        <v>43</v>
      </c>
      <c r="P1864" s="22" t="s">
        <v>17</v>
      </c>
      <c r="Q1864" s="22" t="s">
        <v>14</v>
      </c>
    </row>
    <row r="1865" spans="1:17" x14ac:dyDescent="0.3">
      <c r="A1865" s="27">
        <v>24</v>
      </c>
      <c r="B1865" s="24">
        <v>100</v>
      </c>
      <c r="C1865" s="25">
        <f>Sales!$B1865*Sales!$A1865</f>
        <v>2400</v>
      </c>
      <c r="D1865" s="26">
        <v>38320</v>
      </c>
      <c r="E1865" s="27" t="s">
        <v>9</v>
      </c>
      <c r="F1865" s="27">
        <v>4</v>
      </c>
      <c r="G1865" s="27">
        <v>11</v>
      </c>
      <c r="H1865" s="27">
        <v>2004</v>
      </c>
      <c r="I1865" s="27" t="s">
        <v>47</v>
      </c>
      <c r="J1865" s="25">
        <v>85</v>
      </c>
      <c r="K1865" s="25">
        <f>Sales!$B1865-Sales!$J1865</f>
        <v>15</v>
      </c>
      <c r="L1865" s="28">
        <f>(Sales!$J1865-Sales!$B1865)/Sales!$J1865</f>
        <v>-0.17647058823529413</v>
      </c>
      <c r="M1865" s="28" t="str">
        <f t="shared" si="29"/>
        <v>Below 0%</v>
      </c>
      <c r="N1865" s="27" t="s">
        <v>109</v>
      </c>
      <c r="O1865" s="27" t="s">
        <v>12</v>
      </c>
      <c r="P1865" s="27" t="s">
        <v>13</v>
      </c>
      <c r="Q1865" s="27" t="s">
        <v>19</v>
      </c>
    </row>
    <row r="1866" spans="1:17" x14ac:dyDescent="0.3">
      <c r="A1866" s="22">
        <v>46</v>
      </c>
      <c r="B1866" s="19">
        <v>79.62</v>
      </c>
      <c r="C1866" s="20">
        <f>Sales!$B1866*Sales!$A1866</f>
        <v>3662.5200000000004</v>
      </c>
      <c r="D1866" s="21">
        <v>38371</v>
      </c>
      <c r="E1866" s="22" t="s">
        <v>9</v>
      </c>
      <c r="F1866" s="22">
        <v>1</v>
      </c>
      <c r="G1866" s="22">
        <v>1</v>
      </c>
      <c r="H1866" s="22">
        <v>2005</v>
      </c>
      <c r="I1866" s="22" t="s">
        <v>47</v>
      </c>
      <c r="J1866" s="20">
        <v>85</v>
      </c>
      <c r="K1866" s="20">
        <f>Sales!$B1866-Sales!$J1866</f>
        <v>-5.3799999999999955</v>
      </c>
      <c r="L1866" s="23">
        <f>(Sales!$J1866-Sales!$B1866)/Sales!$J1866</f>
        <v>6.3294117647058765E-2</v>
      </c>
      <c r="M1866" s="23" t="str">
        <f t="shared" si="29"/>
        <v>5%-10%</v>
      </c>
      <c r="N1866" s="22" t="s">
        <v>64</v>
      </c>
      <c r="O1866" s="22" t="s">
        <v>12</v>
      </c>
      <c r="P1866" s="22" t="s">
        <v>13</v>
      </c>
      <c r="Q1866" s="22" t="s">
        <v>19</v>
      </c>
    </row>
    <row r="1867" spans="1:17" x14ac:dyDescent="0.3">
      <c r="A1867" s="27">
        <v>44</v>
      </c>
      <c r="B1867" s="24">
        <v>79.06</v>
      </c>
      <c r="C1867" s="25">
        <f>Sales!$B1867*Sales!$A1867</f>
        <v>3478.6400000000003</v>
      </c>
      <c r="D1867" s="26">
        <v>38399</v>
      </c>
      <c r="E1867" s="27" t="s">
        <v>9</v>
      </c>
      <c r="F1867" s="27">
        <v>1</v>
      </c>
      <c r="G1867" s="27">
        <v>2</v>
      </c>
      <c r="H1867" s="27">
        <v>2005</v>
      </c>
      <c r="I1867" s="27" t="s">
        <v>47</v>
      </c>
      <c r="J1867" s="25">
        <v>85</v>
      </c>
      <c r="K1867" s="25">
        <f>Sales!$B1867-Sales!$J1867</f>
        <v>-5.9399999999999977</v>
      </c>
      <c r="L1867" s="28">
        <f>(Sales!$J1867-Sales!$B1867)/Sales!$J1867</f>
        <v>6.9882352941176437E-2</v>
      </c>
      <c r="M1867" s="28" t="str">
        <f t="shared" si="29"/>
        <v>5%-10%</v>
      </c>
      <c r="N1867" s="27" t="s">
        <v>45</v>
      </c>
      <c r="O1867" s="27" t="s">
        <v>46</v>
      </c>
      <c r="P1867" s="27" t="s">
        <v>17</v>
      </c>
      <c r="Q1867" s="27" t="s">
        <v>19</v>
      </c>
    </row>
    <row r="1868" spans="1:17" x14ac:dyDescent="0.3">
      <c r="A1868" s="22">
        <v>13</v>
      </c>
      <c r="B1868" s="19">
        <v>81.33</v>
      </c>
      <c r="C1868" s="20">
        <f>Sales!$B1868*Sales!$A1868</f>
        <v>1057.29</v>
      </c>
      <c r="D1868" s="21">
        <v>38464</v>
      </c>
      <c r="E1868" s="22" t="s">
        <v>87</v>
      </c>
      <c r="F1868" s="22">
        <v>2</v>
      </c>
      <c r="G1868" s="22">
        <v>4</v>
      </c>
      <c r="H1868" s="22">
        <v>2005</v>
      </c>
      <c r="I1868" s="22" t="s">
        <v>47</v>
      </c>
      <c r="J1868" s="20">
        <v>85</v>
      </c>
      <c r="K1868" s="20">
        <f>Sales!$B1868-Sales!$J1868</f>
        <v>-3.6700000000000017</v>
      </c>
      <c r="L1868" s="23">
        <f>(Sales!$J1868-Sales!$B1868)/Sales!$J1868</f>
        <v>4.3176470588235316E-2</v>
      </c>
      <c r="M1868" s="23" t="str">
        <f t="shared" si="29"/>
        <v>0%-5%</v>
      </c>
      <c r="N1868" s="22" t="s">
        <v>86</v>
      </c>
      <c r="O1868" s="22" t="s">
        <v>12</v>
      </c>
      <c r="P1868" s="22" t="s">
        <v>13</v>
      </c>
      <c r="Q1868" s="22" t="s">
        <v>14</v>
      </c>
    </row>
    <row r="1869" spans="1:17" x14ac:dyDescent="0.3">
      <c r="A1869" s="27">
        <v>35</v>
      </c>
      <c r="B1869" s="24">
        <v>96.74</v>
      </c>
      <c r="C1869" s="25">
        <f>Sales!$B1869*Sales!$A1869</f>
        <v>3385.8999999999996</v>
      </c>
      <c r="D1869" s="26">
        <v>38501</v>
      </c>
      <c r="E1869" s="27" t="s">
        <v>69</v>
      </c>
      <c r="F1869" s="27">
        <v>2</v>
      </c>
      <c r="G1869" s="27">
        <v>5</v>
      </c>
      <c r="H1869" s="27">
        <v>2005</v>
      </c>
      <c r="I1869" s="27" t="s">
        <v>47</v>
      </c>
      <c r="J1869" s="25">
        <v>85</v>
      </c>
      <c r="K1869" s="25">
        <f>Sales!$B1869-Sales!$J1869</f>
        <v>11.739999999999995</v>
      </c>
      <c r="L1869" s="28">
        <f>(Sales!$J1869-Sales!$B1869)/Sales!$J1869</f>
        <v>-0.13811764705882346</v>
      </c>
      <c r="M1869" s="28" t="str">
        <f t="shared" si="29"/>
        <v>Below 0%</v>
      </c>
      <c r="N1869" s="27" t="s">
        <v>40</v>
      </c>
      <c r="O1869" s="27" t="s">
        <v>27</v>
      </c>
      <c r="P1869" s="27" t="s">
        <v>28</v>
      </c>
      <c r="Q1869" s="27" t="s">
        <v>19</v>
      </c>
    </row>
    <row r="1870" spans="1:17" x14ac:dyDescent="0.3">
      <c r="A1870" s="22">
        <v>30</v>
      </c>
      <c r="B1870" s="19">
        <v>63.07</v>
      </c>
      <c r="C1870" s="20">
        <f>Sales!$B1870*Sales!$A1870</f>
        <v>1892.1</v>
      </c>
      <c r="D1870" s="21">
        <v>37683</v>
      </c>
      <c r="E1870" s="22" t="s">
        <v>9</v>
      </c>
      <c r="F1870" s="22">
        <v>1</v>
      </c>
      <c r="G1870" s="22">
        <v>3</v>
      </c>
      <c r="H1870" s="22">
        <v>2003</v>
      </c>
      <c r="I1870" s="22" t="s">
        <v>47</v>
      </c>
      <c r="J1870" s="20">
        <v>61</v>
      </c>
      <c r="K1870" s="20">
        <f>Sales!$B1870-Sales!$J1870</f>
        <v>2.0700000000000003</v>
      </c>
      <c r="L1870" s="23">
        <f>(Sales!$J1870-Sales!$B1870)/Sales!$J1870</f>
        <v>-3.3934426229508201E-2</v>
      </c>
      <c r="M1870" s="23" t="str">
        <f t="shared" si="29"/>
        <v>Below 0%</v>
      </c>
      <c r="N1870" s="22" t="s">
        <v>90</v>
      </c>
      <c r="O1870" s="22" t="s">
        <v>91</v>
      </c>
      <c r="P1870" s="22" t="s">
        <v>28</v>
      </c>
      <c r="Q1870" s="22" t="s">
        <v>14</v>
      </c>
    </row>
    <row r="1871" spans="1:17" x14ac:dyDescent="0.3">
      <c r="A1871" s="27">
        <v>34</v>
      </c>
      <c r="B1871" s="24">
        <v>50.21</v>
      </c>
      <c r="C1871" s="25">
        <f>Sales!$B1871*Sales!$A1871</f>
        <v>1707.14</v>
      </c>
      <c r="D1871" s="26">
        <v>37749</v>
      </c>
      <c r="E1871" s="27" t="s">
        <v>9</v>
      </c>
      <c r="F1871" s="27">
        <v>2</v>
      </c>
      <c r="G1871" s="27">
        <v>5</v>
      </c>
      <c r="H1871" s="27">
        <v>2003</v>
      </c>
      <c r="I1871" s="27" t="s">
        <v>47</v>
      </c>
      <c r="J1871" s="25">
        <v>61</v>
      </c>
      <c r="K1871" s="25">
        <f>Sales!$B1871-Sales!$J1871</f>
        <v>-10.79</v>
      </c>
      <c r="L1871" s="28">
        <f>(Sales!$J1871-Sales!$B1871)/Sales!$J1871</f>
        <v>0.17688524590163934</v>
      </c>
      <c r="M1871" s="28" t="str">
        <f t="shared" si="29"/>
        <v>15%-20%</v>
      </c>
      <c r="N1871" s="27" t="s">
        <v>92</v>
      </c>
      <c r="O1871" s="27" t="s">
        <v>16</v>
      </c>
      <c r="P1871" s="27" t="s">
        <v>17</v>
      </c>
      <c r="Q1871" s="27" t="s">
        <v>14</v>
      </c>
    </row>
    <row r="1872" spans="1:17" x14ac:dyDescent="0.3">
      <c r="A1872" s="22">
        <v>27</v>
      </c>
      <c r="B1872" s="19">
        <v>66.13</v>
      </c>
      <c r="C1872" s="20">
        <f>Sales!$B1872*Sales!$A1872</f>
        <v>1785.5099999999998</v>
      </c>
      <c r="D1872" s="21">
        <v>37804</v>
      </c>
      <c r="E1872" s="22" t="s">
        <v>9</v>
      </c>
      <c r="F1872" s="22">
        <v>3</v>
      </c>
      <c r="G1872" s="22">
        <v>7</v>
      </c>
      <c r="H1872" s="22">
        <v>2003</v>
      </c>
      <c r="I1872" s="22" t="s">
        <v>47</v>
      </c>
      <c r="J1872" s="20">
        <v>61</v>
      </c>
      <c r="K1872" s="20">
        <f>Sales!$B1872-Sales!$J1872</f>
        <v>5.1299999999999955</v>
      </c>
      <c r="L1872" s="23">
        <f>(Sales!$J1872-Sales!$B1872)/Sales!$J1872</f>
        <v>-8.4098360655737628E-2</v>
      </c>
      <c r="M1872" s="23" t="str">
        <f t="shared" si="29"/>
        <v>Below 0%</v>
      </c>
      <c r="N1872" s="22" t="s">
        <v>64</v>
      </c>
      <c r="O1872" s="22" t="s">
        <v>12</v>
      </c>
      <c r="P1872" s="22" t="s">
        <v>13</v>
      </c>
      <c r="Q1872" s="22" t="s">
        <v>14</v>
      </c>
    </row>
    <row r="1873" spans="1:17" x14ac:dyDescent="0.3">
      <c r="A1873" s="27">
        <v>30</v>
      </c>
      <c r="B1873" s="24">
        <v>68.58</v>
      </c>
      <c r="C1873" s="25">
        <f>Sales!$B1873*Sales!$A1873</f>
        <v>2057.4</v>
      </c>
      <c r="D1873" s="26">
        <v>37869</v>
      </c>
      <c r="E1873" s="27" t="s">
        <v>9</v>
      </c>
      <c r="F1873" s="27">
        <v>3</v>
      </c>
      <c r="G1873" s="27">
        <v>9</v>
      </c>
      <c r="H1873" s="27">
        <v>2003</v>
      </c>
      <c r="I1873" s="27" t="s">
        <v>47</v>
      </c>
      <c r="J1873" s="25">
        <v>61</v>
      </c>
      <c r="K1873" s="25">
        <f>Sales!$B1873-Sales!$J1873</f>
        <v>7.5799999999999983</v>
      </c>
      <c r="L1873" s="28">
        <f>(Sales!$J1873-Sales!$B1873)/Sales!$J1873</f>
        <v>-0.12426229508196719</v>
      </c>
      <c r="M1873" s="28" t="str">
        <f t="shared" si="29"/>
        <v>Below 0%</v>
      </c>
      <c r="N1873" s="27" t="s">
        <v>66</v>
      </c>
      <c r="O1873" s="27" t="s">
        <v>12</v>
      </c>
      <c r="P1873" s="27" t="s">
        <v>13</v>
      </c>
      <c r="Q1873" s="27" t="s">
        <v>14</v>
      </c>
    </row>
    <row r="1874" spans="1:17" x14ac:dyDescent="0.3">
      <c r="A1874" s="22">
        <v>50</v>
      </c>
      <c r="B1874" s="19">
        <v>69.8</v>
      </c>
      <c r="C1874" s="20">
        <f>Sales!$B1874*Sales!$A1874</f>
        <v>3490</v>
      </c>
      <c r="D1874" s="21">
        <v>37904</v>
      </c>
      <c r="E1874" s="22" t="s">
        <v>9</v>
      </c>
      <c r="F1874" s="22">
        <v>4</v>
      </c>
      <c r="G1874" s="22">
        <v>10</v>
      </c>
      <c r="H1874" s="22">
        <v>2003</v>
      </c>
      <c r="I1874" s="22" t="s">
        <v>47</v>
      </c>
      <c r="J1874" s="20">
        <v>61</v>
      </c>
      <c r="K1874" s="20">
        <f>Sales!$B1874-Sales!$J1874</f>
        <v>8.7999999999999972</v>
      </c>
      <c r="L1874" s="23">
        <f>(Sales!$J1874-Sales!$B1874)/Sales!$J1874</f>
        <v>-0.14426229508196717</v>
      </c>
      <c r="M1874" s="23" t="str">
        <f t="shared" si="29"/>
        <v>Below 0%</v>
      </c>
      <c r="N1874" s="22" t="s">
        <v>21</v>
      </c>
      <c r="O1874" s="22" t="s">
        <v>12</v>
      </c>
      <c r="P1874" s="22" t="s">
        <v>13</v>
      </c>
      <c r="Q1874" s="22" t="s">
        <v>19</v>
      </c>
    </row>
    <row r="1875" spans="1:17" x14ac:dyDescent="0.3">
      <c r="A1875" s="27">
        <v>34</v>
      </c>
      <c r="B1875" s="24">
        <v>50.21</v>
      </c>
      <c r="C1875" s="25">
        <f>Sales!$B1875*Sales!$A1875</f>
        <v>1707.14</v>
      </c>
      <c r="D1875" s="26">
        <v>37929</v>
      </c>
      <c r="E1875" s="27" t="s">
        <v>9</v>
      </c>
      <c r="F1875" s="27">
        <v>4</v>
      </c>
      <c r="G1875" s="27">
        <v>11</v>
      </c>
      <c r="H1875" s="27">
        <v>2003</v>
      </c>
      <c r="I1875" s="27" t="s">
        <v>47</v>
      </c>
      <c r="J1875" s="25">
        <v>61</v>
      </c>
      <c r="K1875" s="25">
        <f>Sales!$B1875-Sales!$J1875</f>
        <v>-10.79</v>
      </c>
      <c r="L1875" s="28">
        <f>(Sales!$J1875-Sales!$B1875)/Sales!$J1875</f>
        <v>0.17688524590163934</v>
      </c>
      <c r="M1875" s="28" t="str">
        <f t="shared" si="29"/>
        <v>15%-20%</v>
      </c>
      <c r="N1875" s="27" t="s">
        <v>67</v>
      </c>
      <c r="O1875" s="27" t="s">
        <v>27</v>
      </c>
      <c r="P1875" s="27" t="s">
        <v>28</v>
      </c>
      <c r="Q1875" s="27" t="s">
        <v>14</v>
      </c>
    </row>
    <row r="1876" spans="1:17" x14ac:dyDescent="0.3">
      <c r="A1876" s="22">
        <v>23</v>
      </c>
      <c r="B1876" s="19">
        <v>65.52</v>
      </c>
      <c r="C1876" s="20">
        <f>Sales!$B1876*Sales!$A1876</f>
        <v>1506.9599999999998</v>
      </c>
      <c r="D1876" s="21">
        <v>37937</v>
      </c>
      <c r="E1876" s="22" t="s">
        <v>9</v>
      </c>
      <c r="F1876" s="22">
        <v>4</v>
      </c>
      <c r="G1876" s="22">
        <v>11</v>
      </c>
      <c r="H1876" s="22">
        <v>2003</v>
      </c>
      <c r="I1876" s="22" t="s">
        <v>47</v>
      </c>
      <c r="J1876" s="20">
        <v>61</v>
      </c>
      <c r="K1876" s="20">
        <f>Sales!$B1876-Sales!$J1876</f>
        <v>4.519999999999996</v>
      </c>
      <c r="L1876" s="23">
        <f>(Sales!$J1876-Sales!$B1876)/Sales!$J1876</f>
        <v>-7.4098360655737633E-2</v>
      </c>
      <c r="M1876" s="23" t="str">
        <f t="shared" si="29"/>
        <v>Below 0%</v>
      </c>
      <c r="N1876" s="22" t="s">
        <v>24</v>
      </c>
      <c r="O1876" s="22" t="s">
        <v>25</v>
      </c>
      <c r="P1876" s="22" t="s">
        <v>17</v>
      </c>
      <c r="Q1876" s="22" t="s">
        <v>14</v>
      </c>
    </row>
    <row r="1877" spans="1:17" x14ac:dyDescent="0.3">
      <c r="A1877" s="27">
        <v>48</v>
      </c>
      <c r="B1877" s="24">
        <v>60.01</v>
      </c>
      <c r="C1877" s="25">
        <f>Sales!$B1877*Sales!$A1877</f>
        <v>2880.48</v>
      </c>
      <c r="D1877" s="26">
        <v>37945</v>
      </c>
      <c r="E1877" s="27" t="s">
        <v>9</v>
      </c>
      <c r="F1877" s="27">
        <v>4</v>
      </c>
      <c r="G1877" s="27">
        <v>11</v>
      </c>
      <c r="H1877" s="27">
        <v>2003</v>
      </c>
      <c r="I1877" s="27" t="s">
        <v>47</v>
      </c>
      <c r="J1877" s="25">
        <v>61</v>
      </c>
      <c r="K1877" s="25">
        <f>Sales!$B1877-Sales!$J1877</f>
        <v>-0.99000000000000199</v>
      </c>
      <c r="L1877" s="28">
        <f>(Sales!$J1877-Sales!$B1877)/Sales!$J1877</f>
        <v>1.6229508196721344E-2</v>
      </c>
      <c r="M1877" s="28" t="str">
        <f t="shared" si="29"/>
        <v>0%-5%</v>
      </c>
      <c r="N1877" s="27" t="s">
        <v>93</v>
      </c>
      <c r="O1877" s="27" t="s">
        <v>94</v>
      </c>
      <c r="P1877" s="27" t="s">
        <v>17</v>
      </c>
      <c r="Q1877" s="27" t="s">
        <v>14</v>
      </c>
    </row>
    <row r="1878" spans="1:17" x14ac:dyDescent="0.3">
      <c r="A1878" s="22">
        <v>34</v>
      </c>
      <c r="B1878" s="19">
        <v>64.900000000000006</v>
      </c>
      <c r="C1878" s="20">
        <f>Sales!$B1878*Sales!$A1878</f>
        <v>2206.6000000000004</v>
      </c>
      <c r="D1878" s="21">
        <v>37957</v>
      </c>
      <c r="E1878" s="22" t="s">
        <v>9</v>
      </c>
      <c r="F1878" s="22">
        <v>4</v>
      </c>
      <c r="G1878" s="22">
        <v>12</v>
      </c>
      <c r="H1878" s="22">
        <v>2003</v>
      </c>
      <c r="I1878" s="22" t="s">
        <v>47</v>
      </c>
      <c r="J1878" s="20">
        <v>61</v>
      </c>
      <c r="K1878" s="20">
        <f>Sales!$B1878-Sales!$J1878</f>
        <v>3.9000000000000057</v>
      </c>
      <c r="L1878" s="23">
        <f>(Sales!$J1878-Sales!$B1878)/Sales!$J1878</f>
        <v>-6.393442622950829E-2</v>
      </c>
      <c r="M1878" s="23" t="str">
        <f t="shared" si="29"/>
        <v>Below 0%</v>
      </c>
      <c r="N1878" s="22" t="s">
        <v>45</v>
      </c>
      <c r="O1878" s="22" t="s">
        <v>46</v>
      </c>
      <c r="P1878" s="22" t="s">
        <v>17</v>
      </c>
      <c r="Q1878" s="22" t="s">
        <v>14</v>
      </c>
    </row>
    <row r="1879" spans="1:17" x14ac:dyDescent="0.3">
      <c r="A1879" s="27">
        <v>48</v>
      </c>
      <c r="B1879" s="24">
        <v>48.98</v>
      </c>
      <c r="C1879" s="25">
        <f>Sales!$B1879*Sales!$A1879</f>
        <v>2351.04</v>
      </c>
      <c r="D1879" s="26">
        <v>38001</v>
      </c>
      <c r="E1879" s="27" t="s">
        <v>9</v>
      </c>
      <c r="F1879" s="27">
        <v>1</v>
      </c>
      <c r="G1879" s="27">
        <v>1</v>
      </c>
      <c r="H1879" s="27">
        <v>2004</v>
      </c>
      <c r="I1879" s="27" t="s">
        <v>47</v>
      </c>
      <c r="J1879" s="25">
        <v>61</v>
      </c>
      <c r="K1879" s="25">
        <f>Sales!$B1879-Sales!$J1879</f>
        <v>-12.020000000000003</v>
      </c>
      <c r="L1879" s="28">
        <f>(Sales!$J1879-Sales!$B1879)/Sales!$J1879</f>
        <v>0.19704918032786892</v>
      </c>
      <c r="M1879" s="28" t="str">
        <f t="shared" si="29"/>
        <v>15%-20%</v>
      </c>
      <c r="N1879" s="27" t="s">
        <v>18</v>
      </c>
      <c r="O1879" s="27" t="s">
        <v>16</v>
      </c>
      <c r="P1879" s="27" t="s">
        <v>17</v>
      </c>
      <c r="Q1879" s="27" t="s">
        <v>14</v>
      </c>
    </row>
    <row r="1880" spans="1:17" x14ac:dyDescent="0.3">
      <c r="A1880" s="22">
        <v>24</v>
      </c>
      <c r="B1880" s="19">
        <v>50.21</v>
      </c>
      <c r="C1880" s="20">
        <f>Sales!$B1880*Sales!$A1880</f>
        <v>1205.04</v>
      </c>
      <c r="D1880" s="21">
        <v>38039</v>
      </c>
      <c r="E1880" s="22" t="s">
        <v>9</v>
      </c>
      <c r="F1880" s="22">
        <v>1</v>
      </c>
      <c r="G1880" s="22">
        <v>2</v>
      </c>
      <c r="H1880" s="22">
        <v>2004</v>
      </c>
      <c r="I1880" s="22" t="s">
        <v>47</v>
      </c>
      <c r="J1880" s="20">
        <v>61</v>
      </c>
      <c r="K1880" s="20">
        <f>Sales!$B1880-Sales!$J1880</f>
        <v>-10.79</v>
      </c>
      <c r="L1880" s="23">
        <f>(Sales!$J1880-Sales!$B1880)/Sales!$J1880</f>
        <v>0.17688524590163934</v>
      </c>
      <c r="M1880" s="23" t="str">
        <f t="shared" si="29"/>
        <v>15%-20%</v>
      </c>
      <c r="N1880" s="22" t="s">
        <v>95</v>
      </c>
      <c r="O1880" s="22" t="s">
        <v>96</v>
      </c>
      <c r="P1880" s="22" t="s">
        <v>17</v>
      </c>
      <c r="Q1880" s="22" t="s">
        <v>14</v>
      </c>
    </row>
    <row r="1881" spans="1:17" x14ac:dyDescent="0.3">
      <c r="A1881" s="27">
        <v>47</v>
      </c>
      <c r="B1881" s="24">
        <v>62.45</v>
      </c>
      <c r="C1881" s="25">
        <f>Sales!$B1881*Sales!$A1881</f>
        <v>2935.15</v>
      </c>
      <c r="D1881" s="26">
        <v>38086</v>
      </c>
      <c r="E1881" s="27" t="s">
        <v>9</v>
      </c>
      <c r="F1881" s="27">
        <v>2</v>
      </c>
      <c r="G1881" s="27">
        <v>4</v>
      </c>
      <c r="H1881" s="27">
        <v>2004</v>
      </c>
      <c r="I1881" s="27" t="s">
        <v>47</v>
      </c>
      <c r="J1881" s="25">
        <v>61</v>
      </c>
      <c r="K1881" s="25">
        <f>Sales!$B1881-Sales!$J1881</f>
        <v>1.4500000000000028</v>
      </c>
      <c r="L1881" s="28">
        <f>(Sales!$J1881-Sales!$B1881)/Sales!$J1881</f>
        <v>-2.3770491803278736E-2</v>
      </c>
      <c r="M1881" s="28" t="str">
        <f t="shared" si="29"/>
        <v>Below 0%</v>
      </c>
      <c r="N1881" s="27" t="s">
        <v>72</v>
      </c>
      <c r="O1881" s="27" t="s">
        <v>73</v>
      </c>
      <c r="P1881" s="27" t="s">
        <v>17</v>
      </c>
      <c r="Q1881" s="27" t="s">
        <v>14</v>
      </c>
    </row>
    <row r="1882" spans="1:17" x14ac:dyDescent="0.3">
      <c r="A1882" s="22">
        <v>24</v>
      </c>
      <c r="B1882" s="19">
        <v>52.66</v>
      </c>
      <c r="C1882" s="20">
        <f>Sales!$B1882*Sales!$A1882</f>
        <v>1263.8399999999999</v>
      </c>
      <c r="D1882" s="21">
        <v>38139</v>
      </c>
      <c r="E1882" s="22" t="s">
        <v>75</v>
      </c>
      <c r="F1882" s="22">
        <v>2</v>
      </c>
      <c r="G1882" s="22">
        <v>6</v>
      </c>
      <c r="H1882" s="22">
        <v>2004</v>
      </c>
      <c r="I1882" s="22" t="s">
        <v>47</v>
      </c>
      <c r="J1882" s="20">
        <v>61</v>
      </c>
      <c r="K1882" s="20">
        <f>Sales!$B1882-Sales!$J1882</f>
        <v>-8.3400000000000034</v>
      </c>
      <c r="L1882" s="23">
        <f>(Sales!$J1882-Sales!$B1882)/Sales!$J1882</f>
        <v>0.13672131147540989</v>
      </c>
      <c r="M1882" s="23" t="str">
        <f t="shared" si="29"/>
        <v>10%-15%</v>
      </c>
      <c r="N1882" s="22" t="s">
        <v>42</v>
      </c>
      <c r="O1882" s="22" t="s">
        <v>43</v>
      </c>
      <c r="P1882" s="22" t="s">
        <v>17</v>
      </c>
      <c r="Q1882" s="22" t="s">
        <v>14</v>
      </c>
    </row>
    <row r="1883" spans="1:17" x14ac:dyDescent="0.3">
      <c r="A1883" s="27">
        <v>47</v>
      </c>
      <c r="B1883" s="24">
        <v>62.45</v>
      </c>
      <c r="C1883" s="25">
        <f>Sales!$B1883*Sales!$A1883</f>
        <v>2935.15</v>
      </c>
      <c r="D1883" s="26">
        <v>38174</v>
      </c>
      <c r="E1883" s="27" t="s">
        <v>9</v>
      </c>
      <c r="F1883" s="27">
        <v>3</v>
      </c>
      <c r="G1883" s="27">
        <v>7</v>
      </c>
      <c r="H1883" s="27">
        <v>2004</v>
      </c>
      <c r="I1883" s="27" t="s">
        <v>47</v>
      </c>
      <c r="J1883" s="25">
        <v>61</v>
      </c>
      <c r="K1883" s="25">
        <f>Sales!$B1883-Sales!$J1883</f>
        <v>1.4500000000000028</v>
      </c>
      <c r="L1883" s="28">
        <f>(Sales!$J1883-Sales!$B1883)/Sales!$J1883</f>
        <v>-2.3770491803278736E-2</v>
      </c>
      <c r="M1883" s="28" t="str">
        <f t="shared" si="29"/>
        <v>Below 0%</v>
      </c>
      <c r="N1883" s="27" t="s">
        <v>97</v>
      </c>
      <c r="O1883" s="27" t="s">
        <v>61</v>
      </c>
      <c r="P1883" s="27" t="s">
        <v>17</v>
      </c>
      <c r="Q1883" s="27" t="s">
        <v>14</v>
      </c>
    </row>
    <row r="1884" spans="1:17" x14ac:dyDescent="0.3">
      <c r="A1884" s="22">
        <v>20</v>
      </c>
      <c r="B1884" s="19">
        <v>61.23</v>
      </c>
      <c r="C1884" s="20">
        <f>Sales!$B1884*Sales!$A1884</f>
        <v>1224.5999999999999</v>
      </c>
      <c r="D1884" s="21">
        <v>38201</v>
      </c>
      <c r="E1884" s="22" t="s">
        <v>9</v>
      </c>
      <c r="F1884" s="22">
        <v>3</v>
      </c>
      <c r="G1884" s="22">
        <v>8</v>
      </c>
      <c r="H1884" s="22">
        <v>2004</v>
      </c>
      <c r="I1884" s="22" t="s">
        <v>47</v>
      </c>
      <c r="J1884" s="20">
        <v>61</v>
      </c>
      <c r="K1884" s="20">
        <f>Sales!$B1884-Sales!$J1884</f>
        <v>0.22999999999999687</v>
      </c>
      <c r="L1884" s="23">
        <f>(Sales!$J1884-Sales!$B1884)/Sales!$J1884</f>
        <v>-3.7704918032786371E-3</v>
      </c>
      <c r="M1884" s="23" t="s">
        <v>130</v>
      </c>
      <c r="N1884" s="22" t="s">
        <v>66</v>
      </c>
      <c r="O1884" s="22" t="s">
        <v>12</v>
      </c>
      <c r="P1884" s="22" t="s">
        <v>13</v>
      </c>
      <c r="Q1884" s="22" t="s">
        <v>14</v>
      </c>
    </row>
    <row r="1885" spans="1:17" x14ac:dyDescent="0.3">
      <c r="A1885" s="27">
        <v>20</v>
      </c>
      <c r="B1885" s="24">
        <v>67.97</v>
      </c>
      <c r="C1885" s="25">
        <f>Sales!$B1885*Sales!$A1885</f>
        <v>1359.4</v>
      </c>
      <c r="D1885" s="26">
        <v>38229</v>
      </c>
      <c r="E1885" s="27" t="s">
        <v>9</v>
      </c>
      <c r="F1885" s="27">
        <v>3</v>
      </c>
      <c r="G1885" s="27">
        <v>8</v>
      </c>
      <c r="H1885" s="27">
        <v>2004</v>
      </c>
      <c r="I1885" s="27" t="s">
        <v>47</v>
      </c>
      <c r="J1885" s="25">
        <v>61</v>
      </c>
      <c r="K1885" s="25">
        <f>Sales!$B1885-Sales!$J1885</f>
        <v>6.9699999999999989</v>
      </c>
      <c r="L1885" s="28">
        <f>(Sales!$J1885-Sales!$B1885)/Sales!$J1885</f>
        <v>-0.1142622950819672</v>
      </c>
      <c r="M1885" s="28" t="str">
        <f t="shared" si="29"/>
        <v>Below 0%</v>
      </c>
      <c r="N1885" s="27" t="s">
        <v>95</v>
      </c>
      <c r="O1885" s="27" t="s">
        <v>96</v>
      </c>
      <c r="P1885" s="27" t="s">
        <v>17</v>
      </c>
      <c r="Q1885" s="27" t="s">
        <v>14</v>
      </c>
    </row>
    <row r="1886" spans="1:17" x14ac:dyDescent="0.3">
      <c r="A1886" s="22">
        <v>31</v>
      </c>
      <c r="B1886" s="19">
        <v>58.78</v>
      </c>
      <c r="C1886" s="20">
        <f>Sales!$B1886*Sales!$A1886</f>
        <v>1822.18</v>
      </c>
      <c r="D1886" s="21">
        <v>37898</v>
      </c>
      <c r="E1886" s="22" t="s">
        <v>9</v>
      </c>
      <c r="F1886" s="22">
        <v>4</v>
      </c>
      <c r="G1886" s="22">
        <v>10</v>
      </c>
      <c r="H1886" s="22">
        <v>2003</v>
      </c>
      <c r="I1886" s="22" t="s">
        <v>47</v>
      </c>
      <c r="J1886" s="20">
        <v>61</v>
      </c>
      <c r="K1886" s="20">
        <f>Sales!$B1886-Sales!$J1886</f>
        <v>-2.2199999999999989</v>
      </c>
      <c r="L1886" s="23">
        <f>(Sales!$J1886-Sales!$B1886)/Sales!$J1886</f>
        <v>3.63934426229508E-2</v>
      </c>
      <c r="M1886" s="23" t="str">
        <f t="shared" si="29"/>
        <v>0%-5%</v>
      </c>
      <c r="N1886" s="22" t="s">
        <v>98</v>
      </c>
      <c r="O1886" s="22" t="s">
        <v>94</v>
      </c>
      <c r="P1886" s="22" t="s">
        <v>17</v>
      </c>
      <c r="Q1886" s="22" t="s">
        <v>14</v>
      </c>
    </row>
    <row r="1887" spans="1:17" x14ac:dyDescent="0.3">
      <c r="A1887" s="27">
        <v>38</v>
      </c>
      <c r="B1887" s="24">
        <v>56.94</v>
      </c>
      <c r="C1887" s="25">
        <f>Sales!$B1887*Sales!$A1887</f>
        <v>2163.7199999999998</v>
      </c>
      <c r="D1887" s="26">
        <v>38276</v>
      </c>
      <c r="E1887" s="27" t="s">
        <v>9</v>
      </c>
      <c r="F1887" s="27">
        <v>4</v>
      </c>
      <c r="G1887" s="27">
        <v>10</v>
      </c>
      <c r="H1887" s="27">
        <v>2004</v>
      </c>
      <c r="I1887" s="27" t="s">
        <v>47</v>
      </c>
      <c r="J1887" s="25">
        <v>61</v>
      </c>
      <c r="K1887" s="25">
        <f>Sales!$B1887-Sales!$J1887</f>
        <v>-4.0600000000000023</v>
      </c>
      <c r="L1887" s="28">
        <f>(Sales!$J1887-Sales!$B1887)/Sales!$J1887</f>
        <v>6.6557377049180369E-2</v>
      </c>
      <c r="M1887" s="28" t="str">
        <f t="shared" si="29"/>
        <v>5%-10%</v>
      </c>
      <c r="N1887" s="27" t="s">
        <v>93</v>
      </c>
      <c r="O1887" s="27" t="s">
        <v>94</v>
      </c>
      <c r="P1887" s="27" t="s">
        <v>17</v>
      </c>
      <c r="Q1887" s="27" t="s">
        <v>14</v>
      </c>
    </row>
    <row r="1888" spans="1:17" x14ac:dyDescent="0.3">
      <c r="A1888" s="22">
        <v>26</v>
      </c>
      <c r="B1888" s="19">
        <v>61.23</v>
      </c>
      <c r="C1888" s="20">
        <f>Sales!$B1888*Sales!$A1888</f>
        <v>1591.98</v>
      </c>
      <c r="D1888" s="21">
        <v>38294</v>
      </c>
      <c r="E1888" s="22" t="s">
        <v>9</v>
      </c>
      <c r="F1888" s="22">
        <v>4</v>
      </c>
      <c r="G1888" s="22">
        <v>11</v>
      </c>
      <c r="H1888" s="22">
        <v>2004</v>
      </c>
      <c r="I1888" s="22" t="s">
        <v>47</v>
      </c>
      <c r="J1888" s="20">
        <v>61</v>
      </c>
      <c r="K1888" s="20">
        <f>Sales!$B1888-Sales!$J1888</f>
        <v>0.22999999999999687</v>
      </c>
      <c r="L1888" s="23">
        <f>(Sales!$J1888-Sales!$B1888)/Sales!$J1888</f>
        <v>-3.7704918032786371E-3</v>
      </c>
      <c r="M1888" s="23" t="s">
        <v>130</v>
      </c>
      <c r="N1888" s="22" t="s">
        <v>48</v>
      </c>
      <c r="O1888" s="22" t="s">
        <v>49</v>
      </c>
      <c r="P1888" s="22" t="s">
        <v>17</v>
      </c>
      <c r="Q1888" s="22" t="s">
        <v>14</v>
      </c>
    </row>
    <row r="1889" spans="1:17" x14ac:dyDescent="0.3">
      <c r="A1889" s="27">
        <v>25</v>
      </c>
      <c r="B1889" s="24">
        <v>100</v>
      </c>
      <c r="C1889" s="25">
        <f>Sales!$B1889*Sales!$A1889</f>
        <v>2500</v>
      </c>
      <c r="D1889" s="26">
        <v>38308</v>
      </c>
      <c r="E1889" s="27" t="s">
        <v>9</v>
      </c>
      <c r="F1889" s="27">
        <v>4</v>
      </c>
      <c r="G1889" s="27">
        <v>11</v>
      </c>
      <c r="H1889" s="27">
        <v>2004</v>
      </c>
      <c r="I1889" s="27" t="s">
        <v>47</v>
      </c>
      <c r="J1889" s="25">
        <v>61</v>
      </c>
      <c r="K1889" s="25">
        <f>Sales!$B1889-Sales!$J1889</f>
        <v>39</v>
      </c>
      <c r="L1889" s="28">
        <f>(Sales!$J1889-Sales!$B1889)/Sales!$J1889</f>
        <v>-0.63934426229508201</v>
      </c>
      <c r="M1889" s="28" t="str">
        <f t="shared" si="29"/>
        <v>Below 0%</v>
      </c>
      <c r="N1889" s="27" t="s">
        <v>53</v>
      </c>
      <c r="O1889" s="27" t="s">
        <v>12</v>
      </c>
      <c r="P1889" s="27" t="s">
        <v>13</v>
      </c>
      <c r="Q1889" s="27" t="s">
        <v>19</v>
      </c>
    </row>
    <row r="1890" spans="1:17" x14ac:dyDescent="0.3">
      <c r="A1890" s="22">
        <v>48</v>
      </c>
      <c r="B1890" s="19">
        <v>62.45</v>
      </c>
      <c r="C1890" s="20">
        <f>Sales!$B1890*Sales!$A1890</f>
        <v>2997.6000000000004</v>
      </c>
      <c r="D1890" s="21">
        <v>38315</v>
      </c>
      <c r="E1890" s="22" t="s">
        <v>9</v>
      </c>
      <c r="F1890" s="22">
        <v>4</v>
      </c>
      <c r="G1890" s="22">
        <v>11</v>
      </c>
      <c r="H1890" s="22">
        <v>2004</v>
      </c>
      <c r="I1890" s="22" t="s">
        <v>47</v>
      </c>
      <c r="J1890" s="20">
        <v>61</v>
      </c>
      <c r="K1890" s="20">
        <f>Sales!$B1890-Sales!$J1890</f>
        <v>1.4500000000000028</v>
      </c>
      <c r="L1890" s="23">
        <f>(Sales!$J1890-Sales!$B1890)/Sales!$J1890</f>
        <v>-2.3770491803278736E-2</v>
      </c>
      <c r="M1890" s="23" t="str">
        <f t="shared" si="29"/>
        <v>Below 0%</v>
      </c>
      <c r="N1890" s="22" t="s">
        <v>26</v>
      </c>
      <c r="O1890" s="22" t="s">
        <v>27</v>
      </c>
      <c r="P1890" s="22" t="s">
        <v>28</v>
      </c>
      <c r="Q1890" s="22" t="s">
        <v>14</v>
      </c>
    </row>
    <row r="1891" spans="1:17" x14ac:dyDescent="0.3">
      <c r="A1891" s="27">
        <v>44</v>
      </c>
      <c r="B1891" s="24">
        <v>62.45</v>
      </c>
      <c r="C1891" s="25">
        <f>Sales!$B1891*Sales!$A1891</f>
        <v>2747.8</v>
      </c>
      <c r="D1891" s="26">
        <v>38328</v>
      </c>
      <c r="E1891" s="27" t="s">
        <v>9</v>
      </c>
      <c r="F1891" s="27">
        <v>4</v>
      </c>
      <c r="G1891" s="27">
        <v>12</v>
      </c>
      <c r="H1891" s="27">
        <v>2004</v>
      </c>
      <c r="I1891" s="27" t="s">
        <v>47</v>
      </c>
      <c r="J1891" s="25">
        <v>61</v>
      </c>
      <c r="K1891" s="25">
        <f>Sales!$B1891-Sales!$J1891</f>
        <v>1.4500000000000028</v>
      </c>
      <c r="L1891" s="28">
        <f>(Sales!$J1891-Sales!$B1891)/Sales!$J1891</f>
        <v>-2.3770491803278736E-2</v>
      </c>
      <c r="M1891" s="28" t="str">
        <f t="shared" si="29"/>
        <v>Below 0%</v>
      </c>
      <c r="N1891" s="27" t="s">
        <v>45</v>
      </c>
      <c r="O1891" s="27" t="s">
        <v>46</v>
      </c>
      <c r="P1891" s="27" t="s">
        <v>17</v>
      </c>
      <c r="Q1891" s="27" t="s">
        <v>14</v>
      </c>
    </row>
    <row r="1892" spans="1:17" x14ac:dyDescent="0.3">
      <c r="A1892" s="22">
        <v>21</v>
      </c>
      <c r="B1892" s="19">
        <v>100</v>
      </c>
      <c r="C1892" s="20">
        <f>Sales!$B1892*Sales!$A1892</f>
        <v>2100</v>
      </c>
      <c r="D1892" s="21">
        <v>38358</v>
      </c>
      <c r="E1892" s="22" t="s">
        <v>9</v>
      </c>
      <c r="F1892" s="22">
        <v>1</v>
      </c>
      <c r="G1892" s="22">
        <v>1</v>
      </c>
      <c r="H1892" s="22">
        <v>2005</v>
      </c>
      <c r="I1892" s="22" t="s">
        <v>47</v>
      </c>
      <c r="J1892" s="20">
        <v>61</v>
      </c>
      <c r="K1892" s="20">
        <f>Sales!$B1892-Sales!$J1892</f>
        <v>39</v>
      </c>
      <c r="L1892" s="23">
        <f>(Sales!$J1892-Sales!$B1892)/Sales!$J1892</f>
        <v>-0.63934426229508201</v>
      </c>
      <c r="M1892" s="23" t="str">
        <f t="shared" si="29"/>
        <v>Below 0%</v>
      </c>
      <c r="N1892" s="22" t="s">
        <v>99</v>
      </c>
      <c r="O1892" s="22" t="s">
        <v>34</v>
      </c>
      <c r="P1892" s="22" t="s">
        <v>17</v>
      </c>
      <c r="Q1892" s="22" t="s">
        <v>14</v>
      </c>
    </row>
    <row r="1893" spans="1:17" x14ac:dyDescent="0.3">
      <c r="A1893" s="27">
        <v>46</v>
      </c>
      <c r="B1893" s="24">
        <v>41.54</v>
      </c>
      <c r="C1893" s="25">
        <f>Sales!$B1893*Sales!$A1893</f>
        <v>1910.84</v>
      </c>
      <c r="D1893" s="26">
        <v>38393</v>
      </c>
      <c r="E1893" s="27" t="s">
        <v>9</v>
      </c>
      <c r="F1893" s="27">
        <v>1</v>
      </c>
      <c r="G1893" s="27">
        <v>2</v>
      </c>
      <c r="H1893" s="27">
        <v>2005</v>
      </c>
      <c r="I1893" s="27" t="s">
        <v>47</v>
      </c>
      <c r="J1893" s="25">
        <v>61</v>
      </c>
      <c r="K1893" s="25">
        <f>Sales!$B1893-Sales!$J1893</f>
        <v>-19.46</v>
      </c>
      <c r="L1893" s="28">
        <f>(Sales!$J1893-Sales!$B1893)/Sales!$J1893</f>
        <v>0.31901639344262295</v>
      </c>
      <c r="M1893" s="28" t="str">
        <f t="shared" si="29"/>
        <v>+20%</v>
      </c>
      <c r="N1893" s="27" t="s">
        <v>45</v>
      </c>
      <c r="O1893" s="27" t="s">
        <v>46</v>
      </c>
      <c r="P1893" s="27" t="s">
        <v>17</v>
      </c>
      <c r="Q1893" s="27" t="s">
        <v>14</v>
      </c>
    </row>
    <row r="1894" spans="1:17" x14ac:dyDescent="0.3">
      <c r="A1894" s="22">
        <v>46</v>
      </c>
      <c r="B1894" s="19">
        <v>52.84</v>
      </c>
      <c r="C1894" s="20">
        <f>Sales!$B1894*Sales!$A1894</f>
        <v>2430.6400000000003</v>
      </c>
      <c r="D1894" s="21">
        <v>38415</v>
      </c>
      <c r="E1894" s="22" t="s">
        <v>9</v>
      </c>
      <c r="F1894" s="22">
        <v>1</v>
      </c>
      <c r="G1894" s="22">
        <v>3</v>
      </c>
      <c r="H1894" s="22">
        <v>2005</v>
      </c>
      <c r="I1894" s="22" t="s">
        <v>47</v>
      </c>
      <c r="J1894" s="20">
        <v>61</v>
      </c>
      <c r="K1894" s="20">
        <f>Sales!$B1894-Sales!$J1894</f>
        <v>-8.1599999999999966</v>
      </c>
      <c r="L1894" s="23">
        <f>(Sales!$J1894-Sales!$B1894)/Sales!$J1894</f>
        <v>0.13377049180327863</v>
      </c>
      <c r="M1894" s="23" t="str">
        <f t="shared" si="29"/>
        <v>10%-15%</v>
      </c>
      <c r="N1894" s="22" t="s">
        <v>64</v>
      </c>
      <c r="O1894" s="22" t="s">
        <v>12</v>
      </c>
      <c r="P1894" s="22" t="s">
        <v>13</v>
      </c>
      <c r="Q1894" s="22" t="s">
        <v>14</v>
      </c>
    </row>
    <row r="1895" spans="1:17" x14ac:dyDescent="0.3">
      <c r="A1895" s="27">
        <v>55</v>
      </c>
      <c r="B1895" s="24">
        <v>52.66</v>
      </c>
      <c r="C1895" s="25">
        <f>Sales!$B1895*Sales!$A1895</f>
        <v>2896.2999999999997</v>
      </c>
      <c r="D1895" s="26">
        <v>38489</v>
      </c>
      <c r="E1895" s="27" t="s">
        <v>9</v>
      </c>
      <c r="F1895" s="27">
        <v>2</v>
      </c>
      <c r="G1895" s="27">
        <v>5</v>
      </c>
      <c r="H1895" s="27">
        <v>2005</v>
      </c>
      <c r="I1895" s="27" t="s">
        <v>47</v>
      </c>
      <c r="J1895" s="25">
        <v>61</v>
      </c>
      <c r="K1895" s="25">
        <f>Sales!$B1895-Sales!$J1895</f>
        <v>-8.3400000000000034</v>
      </c>
      <c r="L1895" s="28">
        <f>(Sales!$J1895-Sales!$B1895)/Sales!$J1895</f>
        <v>0.13672131147540989</v>
      </c>
      <c r="M1895" s="28" t="str">
        <f t="shared" si="29"/>
        <v>10%-15%</v>
      </c>
      <c r="N1895" s="27" t="s">
        <v>37</v>
      </c>
      <c r="O1895" s="27" t="s">
        <v>38</v>
      </c>
      <c r="P1895" s="27" t="s">
        <v>17</v>
      </c>
      <c r="Q1895" s="27" t="s">
        <v>14</v>
      </c>
    </row>
    <row r="1896" spans="1:17" x14ac:dyDescent="0.3">
      <c r="A1896" s="22">
        <v>31</v>
      </c>
      <c r="B1896" s="19">
        <v>52.6</v>
      </c>
      <c r="C1896" s="20">
        <f>Sales!$B1896*Sales!$A1896</f>
        <v>1630.6000000000001</v>
      </c>
      <c r="D1896" s="21">
        <v>37669</v>
      </c>
      <c r="E1896" s="22" t="s">
        <v>9</v>
      </c>
      <c r="F1896" s="22">
        <v>1</v>
      </c>
      <c r="G1896" s="22">
        <v>2</v>
      </c>
      <c r="H1896" s="22">
        <v>2003</v>
      </c>
      <c r="I1896" s="22" t="s">
        <v>112</v>
      </c>
      <c r="J1896" s="20">
        <v>65</v>
      </c>
      <c r="K1896" s="20">
        <f>Sales!$B1896-Sales!$J1896</f>
        <v>-12.399999999999999</v>
      </c>
      <c r="L1896" s="23">
        <f>(Sales!$J1896-Sales!$B1896)/Sales!$J1896</f>
        <v>0.19076923076923075</v>
      </c>
      <c r="M1896" s="23" t="str">
        <f t="shared" si="29"/>
        <v>15%-20%</v>
      </c>
      <c r="N1896" s="22" t="s">
        <v>113</v>
      </c>
      <c r="O1896" s="22" t="s">
        <v>61</v>
      </c>
      <c r="P1896" s="22" t="s">
        <v>17</v>
      </c>
      <c r="Q1896" s="22" t="s">
        <v>14</v>
      </c>
    </row>
    <row r="1897" spans="1:17" x14ac:dyDescent="0.3">
      <c r="A1897" s="27">
        <v>20</v>
      </c>
      <c r="B1897" s="24">
        <v>72.98</v>
      </c>
      <c r="C1897" s="25">
        <f>Sales!$B1897*Sales!$A1897</f>
        <v>1459.6000000000001</v>
      </c>
      <c r="D1897" s="26">
        <v>37739</v>
      </c>
      <c r="E1897" s="27" t="s">
        <v>9</v>
      </c>
      <c r="F1897" s="27">
        <v>2</v>
      </c>
      <c r="G1897" s="27">
        <v>4</v>
      </c>
      <c r="H1897" s="27">
        <v>2003</v>
      </c>
      <c r="I1897" s="27" t="s">
        <v>112</v>
      </c>
      <c r="J1897" s="25">
        <v>65</v>
      </c>
      <c r="K1897" s="25">
        <f>Sales!$B1897-Sales!$J1897</f>
        <v>7.980000000000004</v>
      </c>
      <c r="L1897" s="28">
        <f>(Sales!$J1897-Sales!$B1897)/Sales!$J1897</f>
        <v>-0.12276923076923082</v>
      </c>
      <c r="M1897" s="28" t="str">
        <f t="shared" si="29"/>
        <v>Below 0%</v>
      </c>
      <c r="N1897" s="27" t="s">
        <v>37</v>
      </c>
      <c r="O1897" s="27" t="s">
        <v>38</v>
      </c>
      <c r="P1897" s="27" t="s">
        <v>17</v>
      </c>
      <c r="Q1897" s="27" t="s">
        <v>14</v>
      </c>
    </row>
    <row r="1898" spans="1:17" x14ac:dyDescent="0.3">
      <c r="A1898" s="22">
        <v>29</v>
      </c>
      <c r="B1898" s="19">
        <v>59.18</v>
      </c>
      <c r="C1898" s="20">
        <f>Sales!$B1898*Sales!$A1898</f>
        <v>1716.22</v>
      </c>
      <c r="D1898" s="21">
        <v>37788</v>
      </c>
      <c r="E1898" s="22" t="s">
        <v>9</v>
      </c>
      <c r="F1898" s="22">
        <v>2</v>
      </c>
      <c r="G1898" s="22">
        <v>6</v>
      </c>
      <c r="H1898" s="22">
        <v>2003</v>
      </c>
      <c r="I1898" s="22" t="s">
        <v>112</v>
      </c>
      <c r="J1898" s="20">
        <v>65</v>
      </c>
      <c r="K1898" s="20">
        <f>Sales!$B1898-Sales!$J1898</f>
        <v>-5.82</v>
      </c>
      <c r="L1898" s="23">
        <f>(Sales!$J1898-Sales!$B1898)/Sales!$J1898</f>
        <v>8.9538461538461539E-2</v>
      </c>
      <c r="M1898" s="23" t="str">
        <f t="shared" si="29"/>
        <v>5%-10%</v>
      </c>
      <c r="N1898" s="22" t="s">
        <v>105</v>
      </c>
      <c r="O1898" s="22" t="s">
        <v>12</v>
      </c>
      <c r="P1898" s="22" t="s">
        <v>13</v>
      </c>
      <c r="Q1898" s="22" t="s">
        <v>14</v>
      </c>
    </row>
    <row r="1899" spans="1:17" x14ac:dyDescent="0.3">
      <c r="A1899" s="27">
        <v>33</v>
      </c>
      <c r="B1899" s="24">
        <v>77.59</v>
      </c>
      <c r="C1899" s="25">
        <f>Sales!$B1899*Sales!$A1899</f>
        <v>2560.4700000000003</v>
      </c>
      <c r="D1899" s="26">
        <v>37843</v>
      </c>
      <c r="E1899" s="27" t="s">
        <v>9</v>
      </c>
      <c r="F1899" s="27">
        <v>3</v>
      </c>
      <c r="G1899" s="27">
        <v>8</v>
      </c>
      <c r="H1899" s="27">
        <v>2003</v>
      </c>
      <c r="I1899" s="27" t="s">
        <v>112</v>
      </c>
      <c r="J1899" s="25">
        <v>65</v>
      </c>
      <c r="K1899" s="25">
        <f>Sales!$B1899-Sales!$J1899</f>
        <v>12.590000000000003</v>
      </c>
      <c r="L1899" s="28">
        <f>(Sales!$J1899-Sales!$B1899)/Sales!$J1899</f>
        <v>-0.19369230769230775</v>
      </c>
      <c r="M1899" s="28" t="str">
        <f t="shared" si="29"/>
        <v>Below 0%</v>
      </c>
      <c r="N1899" s="27" t="s">
        <v>41</v>
      </c>
      <c r="O1899" s="27" t="s">
        <v>12</v>
      </c>
      <c r="P1899" s="27" t="s">
        <v>13</v>
      </c>
      <c r="Q1899" s="27" t="s">
        <v>14</v>
      </c>
    </row>
    <row r="1900" spans="1:17" x14ac:dyDescent="0.3">
      <c r="A1900" s="22">
        <v>34</v>
      </c>
      <c r="B1900" s="19">
        <v>55.89</v>
      </c>
      <c r="C1900" s="20">
        <f>Sales!$B1900*Sales!$A1900</f>
        <v>1900.26</v>
      </c>
      <c r="D1900" s="21">
        <v>37900</v>
      </c>
      <c r="E1900" s="22" t="s">
        <v>9</v>
      </c>
      <c r="F1900" s="22">
        <v>4</v>
      </c>
      <c r="G1900" s="22">
        <v>10</v>
      </c>
      <c r="H1900" s="22">
        <v>2003</v>
      </c>
      <c r="I1900" s="22" t="s">
        <v>112</v>
      </c>
      <c r="J1900" s="20">
        <v>65</v>
      </c>
      <c r="K1900" s="20">
        <f>Sales!$B1900-Sales!$J1900</f>
        <v>-9.11</v>
      </c>
      <c r="L1900" s="23">
        <f>(Sales!$J1900-Sales!$B1900)/Sales!$J1900</f>
        <v>0.14015384615384616</v>
      </c>
      <c r="M1900" s="23" t="str">
        <f t="shared" si="29"/>
        <v>10%-15%</v>
      </c>
      <c r="N1900" s="22" t="s">
        <v>33</v>
      </c>
      <c r="O1900" s="22" t="s">
        <v>34</v>
      </c>
      <c r="P1900" s="22" t="s">
        <v>17</v>
      </c>
      <c r="Q1900" s="22" t="s">
        <v>14</v>
      </c>
    </row>
    <row r="1901" spans="1:17" x14ac:dyDescent="0.3">
      <c r="A1901" s="27">
        <v>32</v>
      </c>
      <c r="B1901" s="24">
        <v>63.12</v>
      </c>
      <c r="C1901" s="25">
        <f>Sales!$B1901*Sales!$A1901</f>
        <v>2019.84</v>
      </c>
      <c r="D1901" s="26">
        <v>37917</v>
      </c>
      <c r="E1901" s="27" t="s">
        <v>75</v>
      </c>
      <c r="F1901" s="27">
        <v>4</v>
      </c>
      <c r="G1901" s="27">
        <v>10</v>
      </c>
      <c r="H1901" s="27">
        <v>2003</v>
      </c>
      <c r="I1901" s="27" t="s">
        <v>112</v>
      </c>
      <c r="J1901" s="25">
        <v>65</v>
      </c>
      <c r="K1901" s="25">
        <f>Sales!$B1901-Sales!$J1901</f>
        <v>-1.8800000000000026</v>
      </c>
      <c r="L1901" s="28">
        <f>(Sales!$J1901-Sales!$B1901)/Sales!$J1901</f>
        <v>2.8923076923076961E-2</v>
      </c>
      <c r="M1901" s="28" t="str">
        <f t="shared" si="29"/>
        <v>0%-5%</v>
      </c>
      <c r="N1901" s="27" t="s">
        <v>62</v>
      </c>
      <c r="O1901" s="27" t="s">
        <v>49</v>
      </c>
      <c r="P1901" s="27" t="s">
        <v>17</v>
      </c>
      <c r="Q1901" s="27" t="s">
        <v>14</v>
      </c>
    </row>
    <row r="1902" spans="1:17" x14ac:dyDescent="0.3">
      <c r="A1902" s="22">
        <v>27</v>
      </c>
      <c r="B1902" s="19">
        <v>73.64</v>
      </c>
      <c r="C1902" s="20">
        <f>Sales!$B1902*Sales!$A1902</f>
        <v>1988.28</v>
      </c>
      <c r="D1902" s="21">
        <v>37933</v>
      </c>
      <c r="E1902" s="22" t="s">
        <v>9</v>
      </c>
      <c r="F1902" s="22">
        <v>4</v>
      </c>
      <c r="G1902" s="22">
        <v>11</v>
      </c>
      <c r="H1902" s="22">
        <v>2003</v>
      </c>
      <c r="I1902" s="22" t="s">
        <v>112</v>
      </c>
      <c r="J1902" s="20">
        <v>65</v>
      </c>
      <c r="K1902" s="20">
        <f>Sales!$B1902-Sales!$J1902</f>
        <v>8.64</v>
      </c>
      <c r="L1902" s="23">
        <f>(Sales!$J1902-Sales!$B1902)/Sales!$J1902</f>
        <v>-0.13292307692307692</v>
      </c>
      <c r="M1902" s="23" t="str">
        <f t="shared" si="29"/>
        <v>Below 0%</v>
      </c>
      <c r="N1902" s="22" t="s">
        <v>76</v>
      </c>
      <c r="O1902" s="22" t="s">
        <v>16</v>
      </c>
      <c r="P1902" s="22" t="s">
        <v>17</v>
      </c>
      <c r="Q1902" s="22" t="s">
        <v>14</v>
      </c>
    </row>
    <row r="1903" spans="1:17" x14ac:dyDescent="0.3">
      <c r="A1903" s="27">
        <v>21</v>
      </c>
      <c r="B1903" s="24">
        <v>69.040000000000006</v>
      </c>
      <c r="C1903" s="25">
        <f>Sales!$B1903*Sales!$A1903</f>
        <v>1449.8400000000001</v>
      </c>
      <c r="D1903" s="26">
        <v>37939</v>
      </c>
      <c r="E1903" s="27" t="s">
        <v>9</v>
      </c>
      <c r="F1903" s="27">
        <v>4</v>
      </c>
      <c r="G1903" s="27">
        <v>11</v>
      </c>
      <c r="H1903" s="27">
        <v>2003</v>
      </c>
      <c r="I1903" s="27" t="s">
        <v>112</v>
      </c>
      <c r="J1903" s="25">
        <v>65</v>
      </c>
      <c r="K1903" s="25">
        <f>Sales!$B1903-Sales!$J1903</f>
        <v>4.0400000000000063</v>
      </c>
      <c r="L1903" s="28">
        <f>(Sales!$J1903-Sales!$B1903)/Sales!$J1903</f>
        <v>-6.2153846153846247E-2</v>
      </c>
      <c r="M1903" s="28" t="str">
        <f t="shared" si="29"/>
        <v>Below 0%</v>
      </c>
      <c r="N1903" s="27" t="s">
        <v>74</v>
      </c>
      <c r="O1903" s="27" t="s">
        <v>43</v>
      </c>
      <c r="P1903" s="27" t="s">
        <v>17</v>
      </c>
      <c r="Q1903" s="27" t="s">
        <v>14</v>
      </c>
    </row>
    <row r="1904" spans="1:17" x14ac:dyDescent="0.3">
      <c r="A1904" s="22">
        <v>27</v>
      </c>
      <c r="B1904" s="19">
        <v>71.67</v>
      </c>
      <c r="C1904" s="20">
        <f>Sales!$B1904*Sales!$A1904</f>
        <v>1935.0900000000001</v>
      </c>
      <c r="D1904" s="21">
        <v>37952</v>
      </c>
      <c r="E1904" s="22" t="s">
        <v>9</v>
      </c>
      <c r="F1904" s="22">
        <v>4</v>
      </c>
      <c r="G1904" s="22">
        <v>11</v>
      </c>
      <c r="H1904" s="22">
        <v>2003</v>
      </c>
      <c r="I1904" s="22" t="s">
        <v>112</v>
      </c>
      <c r="J1904" s="20">
        <v>65</v>
      </c>
      <c r="K1904" s="20">
        <f>Sales!$B1904-Sales!$J1904</f>
        <v>6.6700000000000017</v>
      </c>
      <c r="L1904" s="23">
        <f>(Sales!$J1904-Sales!$B1904)/Sales!$J1904</f>
        <v>-0.10261538461538464</v>
      </c>
      <c r="M1904" s="23" t="str">
        <f t="shared" si="29"/>
        <v>Below 0%</v>
      </c>
      <c r="N1904" s="22" t="s">
        <v>90</v>
      </c>
      <c r="O1904" s="22" t="s">
        <v>91</v>
      </c>
      <c r="P1904" s="22" t="s">
        <v>28</v>
      </c>
      <c r="Q1904" s="22" t="s">
        <v>14</v>
      </c>
    </row>
    <row r="1905" spans="1:17" x14ac:dyDescent="0.3">
      <c r="A1905" s="27">
        <v>36</v>
      </c>
      <c r="B1905" s="24">
        <v>77.59</v>
      </c>
      <c r="C1905" s="25">
        <f>Sales!$B1905*Sales!$A1905</f>
        <v>2793.2400000000002</v>
      </c>
      <c r="D1905" s="26">
        <v>37995</v>
      </c>
      <c r="E1905" s="27" t="s">
        <v>9</v>
      </c>
      <c r="F1905" s="27">
        <v>1</v>
      </c>
      <c r="G1905" s="27">
        <v>1</v>
      </c>
      <c r="H1905" s="27">
        <v>2004</v>
      </c>
      <c r="I1905" s="27" t="s">
        <v>112</v>
      </c>
      <c r="J1905" s="25">
        <v>65</v>
      </c>
      <c r="K1905" s="25">
        <f>Sales!$B1905-Sales!$J1905</f>
        <v>12.590000000000003</v>
      </c>
      <c r="L1905" s="28">
        <f>(Sales!$J1905-Sales!$B1905)/Sales!$J1905</f>
        <v>-0.19369230769230775</v>
      </c>
      <c r="M1905" s="28" t="str">
        <f t="shared" si="29"/>
        <v>Below 0%</v>
      </c>
      <c r="N1905" s="27" t="s">
        <v>78</v>
      </c>
      <c r="O1905" s="27" t="s">
        <v>12</v>
      </c>
      <c r="P1905" s="27" t="s">
        <v>13</v>
      </c>
      <c r="Q1905" s="27" t="s">
        <v>14</v>
      </c>
    </row>
    <row r="1906" spans="1:17" x14ac:dyDescent="0.3">
      <c r="A1906" s="22">
        <v>43</v>
      </c>
      <c r="B1906" s="19">
        <v>70.349999999999994</v>
      </c>
      <c r="C1906" s="20">
        <f>Sales!$B1906*Sales!$A1906</f>
        <v>3025.0499999999997</v>
      </c>
      <c r="D1906" s="21">
        <v>38036</v>
      </c>
      <c r="E1906" s="22" t="s">
        <v>9</v>
      </c>
      <c r="F1906" s="22">
        <v>1</v>
      </c>
      <c r="G1906" s="22">
        <v>2</v>
      </c>
      <c r="H1906" s="22">
        <v>2004</v>
      </c>
      <c r="I1906" s="22" t="s">
        <v>112</v>
      </c>
      <c r="J1906" s="20">
        <v>65</v>
      </c>
      <c r="K1906" s="20">
        <f>Sales!$B1906-Sales!$J1906</f>
        <v>5.3499999999999943</v>
      </c>
      <c r="L1906" s="23">
        <f>(Sales!$J1906-Sales!$B1906)/Sales!$J1906</f>
        <v>-8.2307692307692221E-2</v>
      </c>
      <c r="M1906" s="23" t="str">
        <f t="shared" si="29"/>
        <v>Below 0%</v>
      </c>
      <c r="N1906" s="22" t="s">
        <v>79</v>
      </c>
      <c r="O1906" s="22" t="s">
        <v>12</v>
      </c>
      <c r="P1906" s="22" t="s">
        <v>13</v>
      </c>
      <c r="Q1906" s="22" t="s">
        <v>19</v>
      </c>
    </row>
    <row r="1907" spans="1:17" x14ac:dyDescent="0.3">
      <c r="A1907" s="27">
        <v>25</v>
      </c>
      <c r="B1907" s="24">
        <v>69.7</v>
      </c>
      <c r="C1907" s="25">
        <f>Sales!$B1907*Sales!$A1907</f>
        <v>1742.5</v>
      </c>
      <c r="D1907" s="26">
        <v>38115</v>
      </c>
      <c r="E1907" s="27" t="s">
        <v>9</v>
      </c>
      <c r="F1907" s="27">
        <v>2</v>
      </c>
      <c r="G1907" s="27">
        <v>5</v>
      </c>
      <c r="H1907" s="27">
        <v>2004</v>
      </c>
      <c r="I1907" s="27" t="s">
        <v>112</v>
      </c>
      <c r="J1907" s="25">
        <v>65</v>
      </c>
      <c r="K1907" s="25">
        <f>Sales!$B1907-Sales!$J1907</f>
        <v>4.7000000000000028</v>
      </c>
      <c r="L1907" s="28">
        <f>(Sales!$J1907-Sales!$B1907)/Sales!$J1907</f>
        <v>-7.2307692307692351E-2</v>
      </c>
      <c r="M1907" s="28" t="str">
        <f t="shared" si="29"/>
        <v>Below 0%</v>
      </c>
      <c r="N1907" s="27" t="s">
        <v>32</v>
      </c>
      <c r="O1907" s="27" t="s">
        <v>12</v>
      </c>
      <c r="P1907" s="27" t="s">
        <v>13</v>
      </c>
      <c r="Q1907" s="27" t="s">
        <v>14</v>
      </c>
    </row>
    <row r="1908" spans="1:17" x14ac:dyDescent="0.3">
      <c r="A1908" s="22">
        <v>46</v>
      </c>
      <c r="B1908" s="19">
        <v>70.349999999999994</v>
      </c>
      <c r="C1908" s="20">
        <f>Sales!$B1908*Sales!$A1908</f>
        <v>3236.1</v>
      </c>
      <c r="D1908" s="21">
        <v>38162</v>
      </c>
      <c r="E1908" s="22" t="s">
        <v>75</v>
      </c>
      <c r="F1908" s="22">
        <v>2</v>
      </c>
      <c r="G1908" s="22">
        <v>6</v>
      </c>
      <c r="H1908" s="22">
        <v>2004</v>
      </c>
      <c r="I1908" s="22" t="s">
        <v>112</v>
      </c>
      <c r="J1908" s="20">
        <v>65</v>
      </c>
      <c r="K1908" s="20">
        <f>Sales!$B1908-Sales!$J1908</f>
        <v>5.3499999999999943</v>
      </c>
      <c r="L1908" s="23">
        <f>(Sales!$J1908-Sales!$B1908)/Sales!$J1908</f>
        <v>-8.2307692307692221E-2</v>
      </c>
      <c r="M1908" s="23" t="str">
        <f t="shared" si="29"/>
        <v>Below 0%</v>
      </c>
      <c r="N1908" s="22" t="s">
        <v>45</v>
      </c>
      <c r="O1908" s="22" t="s">
        <v>46</v>
      </c>
      <c r="P1908" s="22" t="s">
        <v>17</v>
      </c>
      <c r="Q1908" s="22" t="s">
        <v>19</v>
      </c>
    </row>
    <row r="1909" spans="1:17" x14ac:dyDescent="0.3">
      <c r="A1909" s="27">
        <v>24</v>
      </c>
      <c r="B1909" s="24">
        <v>72.33</v>
      </c>
      <c r="C1909" s="25">
        <f>Sales!$B1909*Sales!$A1909</f>
        <v>1735.92</v>
      </c>
      <c r="D1909" s="26">
        <v>38189</v>
      </c>
      <c r="E1909" s="27" t="s">
        <v>9</v>
      </c>
      <c r="F1909" s="27">
        <v>3</v>
      </c>
      <c r="G1909" s="27">
        <v>7</v>
      </c>
      <c r="H1909" s="27">
        <v>2004</v>
      </c>
      <c r="I1909" s="27" t="s">
        <v>112</v>
      </c>
      <c r="J1909" s="25">
        <v>65</v>
      </c>
      <c r="K1909" s="25">
        <f>Sales!$B1909-Sales!$J1909</f>
        <v>7.3299999999999983</v>
      </c>
      <c r="L1909" s="28">
        <f>(Sales!$J1909-Sales!$B1909)/Sales!$J1909</f>
        <v>-0.11276923076923075</v>
      </c>
      <c r="M1909" s="28" t="str">
        <f t="shared" si="29"/>
        <v>Below 0%</v>
      </c>
      <c r="N1909" s="27" t="s">
        <v>66</v>
      </c>
      <c r="O1909" s="27" t="s">
        <v>12</v>
      </c>
      <c r="P1909" s="27" t="s">
        <v>13</v>
      </c>
      <c r="Q1909" s="27" t="s">
        <v>14</v>
      </c>
    </row>
    <row r="1910" spans="1:17" x14ac:dyDescent="0.3">
      <c r="A1910" s="22">
        <v>39</v>
      </c>
      <c r="B1910" s="19">
        <v>71.67</v>
      </c>
      <c r="C1910" s="20">
        <f>Sales!$B1910*Sales!$A1910</f>
        <v>2795.13</v>
      </c>
      <c r="D1910" s="21">
        <v>38220</v>
      </c>
      <c r="E1910" s="22" t="s">
        <v>9</v>
      </c>
      <c r="F1910" s="22">
        <v>3</v>
      </c>
      <c r="G1910" s="22">
        <v>8</v>
      </c>
      <c r="H1910" s="22">
        <v>2004</v>
      </c>
      <c r="I1910" s="22" t="s">
        <v>112</v>
      </c>
      <c r="J1910" s="20">
        <v>65</v>
      </c>
      <c r="K1910" s="20">
        <f>Sales!$B1910-Sales!$J1910</f>
        <v>6.6700000000000017</v>
      </c>
      <c r="L1910" s="23">
        <f>(Sales!$J1910-Sales!$B1910)/Sales!$J1910</f>
        <v>-0.10261538461538464</v>
      </c>
      <c r="M1910" s="23" t="str">
        <f t="shared" si="29"/>
        <v>Below 0%</v>
      </c>
      <c r="N1910" s="22" t="s">
        <v>110</v>
      </c>
      <c r="O1910" s="22" t="s">
        <v>25</v>
      </c>
      <c r="P1910" s="22" t="s">
        <v>17</v>
      </c>
      <c r="Q1910" s="22" t="s">
        <v>14</v>
      </c>
    </row>
    <row r="1911" spans="1:17" x14ac:dyDescent="0.3">
      <c r="A1911" s="27">
        <v>31</v>
      </c>
      <c r="B1911" s="24">
        <v>53.92</v>
      </c>
      <c r="C1911" s="25">
        <f>Sales!$B1911*Sales!$A1911</f>
        <v>1671.52</v>
      </c>
      <c r="D1911" s="26">
        <v>38245</v>
      </c>
      <c r="E1911" s="27" t="s">
        <v>9</v>
      </c>
      <c r="F1911" s="27">
        <v>3</v>
      </c>
      <c r="G1911" s="27">
        <v>9</v>
      </c>
      <c r="H1911" s="27">
        <v>2004</v>
      </c>
      <c r="I1911" s="27" t="s">
        <v>112</v>
      </c>
      <c r="J1911" s="25">
        <v>65</v>
      </c>
      <c r="K1911" s="25">
        <f>Sales!$B1911-Sales!$J1911</f>
        <v>-11.079999999999998</v>
      </c>
      <c r="L1911" s="28">
        <f>(Sales!$J1911-Sales!$B1911)/Sales!$J1911</f>
        <v>0.17046153846153844</v>
      </c>
      <c r="M1911" s="28" t="str">
        <f t="shared" si="29"/>
        <v>15%-20%</v>
      </c>
      <c r="N1911" s="27" t="s">
        <v>116</v>
      </c>
      <c r="O1911" s="27" t="s">
        <v>94</v>
      </c>
      <c r="P1911" s="27" t="s">
        <v>17</v>
      </c>
      <c r="Q1911" s="27" t="s">
        <v>14</v>
      </c>
    </row>
    <row r="1912" spans="1:17" x14ac:dyDescent="0.3">
      <c r="A1912" s="22">
        <v>22</v>
      </c>
      <c r="B1912" s="19">
        <v>71.67</v>
      </c>
      <c r="C1912" s="20">
        <f>Sales!$B1912*Sales!$A1912</f>
        <v>1576.74</v>
      </c>
      <c r="D1912" s="21">
        <v>38274</v>
      </c>
      <c r="E1912" s="22" t="s">
        <v>9</v>
      </c>
      <c r="F1912" s="22">
        <v>4</v>
      </c>
      <c r="G1912" s="22">
        <v>10</v>
      </c>
      <c r="H1912" s="22">
        <v>2004</v>
      </c>
      <c r="I1912" s="22" t="s">
        <v>112</v>
      </c>
      <c r="J1912" s="20">
        <v>65</v>
      </c>
      <c r="K1912" s="20">
        <f>Sales!$B1912-Sales!$J1912</f>
        <v>6.6700000000000017</v>
      </c>
      <c r="L1912" s="23">
        <f>(Sales!$J1912-Sales!$B1912)/Sales!$J1912</f>
        <v>-0.10261538461538464</v>
      </c>
      <c r="M1912" s="23" t="str">
        <f t="shared" si="29"/>
        <v>Below 0%</v>
      </c>
      <c r="N1912" s="22" t="s">
        <v>53</v>
      </c>
      <c r="O1912" s="22" t="s">
        <v>12</v>
      </c>
      <c r="P1912" s="22" t="s">
        <v>13</v>
      </c>
      <c r="Q1912" s="22" t="s">
        <v>14</v>
      </c>
    </row>
    <row r="1913" spans="1:17" x14ac:dyDescent="0.3">
      <c r="A1913" s="27">
        <v>47</v>
      </c>
      <c r="B1913" s="24">
        <v>76.930000000000007</v>
      </c>
      <c r="C1913" s="25">
        <f>Sales!$B1913*Sales!$A1913</f>
        <v>3615.7100000000005</v>
      </c>
      <c r="D1913" s="26">
        <v>38292</v>
      </c>
      <c r="E1913" s="27" t="s">
        <v>9</v>
      </c>
      <c r="F1913" s="27">
        <v>4</v>
      </c>
      <c r="G1913" s="27">
        <v>11</v>
      </c>
      <c r="H1913" s="27">
        <v>2004</v>
      </c>
      <c r="I1913" s="27" t="s">
        <v>112</v>
      </c>
      <c r="J1913" s="25">
        <v>65</v>
      </c>
      <c r="K1913" s="25">
        <f>Sales!$B1913-Sales!$J1913</f>
        <v>11.930000000000007</v>
      </c>
      <c r="L1913" s="28">
        <f>(Sales!$J1913-Sales!$B1913)/Sales!$J1913</f>
        <v>-0.18353846153846165</v>
      </c>
      <c r="M1913" s="28" t="str">
        <f t="shared" si="29"/>
        <v>Below 0%</v>
      </c>
      <c r="N1913" s="27" t="s">
        <v>84</v>
      </c>
      <c r="O1913" s="27" t="s">
        <v>43</v>
      </c>
      <c r="P1913" s="27" t="s">
        <v>17</v>
      </c>
      <c r="Q1913" s="27" t="s">
        <v>19</v>
      </c>
    </row>
    <row r="1914" spans="1:17" x14ac:dyDescent="0.3">
      <c r="A1914" s="22">
        <v>20</v>
      </c>
      <c r="B1914" s="19">
        <v>72.98</v>
      </c>
      <c r="C1914" s="20">
        <f>Sales!$B1914*Sales!$A1914</f>
        <v>1459.6000000000001</v>
      </c>
      <c r="D1914" s="21">
        <v>38303</v>
      </c>
      <c r="E1914" s="22" t="s">
        <v>9</v>
      </c>
      <c r="F1914" s="22">
        <v>4</v>
      </c>
      <c r="G1914" s="22">
        <v>11</v>
      </c>
      <c r="H1914" s="22">
        <v>2004</v>
      </c>
      <c r="I1914" s="22" t="s">
        <v>112</v>
      </c>
      <c r="J1914" s="20">
        <v>65</v>
      </c>
      <c r="K1914" s="20">
        <f>Sales!$B1914-Sales!$J1914</f>
        <v>7.980000000000004</v>
      </c>
      <c r="L1914" s="23">
        <f>(Sales!$J1914-Sales!$B1914)/Sales!$J1914</f>
        <v>-0.12276923076923082</v>
      </c>
      <c r="M1914" s="23" t="str">
        <f t="shared" si="29"/>
        <v>Below 0%</v>
      </c>
      <c r="N1914" s="22" t="s">
        <v>113</v>
      </c>
      <c r="O1914" s="22" t="s">
        <v>61</v>
      </c>
      <c r="P1914" s="22" t="s">
        <v>17</v>
      </c>
      <c r="Q1914" s="22" t="s">
        <v>14</v>
      </c>
    </row>
    <row r="1915" spans="1:17" x14ac:dyDescent="0.3">
      <c r="A1915" s="27">
        <v>29</v>
      </c>
      <c r="B1915" s="24">
        <v>99.69</v>
      </c>
      <c r="C1915" s="25">
        <f>Sales!$B1915*Sales!$A1915</f>
        <v>2891.0099999999998</v>
      </c>
      <c r="D1915" s="26">
        <v>38314</v>
      </c>
      <c r="E1915" s="27" t="s">
        <v>9</v>
      </c>
      <c r="F1915" s="27">
        <v>4</v>
      </c>
      <c r="G1915" s="27">
        <v>11</v>
      </c>
      <c r="H1915" s="27">
        <v>2004</v>
      </c>
      <c r="I1915" s="27" t="s">
        <v>112</v>
      </c>
      <c r="J1915" s="25">
        <v>65</v>
      </c>
      <c r="K1915" s="25">
        <f>Sales!$B1915-Sales!$J1915</f>
        <v>34.69</v>
      </c>
      <c r="L1915" s="28">
        <f>(Sales!$J1915-Sales!$B1915)/Sales!$J1915</f>
        <v>-0.53369230769230769</v>
      </c>
      <c r="M1915" s="28" t="str">
        <f t="shared" si="29"/>
        <v>Below 0%</v>
      </c>
      <c r="N1915" s="27" t="s">
        <v>59</v>
      </c>
      <c r="O1915" s="27" t="s">
        <v>51</v>
      </c>
      <c r="P1915" s="27" t="s">
        <v>51</v>
      </c>
      <c r="Q1915" s="27" t="s">
        <v>14</v>
      </c>
    </row>
    <row r="1916" spans="1:17" x14ac:dyDescent="0.3">
      <c r="A1916" s="22">
        <v>38</v>
      </c>
      <c r="B1916" s="19">
        <v>68.38</v>
      </c>
      <c r="C1916" s="20">
        <f>Sales!$B1916*Sales!$A1916</f>
        <v>2598.4399999999996</v>
      </c>
      <c r="D1916" s="21">
        <v>38324</v>
      </c>
      <c r="E1916" s="22" t="s">
        <v>9</v>
      </c>
      <c r="F1916" s="22">
        <v>4</v>
      </c>
      <c r="G1916" s="22">
        <v>12</v>
      </c>
      <c r="H1916" s="22">
        <v>2004</v>
      </c>
      <c r="I1916" s="22" t="s">
        <v>112</v>
      </c>
      <c r="J1916" s="20">
        <v>65</v>
      </c>
      <c r="K1916" s="20">
        <f>Sales!$B1916-Sales!$J1916</f>
        <v>3.3799999999999955</v>
      </c>
      <c r="L1916" s="23">
        <f>(Sales!$J1916-Sales!$B1916)/Sales!$J1916</f>
        <v>-5.1999999999999928E-2</v>
      </c>
      <c r="M1916" s="23" t="str">
        <f t="shared" si="29"/>
        <v>Below 0%</v>
      </c>
      <c r="N1916" s="22" t="s">
        <v>74</v>
      </c>
      <c r="O1916" s="22" t="s">
        <v>43</v>
      </c>
      <c r="P1916" s="22" t="s">
        <v>17</v>
      </c>
      <c r="Q1916" s="22" t="s">
        <v>14</v>
      </c>
    </row>
    <row r="1917" spans="1:17" x14ac:dyDescent="0.3">
      <c r="A1917" s="27">
        <v>34</v>
      </c>
      <c r="B1917" s="24">
        <v>100</v>
      </c>
      <c r="C1917" s="25">
        <f>Sales!$B1917*Sales!$A1917</f>
        <v>3400</v>
      </c>
      <c r="D1917" s="26">
        <v>38338</v>
      </c>
      <c r="E1917" s="27" t="s">
        <v>9</v>
      </c>
      <c r="F1917" s="27">
        <v>4</v>
      </c>
      <c r="G1917" s="27">
        <v>12</v>
      </c>
      <c r="H1917" s="27">
        <v>2004</v>
      </c>
      <c r="I1917" s="27" t="s">
        <v>112</v>
      </c>
      <c r="J1917" s="25">
        <v>65</v>
      </c>
      <c r="K1917" s="25">
        <f>Sales!$B1917-Sales!$J1917</f>
        <v>35</v>
      </c>
      <c r="L1917" s="28">
        <f>(Sales!$J1917-Sales!$B1917)/Sales!$J1917</f>
        <v>-0.53846153846153844</v>
      </c>
      <c r="M1917" s="28" t="str">
        <f t="shared" si="29"/>
        <v>Below 0%</v>
      </c>
      <c r="N1917" s="27" t="s">
        <v>40</v>
      </c>
      <c r="O1917" s="27" t="s">
        <v>27</v>
      </c>
      <c r="P1917" s="27" t="s">
        <v>28</v>
      </c>
      <c r="Q1917" s="27" t="s">
        <v>19</v>
      </c>
    </row>
    <row r="1918" spans="1:17" x14ac:dyDescent="0.3">
      <c r="A1918" s="22">
        <v>46</v>
      </c>
      <c r="B1918" s="19">
        <v>66</v>
      </c>
      <c r="C1918" s="20">
        <f>Sales!$B1918*Sales!$A1918</f>
        <v>3036</v>
      </c>
      <c r="D1918" s="21">
        <v>38383</v>
      </c>
      <c r="E1918" s="22" t="s">
        <v>9</v>
      </c>
      <c r="F1918" s="22">
        <v>1</v>
      </c>
      <c r="G1918" s="22">
        <v>1</v>
      </c>
      <c r="H1918" s="22">
        <v>2005</v>
      </c>
      <c r="I1918" s="22" t="s">
        <v>112</v>
      </c>
      <c r="J1918" s="20">
        <v>65</v>
      </c>
      <c r="K1918" s="20">
        <f>Sales!$B1918-Sales!$J1918</f>
        <v>1</v>
      </c>
      <c r="L1918" s="23">
        <f>(Sales!$J1918-Sales!$B1918)/Sales!$J1918</f>
        <v>-1.5384615384615385E-2</v>
      </c>
      <c r="M1918" s="23" t="str">
        <f t="shared" si="29"/>
        <v>Below 0%</v>
      </c>
      <c r="N1918" s="22" t="s">
        <v>85</v>
      </c>
      <c r="O1918" s="22" t="s">
        <v>34</v>
      </c>
      <c r="P1918" s="22" t="s">
        <v>17</v>
      </c>
      <c r="Q1918" s="22" t="s">
        <v>19</v>
      </c>
    </row>
    <row r="1919" spans="1:17" x14ac:dyDescent="0.3">
      <c r="A1919" s="27">
        <v>35</v>
      </c>
      <c r="B1919" s="24">
        <v>63.76</v>
      </c>
      <c r="C1919" s="25">
        <f>Sales!$B1919*Sales!$A1919</f>
        <v>2231.6</v>
      </c>
      <c r="D1919" s="26">
        <v>38412</v>
      </c>
      <c r="E1919" s="27" t="s">
        <v>88</v>
      </c>
      <c r="F1919" s="27">
        <v>1</v>
      </c>
      <c r="G1919" s="27">
        <v>3</v>
      </c>
      <c r="H1919" s="27">
        <v>2005</v>
      </c>
      <c r="I1919" s="27" t="s">
        <v>112</v>
      </c>
      <c r="J1919" s="25">
        <v>65</v>
      </c>
      <c r="K1919" s="25">
        <f>Sales!$B1919-Sales!$J1919</f>
        <v>-1.240000000000002</v>
      </c>
      <c r="L1919" s="28">
        <f>(Sales!$J1919-Sales!$B1919)/Sales!$J1919</f>
        <v>1.9076923076923106E-2</v>
      </c>
      <c r="M1919" s="28" t="str">
        <f t="shared" si="29"/>
        <v>0%-5%</v>
      </c>
      <c r="N1919" s="27" t="s">
        <v>45</v>
      </c>
      <c r="O1919" s="27" t="s">
        <v>46</v>
      </c>
      <c r="P1919" s="27" t="s">
        <v>17</v>
      </c>
      <c r="Q1919" s="27" t="s">
        <v>14</v>
      </c>
    </row>
    <row r="1920" spans="1:17" x14ac:dyDescent="0.3">
      <c r="A1920" s="22">
        <v>34</v>
      </c>
      <c r="B1920" s="19">
        <v>71.67</v>
      </c>
      <c r="C1920" s="20">
        <f>Sales!$B1920*Sales!$A1920</f>
        <v>2436.7800000000002</v>
      </c>
      <c r="D1920" s="21">
        <v>38441</v>
      </c>
      <c r="E1920" s="22" t="s">
        <v>9</v>
      </c>
      <c r="F1920" s="22">
        <v>1</v>
      </c>
      <c r="G1920" s="22">
        <v>3</v>
      </c>
      <c r="H1920" s="22">
        <v>2005</v>
      </c>
      <c r="I1920" s="22" t="s">
        <v>112</v>
      </c>
      <c r="J1920" s="20">
        <v>65</v>
      </c>
      <c r="K1920" s="20">
        <f>Sales!$B1920-Sales!$J1920</f>
        <v>6.6700000000000017</v>
      </c>
      <c r="L1920" s="23">
        <f>(Sales!$J1920-Sales!$B1920)/Sales!$J1920</f>
        <v>-0.10261538461538464</v>
      </c>
      <c r="M1920" s="23" t="str">
        <f t="shared" si="29"/>
        <v>Below 0%</v>
      </c>
      <c r="N1920" s="22" t="s">
        <v>15</v>
      </c>
      <c r="O1920" s="22" t="s">
        <v>16</v>
      </c>
      <c r="P1920" s="22" t="s">
        <v>17</v>
      </c>
      <c r="Q1920" s="22" t="s">
        <v>14</v>
      </c>
    </row>
    <row r="1921" spans="1:17" x14ac:dyDescent="0.3">
      <c r="A1921" s="27">
        <v>38</v>
      </c>
      <c r="B1921" s="24">
        <v>57.2</v>
      </c>
      <c r="C1921" s="25">
        <f>Sales!$B1921*Sales!$A1921</f>
        <v>2173.6</v>
      </c>
      <c r="D1921" s="26">
        <v>38443</v>
      </c>
      <c r="E1921" s="27" t="s">
        <v>9</v>
      </c>
      <c r="F1921" s="27">
        <v>2</v>
      </c>
      <c r="G1921" s="27">
        <v>4</v>
      </c>
      <c r="H1921" s="27">
        <v>2005</v>
      </c>
      <c r="I1921" s="27" t="s">
        <v>112</v>
      </c>
      <c r="J1921" s="25">
        <v>65</v>
      </c>
      <c r="K1921" s="25">
        <f>Sales!$B1921-Sales!$J1921</f>
        <v>-7.7999999999999972</v>
      </c>
      <c r="L1921" s="28">
        <f>(Sales!$J1921-Sales!$B1921)/Sales!$J1921</f>
        <v>0.11999999999999995</v>
      </c>
      <c r="M1921" s="28" t="str">
        <f t="shared" si="29"/>
        <v>10%-15%</v>
      </c>
      <c r="N1921" s="27" t="s">
        <v>86</v>
      </c>
      <c r="O1921" s="27" t="s">
        <v>12</v>
      </c>
      <c r="P1921" s="27" t="s">
        <v>13</v>
      </c>
      <c r="Q1921" s="27" t="s">
        <v>14</v>
      </c>
    </row>
    <row r="1922" spans="1:17" x14ac:dyDescent="0.3">
      <c r="A1922" s="22">
        <v>18</v>
      </c>
      <c r="B1922" s="19">
        <v>69.7</v>
      </c>
      <c r="C1922" s="20">
        <f>Sales!$B1922*Sales!$A1922</f>
        <v>1254.6000000000001</v>
      </c>
      <c r="D1922" s="21">
        <v>38481</v>
      </c>
      <c r="E1922" s="22" t="s">
        <v>44</v>
      </c>
      <c r="F1922" s="22">
        <v>2</v>
      </c>
      <c r="G1922" s="22">
        <v>5</v>
      </c>
      <c r="H1922" s="22">
        <v>2005</v>
      </c>
      <c r="I1922" s="22" t="s">
        <v>112</v>
      </c>
      <c r="J1922" s="20">
        <v>65</v>
      </c>
      <c r="K1922" s="20">
        <f>Sales!$B1922-Sales!$J1922</f>
        <v>4.7000000000000028</v>
      </c>
      <c r="L1922" s="23">
        <f>(Sales!$J1922-Sales!$B1922)/Sales!$J1922</f>
        <v>-7.2307692307692351E-2</v>
      </c>
      <c r="M1922" s="23" t="str">
        <f t="shared" si="29"/>
        <v>Below 0%</v>
      </c>
      <c r="N1922" s="22" t="s">
        <v>114</v>
      </c>
      <c r="O1922" s="22" t="s">
        <v>27</v>
      </c>
      <c r="P1922" s="22" t="s">
        <v>28</v>
      </c>
      <c r="Q1922" s="22" t="s">
        <v>14</v>
      </c>
    </row>
    <row r="1923" spans="1:17" x14ac:dyDescent="0.3">
      <c r="A1923" s="27">
        <v>37</v>
      </c>
      <c r="B1923" s="24">
        <v>100</v>
      </c>
      <c r="C1923" s="25">
        <f>Sales!$B1923*Sales!$A1923</f>
        <v>3700</v>
      </c>
      <c r="D1923" s="26">
        <v>37698</v>
      </c>
      <c r="E1923" s="27" t="s">
        <v>9</v>
      </c>
      <c r="F1923" s="27">
        <v>1</v>
      </c>
      <c r="G1923" s="27">
        <v>3</v>
      </c>
      <c r="H1923" s="27">
        <v>2003</v>
      </c>
      <c r="I1923" s="27" t="s">
        <v>47</v>
      </c>
      <c r="J1923" s="25">
        <v>107</v>
      </c>
      <c r="K1923" s="25">
        <f>Sales!$B1923-Sales!$J1923</f>
        <v>-7</v>
      </c>
      <c r="L1923" s="28">
        <f>(Sales!$J1923-Sales!$B1923)/Sales!$J1923</f>
        <v>6.5420560747663545E-2</v>
      </c>
      <c r="M1923" s="28" t="str">
        <f t="shared" ref="M1923:M1986" si="30">IF(L1923&lt;0%,"Below 0%",IF(L1923=0%,"0%",IF(AND(L1923&lt;=5%,L1923&gt;0%),"0%-5%",IF(AND(L1923&lt;=10%,L1923&gt;5%),"5%-10%",IF(AND(L1923&lt;=15%,L1923&gt;10%),"10%-15%",IF(AND(L1923&lt;=20%,L1923&gt;15%),"15%-20%","+20%"))))))</f>
        <v>5%-10%</v>
      </c>
      <c r="N1923" s="27" t="s">
        <v>102</v>
      </c>
      <c r="O1923" s="27" t="s">
        <v>43</v>
      </c>
      <c r="P1923" s="27" t="s">
        <v>17</v>
      </c>
      <c r="Q1923" s="27" t="s">
        <v>19</v>
      </c>
    </row>
    <row r="1924" spans="1:17" x14ac:dyDescent="0.3">
      <c r="A1924" s="22">
        <v>43</v>
      </c>
      <c r="B1924" s="19">
        <v>100</v>
      </c>
      <c r="C1924" s="20">
        <f>Sales!$B1924*Sales!$A1924</f>
        <v>4300</v>
      </c>
      <c r="D1924" s="21">
        <v>37762</v>
      </c>
      <c r="E1924" s="22" t="s">
        <v>9</v>
      </c>
      <c r="F1924" s="22">
        <v>2</v>
      </c>
      <c r="G1924" s="22">
        <v>5</v>
      </c>
      <c r="H1924" s="22">
        <v>2003</v>
      </c>
      <c r="I1924" s="22" t="s">
        <v>47</v>
      </c>
      <c r="J1924" s="20">
        <v>107</v>
      </c>
      <c r="K1924" s="20">
        <f>Sales!$B1924-Sales!$J1924</f>
        <v>-7</v>
      </c>
      <c r="L1924" s="23">
        <f>(Sales!$J1924-Sales!$B1924)/Sales!$J1924</f>
        <v>6.5420560747663545E-2</v>
      </c>
      <c r="M1924" s="23" t="str">
        <f t="shared" si="30"/>
        <v>5%-10%</v>
      </c>
      <c r="N1924" s="22" t="s">
        <v>109</v>
      </c>
      <c r="O1924" s="22" t="s">
        <v>12</v>
      </c>
      <c r="P1924" s="22" t="s">
        <v>13</v>
      </c>
      <c r="Q1924" s="22" t="s">
        <v>19</v>
      </c>
    </row>
    <row r="1925" spans="1:17" x14ac:dyDescent="0.3">
      <c r="A1925" s="27">
        <v>27</v>
      </c>
      <c r="B1925" s="24">
        <v>100</v>
      </c>
      <c r="C1925" s="25">
        <f>Sales!$B1925*Sales!$A1925</f>
        <v>2700</v>
      </c>
      <c r="D1925" s="26">
        <v>37875</v>
      </c>
      <c r="E1925" s="27" t="s">
        <v>9</v>
      </c>
      <c r="F1925" s="27">
        <v>3</v>
      </c>
      <c r="G1925" s="27">
        <v>9</v>
      </c>
      <c r="H1925" s="27">
        <v>2003</v>
      </c>
      <c r="I1925" s="27" t="s">
        <v>47</v>
      </c>
      <c r="J1925" s="25">
        <v>107</v>
      </c>
      <c r="K1925" s="25">
        <f>Sales!$B1925-Sales!$J1925</f>
        <v>-7</v>
      </c>
      <c r="L1925" s="28">
        <f>(Sales!$J1925-Sales!$B1925)/Sales!$J1925</f>
        <v>6.5420560747663545E-2</v>
      </c>
      <c r="M1925" s="28" t="str">
        <f t="shared" si="30"/>
        <v>5%-10%</v>
      </c>
      <c r="N1925" s="27" t="s">
        <v>67</v>
      </c>
      <c r="O1925" s="27" t="s">
        <v>27</v>
      </c>
      <c r="P1925" s="27" t="s">
        <v>28</v>
      </c>
      <c r="Q1925" s="27" t="s">
        <v>19</v>
      </c>
    </row>
    <row r="1926" spans="1:17" x14ac:dyDescent="0.3">
      <c r="A1926" s="22">
        <v>30</v>
      </c>
      <c r="B1926" s="19">
        <v>100</v>
      </c>
      <c r="C1926" s="20">
        <f>Sales!$B1926*Sales!$A1926</f>
        <v>3000</v>
      </c>
      <c r="D1926" s="21">
        <v>37911</v>
      </c>
      <c r="E1926" s="22" t="s">
        <v>9</v>
      </c>
      <c r="F1926" s="22">
        <v>4</v>
      </c>
      <c r="G1926" s="22">
        <v>10</v>
      </c>
      <c r="H1926" s="22">
        <v>2003</v>
      </c>
      <c r="I1926" s="22" t="s">
        <v>47</v>
      </c>
      <c r="J1926" s="20">
        <v>107</v>
      </c>
      <c r="K1926" s="20">
        <f>Sales!$B1926-Sales!$J1926</f>
        <v>-7</v>
      </c>
      <c r="L1926" s="23">
        <f>(Sales!$J1926-Sales!$B1926)/Sales!$J1926</f>
        <v>6.5420560747663545E-2</v>
      </c>
      <c r="M1926" s="23" t="str">
        <f t="shared" si="30"/>
        <v>5%-10%</v>
      </c>
      <c r="N1926" s="22" t="s">
        <v>103</v>
      </c>
      <c r="O1926" s="22" t="s">
        <v>73</v>
      </c>
      <c r="P1926" s="22" t="s">
        <v>17</v>
      </c>
      <c r="Q1926" s="22" t="s">
        <v>19</v>
      </c>
    </row>
    <row r="1927" spans="1:17" x14ac:dyDescent="0.3">
      <c r="A1927" s="27">
        <v>22</v>
      </c>
      <c r="B1927" s="24">
        <v>98.51</v>
      </c>
      <c r="C1927" s="25">
        <f>Sales!$B1927*Sales!$A1927</f>
        <v>2167.2200000000003</v>
      </c>
      <c r="D1927" s="26">
        <v>37930</v>
      </c>
      <c r="E1927" s="27" t="s">
        <v>9</v>
      </c>
      <c r="F1927" s="27">
        <v>4</v>
      </c>
      <c r="G1927" s="27">
        <v>11</v>
      </c>
      <c r="H1927" s="27">
        <v>2003</v>
      </c>
      <c r="I1927" s="27" t="s">
        <v>47</v>
      </c>
      <c r="J1927" s="25">
        <v>107</v>
      </c>
      <c r="K1927" s="25">
        <f>Sales!$B1927-Sales!$J1927</f>
        <v>-8.4899999999999949</v>
      </c>
      <c r="L1927" s="28">
        <f>(Sales!$J1927-Sales!$B1927)/Sales!$J1927</f>
        <v>7.9345794392523317E-2</v>
      </c>
      <c r="M1927" s="28" t="str">
        <f t="shared" si="30"/>
        <v>5%-10%</v>
      </c>
      <c r="N1927" s="27" t="s">
        <v>30</v>
      </c>
      <c r="O1927" s="27" t="s">
        <v>12</v>
      </c>
      <c r="P1927" s="27" t="s">
        <v>13</v>
      </c>
      <c r="Q1927" s="27" t="s">
        <v>14</v>
      </c>
    </row>
    <row r="1928" spans="1:17" x14ac:dyDescent="0.3">
      <c r="A1928" s="22">
        <v>49</v>
      </c>
      <c r="B1928" s="19">
        <v>100</v>
      </c>
      <c r="C1928" s="20">
        <f>Sales!$B1928*Sales!$A1928</f>
        <v>4900</v>
      </c>
      <c r="D1928" s="21">
        <v>37937</v>
      </c>
      <c r="E1928" s="22" t="s">
        <v>9</v>
      </c>
      <c r="F1928" s="22">
        <v>4</v>
      </c>
      <c r="G1928" s="22">
        <v>11</v>
      </c>
      <c r="H1928" s="22">
        <v>2003</v>
      </c>
      <c r="I1928" s="22" t="s">
        <v>47</v>
      </c>
      <c r="J1928" s="20">
        <v>107</v>
      </c>
      <c r="K1928" s="20">
        <f>Sales!$B1928-Sales!$J1928</f>
        <v>-7</v>
      </c>
      <c r="L1928" s="23">
        <f>(Sales!$J1928-Sales!$B1928)/Sales!$J1928</f>
        <v>6.5420560747663545E-2</v>
      </c>
      <c r="M1928" s="23" t="str">
        <f t="shared" si="30"/>
        <v>5%-10%</v>
      </c>
      <c r="N1928" s="22" t="s">
        <v>64</v>
      </c>
      <c r="O1928" s="22" t="s">
        <v>12</v>
      </c>
      <c r="P1928" s="22" t="s">
        <v>13</v>
      </c>
      <c r="Q1928" s="22" t="s">
        <v>19</v>
      </c>
    </row>
    <row r="1929" spans="1:17" x14ac:dyDescent="0.3">
      <c r="A1929" s="27">
        <v>46</v>
      </c>
      <c r="B1929" s="24">
        <v>100</v>
      </c>
      <c r="C1929" s="25">
        <f>Sales!$B1929*Sales!$A1929</f>
        <v>4600</v>
      </c>
      <c r="D1929" s="26">
        <v>37945</v>
      </c>
      <c r="E1929" s="27" t="s">
        <v>9</v>
      </c>
      <c r="F1929" s="27">
        <v>4</v>
      </c>
      <c r="G1929" s="27">
        <v>11</v>
      </c>
      <c r="H1929" s="27">
        <v>2003</v>
      </c>
      <c r="I1929" s="27" t="s">
        <v>47</v>
      </c>
      <c r="J1929" s="25">
        <v>107</v>
      </c>
      <c r="K1929" s="25">
        <f>Sales!$B1929-Sales!$J1929</f>
        <v>-7</v>
      </c>
      <c r="L1929" s="28">
        <f>(Sales!$J1929-Sales!$B1929)/Sales!$J1929</f>
        <v>6.5420560747663545E-2</v>
      </c>
      <c r="M1929" s="28" t="str">
        <f t="shared" si="30"/>
        <v>5%-10%</v>
      </c>
      <c r="N1929" s="27" t="s">
        <v>65</v>
      </c>
      <c r="O1929" s="27" t="s">
        <v>12</v>
      </c>
      <c r="P1929" s="27" t="s">
        <v>13</v>
      </c>
      <c r="Q1929" s="27" t="s">
        <v>19</v>
      </c>
    </row>
    <row r="1930" spans="1:17" x14ac:dyDescent="0.3">
      <c r="A1930" s="22">
        <v>48</v>
      </c>
      <c r="B1930" s="19">
        <v>91.02</v>
      </c>
      <c r="C1930" s="20">
        <f>Sales!$B1930*Sales!$A1930</f>
        <v>4368.96</v>
      </c>
      <c r="D1930" s="21">
        <v>37957</v>
      </c>
      <c r="E1930" s="22" t="s">
        <v>9</v>
      </c>
      <c r="F1930" s="22">
        <v>4</v>
      </c>
      <c r="G1930" s="22">
        <v>12</v>
      </c>
      <c r="H1930" s="22">
        <v>2003</v>
      </c>
      <c r="I1930" s="22" t="s">
        <v>47</v>
      </c>
      <c r="J1930" s="20">
        <v>107</v>
      </c>
      <c r="K1930" s="20">
        <f>Sales!$B1930-Sales!$J1930</f>
        <v>-15.980000000000004</v>
      </c>
      <c r="L1930" s="23">
        <f>(Sales!$J1930-Sales!$B1930)/Sales!$J1930</f>
        <v>0.14934579439252341</v>
      </c>
      <c r="M1930" s="23" t="str">
        <f t="shared" si="30"/>
        <v>10%-15%</v>
      </c>
      <c r="N1930" s="22" t="s">
        <v>11</v>
      </c>
      <c r="O1930" s="22" t="s">
        <v>12</v>
      </c>
      <c r="P1930" s="22" t="s">
        <v>13</v>
      </c>
      <c r="Q1930" s="22" t="s">
        <v>19</v>
      </c>
    </row>
    <row r="1931" spans="1:17" x14ac:dyDescent="0.3">
      <c r="A1931" s="27">
        <v>46</v>
      </c>
      <c r="B1931" s="24">
        <v>87.81</v>
      </c>
      <c r="C1931" s="25">
        <f>Sales!$B1931*Sales!$A1931</f>
        <v>4039.26</v>
      </c>
      <c r="D1931" s="26">
        <v>38002</v>
      </c>
      <c r="E1931" s="27" t="s">
        <v>9</v>
      </c>
      <c r="F1931" s="27">
        <v>1</v>
      </c>
      <c r="G1931" s="27">
        <v>1</v>
      </c>
      <c r="H1931" s="27">
        <v>2004</v>
      </c>
      <c r="I1931" s="27" t="s">
        <v>47</v>
      </c>
      <c r="J1931" s="25">
        <v>107</v>
      </c>
      <c r="K1931" s="25">
        <f>Sales!$B1931-Sales!$J1931</f>
        <v>-19.189999999999998</v>
      </c>
      <c r="L1931" s="28">
        <f>(Sales!$J1931-Sales!$B1931)/Sales!$J1931</f>
        <v>0.17934579439252335</v>
      </c>
      <c r="M1931" s="28" t="str">
        <f t="shared" si="30"/>
        <v>15%-20%</v>
      </c>
      <c r="N1931" s="27" t="s">
        <v>45</v>
      </c>
      <c r="O1931" s="27" t="s">
        <v>46</v>
      </c>
      <c r="P1931" s="27" t="s">
        <v>17</v>
      </c>
      <c r="Q1931" s="27" t="s">
        <v>19</v>
      </c>
    </row>
    <row r="1932" spans="1:17" x14ac:dyDescent="0.3">
      <c r="A1932" s="22">
        <v>48</v>
      </c>
      <c r="B1932" s="19">
        <v>92.09</v>
      </c>
      <c r="C1932" s="20">
        <f>Sales!$B1932*Sales!$A1932</f>
        <v>4420.32</v>
      </c>
      <c r="D1932" s="21">
        <v>38043</v>
      </c>
      <c r="E1932" s="22" t="s">
        <v>9</v>
      </c>
      <c r="F1932" s="22">
        <v>1</v>
      </c>
      <c r="G1932" s="22">
        <v>2</v>
      </c>
      <c r="H1932" s="22">
        <v>2004</v>
      </c>
      <c r="I1932" s="22" t="s">
        <v>47</v>
      </c>
      <c r="J1932" s="20">
        <v>107</v>
      </c>
      <c r="K1932" s="20">
        <f>Sales!$B1932-Sales!$J1932</f>
        <v>-14.909999999999997</v>
      </c>
      <c r="L1932" s="23">
        <f>(Sales!$J1932-Sales!$B1932)/Sales!$J1932</f>
        <v>0.13934579439252334</v>
      </c>
      <c r="M1932" s="23" t="str">
        <f t="shared" si="30"/>
        <v>10%-15%</v>
      </c>
      <c r="N1932" s="22" t="s">
        <v>79</v>
      </c>
      <c r="O1932" s="22" t="s">
        <v>12</v>
      </c>
      <c r="P1932" s="22" t="s">
        <v>13</v>
      </c>
      <c r="Q1932" s="22" t="s">
        <v>19</v>
      </c>
    </row>
    <row r="1933" spans="1:17" x14ac:dyDescent="0.3">
      <c r="A1933" s="27">
        <v>27</v>
      </c>
      <c r="B1933" s="24">
        <v>86.73</v>
      </c>
      <c r="C1933" s="25">
        <f>Sales!$B1933*Sales!$A1933</f>
        <v>2341.71</v>
      </c>
      <c r="D1933" s="26">
        <v>38090</v>
      </c>
      <c r="E1933" s="27" t="s">
        <v>9</v>
      </c>
      <c r="F1933" s="27">
        <v>2</v>
      </c>
      <c r="G1933" s="27">
        <v>4</v>
      </c>
      <c r="H1933" s="27">
        <v>2004</v>
      </c>
      <c r="I1933" s="27" t="s">
        <v>47</v>
      </c>
      <c r="J1933" s="25">
        <v>107</v>
      </c>
      <c r="K1933" s="25">
        <f>Sales!$B1933-Sales!$J1933</f>
        <v>-20.269999999999996</v>
      </c>
      <c r="L1933" s="28">
        <f>(Sales!$J1933-Sales!$B1933)/Sales!$J1933</f>
        <v>0.18943925233644857</v>
      </c>
      <c r="M1933" s="28" t="str">
        <f t="shared" si="30"/>
        <v>15%-20%</v>
      </c>
      <c r="N1933" s="27" t="s">
        <v>108</v>
      </c>
      <c r="O1933" s="27" t="s">
        <v>16</v>
      </c>
      <c r="P1933" s="27" t="s">
        <v>17</v>
      </c>
      <c r="Q1933" s="27" t="s">
        <v>14</v>
      </c>
    </row>
    <row r="1934" spans="1:17" x14ac:dyDescent="0.3">
      <c r="A1934" s="22">
        <v>43</v>
      </c>
      <c r="B1934" s="19">
        <v>100</v>
      </c>
      <c r="C1934" s="20">
        <f>Sales!$B1934*Sales!$A1934</f>
        <v>4300</v>
      </c>
      <c r="D1934" s="21">
        <v>38175</v>
      </c>
      <c r="E1934" s="22" t="s">
        <v>9</v>
      </c>
      <c r="F1934" s="22">
        <v>3</v>
      </c>
      <c r="G1934" s="22">
        <v>7</v>
      </c>
      <c r="H1934" s="22">
        <v>2004</v>
      </c>
      <c r="I1934" s="22" t="s">
        <v>47</v>
      </c>
      <c r="J1934" s="20">
        <v>107</v>
      </c>
      <c r="K1934" s="20">
        <f>Sales!$B1934-Sales!$J1934</f>
        <v>-7</v>
      </c>
      <c r="L1934" s="23">
        <f>(Sales!$J1934-Sales!$B1934)/Sales!$J1934</f>
        <v>6.5420560747663545E-2</v>
      </c>
      <c r="M1934" s="23" t="str">
        <f t="shared" si="30"/>
        <v>5%-10%</v>
      </c>
      <c r="N1934" s="22" t="s">
        <v>11</v>
      </c>
      <c r="O1934" s="22" t="s">
        <v>12</v>
      </c>
      <c r="P1934" s="22" t="s">
        <v>13</v>
      </c>
      <c r="Q1934" s="22" t="s">
        <v>19</v>
      </c>
    </row>
    <row r="1935" spans="1:17" x14ac:dyDescent="0.3">
      <c r="A1935" s="27">
        <v>48</v>
      </c>
      <c r="B1935" s="24">
        <v>100</v>
      </c>
      <c r="C1935" s="25">
        <f>Sales!$B1935*Sales!$A1935</f>
        <v>4800</v>
      </c>
      <c r="D1935" s="26">
        <v>38208</v>
      </c>
      <c r="E1935" s="27" t="s">
        <v>9</v>
      </c>
      <c r="F1935" s="27">
        <v>3</v>
      </c>
      <c r="G1935" s="27">
        <v>8</v>
      </c>
      <c r="H1935" s="27">
        <v>2004</v>
      </c>
      <c r="I1935" s="27" t="s">
        <v>47</v>
      </c>
      <c r="J1935" s="25">
        <v>107</v>
      </c>
      <c r="K1935" s="25">
        <f>Sales!$B1935-Sales!$J1935</f>
        <v>-7</v>
      </c>
      <c r="L1935" s="28">
        <f>(Sales!$J1935-Sales!$B1935)/Sales!$J1935</f>
        <v>6.5420560747663545E-2</v>
      </c>
      <c r="M1935" s="28" t="str">
        <f t="shared" si="30"/>
        <v>5%-10%</v>
      </c>
      <c r="N1935" s="27" t="s">
        <v>45</v>
      </c>
      <c r="O1935" s="27" t="s">
        <v>46</v>
      </c>
      <c r="P1935" s="27" t="s">
        <v>17</v>
      </c>
      <c r="Q1935" s="27" t="s">
        <v>19</v>
      </c>
    </row>
    <row r="1936" spans="1:17" x14ac:dyDescent="0.3">
      <c r="A1936" s="22">
        <v>41</v>
      </c>
      <c r="B1936" s="19">
        <v>100</v>
      </c>
      <c r="C1936" s="20">
        <f>Sales!$B1936*Sales!$A1936</f>
        <v>4100</v>
      </c>
      <c r="D1936" s="21">
        <v>38231</v>
      </c>
      <c r="E1936" s="22" t="s">
        <v>9</v>
      </c>
      <c r="F1936" s="22">
        <v>3</v>
      </c>
      <c r="G1936" s="22">
        <v>9</v>
      </c>
      <c r="H1936" s="22">
        <v>2004</v>
      </c>
      <c r="I1936" s="22" t="s">
        <v>47</v>
      </c>
      <c r="J1936" s="20">
        <v>107</v>
      </c>
      <c r="K1936" s="20">
        <f>Sales!$B1936-Sales!$J1936</f>
        <v>-7</v>
      </c>
      <c r="L1936" s="23">
        <f>(Sales!$J1936-Sales!$B1936)/Sales!$J1936</f>
        <v>6.5420560747663545E-2</v>
      </c>
      <c r="M1936" s="23" t="str">
        <f t="shared" si="30"/>
        <v>5%-10%</v>
      </c>
      <c r="N1936" s="22" t="s">
        <v>50</v>
      </c>
      <c r="O1936" s="22" t="s">
        <v>50</v>
      </c>
      <c r="P1936" s="22" t="s">
        <v>28</v>
      </c>
      <c r="Q1936" s="22" t="s">
        <v>19</v>
      </c>
    </row>
    <row r="1937" spans="1:17" x14ac:dyDescent="0.3">
      <c r="A1937" s="27">
        <v>22</v>
      </c>
      <c r="B1937" s="24">
        <v>96.37</v>
      </c>
      <c r="C1937" s="25">
        <f>Sales!$B1937*Sales!$A1937</f>
        <v>2120.1400000000003</v>
      </c>
      <c r="D1937" s="26">
        <v>37899</v>
      </c>
      <c r="E1937" s="27" t="s">
        <v>9</v>
      </c>
      <c r="F1937" s="27">
        <v>4</v>
      </c>
      <c r="G1937" s="27">
        <v>10</v>
      </c>
      <c r="H1937" s="27">
        <v>2003</v>
      </c>
      <c r="I1937" s="27" t="s">
        <v>47</v>
      </c>
      <c r="J1937" s="25">
        <v>107</v>
      </c>
      <c r="K1937" s="25">
        <f>Sales!$B1937-Sales!$J1937</f>
        <v>-10.629999999999995</v>
      </c>
      <c r="L1937" s="28">
        <f>(Sales!$J1937-Sales!$B1937)/Sales!$J1937</f>
        <v>9.9345794392523321E-2</v>
      </c>
      <c r="M1937" s="28" t="str">
        <f t="shared" si="30"/>
        <v>5%-10%</v>
      </c>
      <c r="N1937" s="27" t="s">
        <v>110</v>
      </c>
      <c r="O1937" s="27" t="s">
        <v>25</v>
      </c>
      <c r="P1937" s="27" t="s">
        <v>17</v>
      </c>
      <c r="Q1937" s="27" t="s">
        <v>14</v>
      </c>
    </row>
    <row r="1938" spans="1:17" x14ac:dyDescent="0.3">
      <c r="A1938" s="22">
        <v>46</v>
      </c>
      <c r="B1938" s="19">
        <v>92.09</v>
      </c>
      <c r="C1938" s="20">
        <f>Sales!$B1938*Sales!$A1938</f>
        <v>4236.1400000000003</v>
      </c>
      <c r="D1938" s="21">
        <v>38276</v>
      </c>
      <c r="E1938" s="22" t="s">
        <v>9</v>
      </c>
      <c r="F1938" s="22">
        <v>4</v>
      </c>
      <c r="G1938" s="22">
        <v>10</v>
      </c>
      <c r="H1938" s="22">
        <v>2004</v>
      </c>
      <c r="I1938" s="22" t="s">
        <v>47</v>
      </c>
      <c r="J1938" s="20">
        <v>107</v>
      </c>
      <c r="K1938" s="20">
        <f>Sales!$B1938-Sales!$J1938</f>
        <v>-14.909999999999997</v>
      </c>
      <c r="L1938" s="23">
        <f>(Sales!$J1938-Sales!$B1938)/Sales!$J1938</f>
        <v>0.13934579439252334</v>
      </c>
      <c r="M1938" s="23" t="str">
        <f t="shared" si="30"/>
        <v>10%-15%</v>
      </c>
      <c r="N1938" s="22" t="s">
        <v>45</v>
      </c>
      <c r="O1938" s="22" t="s">
        <v>46</v>
      </c>
      <c r="P1938" s="22" t="s">
        <v>17</v>
      </c>
      <c r="Q1938" s="22" t="s">
        <v>19</v>
      </c>
    </row>
    <row r="1939" spans="1:17" x14ac:dyDescent="0.3">
      <c r="A1939" s="27">
        <v>21</v>
      </c>
      <c r="B1939" s="24">
        <v>89.95</v>
      </c>
      <c r="C1939" s="25">
        <f>Sales!$B1939*Sales!$A1939</f>
        <v>1888.95</v>
      </c>
      <c r="D1939" s="26">
        <v>38295</v>
      </c>
      <c r="E1939" s="27" t="s">
        <v>9</v>
      </c>
      <c r="F1939" s="27">
        <v>4</v>
      </c>
      <c r="G1939" s="27">
        <v>11</v>
      </c>
      <c r="H1939" s="27">
        <v>2004</v>
      </c>
      <c r="I1939" s="27" t="s">
        <v>47</v>
      </c>
      <c r="J1939" s="25">
        <v>107</v>
      </c>
      <c r="K1939" s="25">
        <f>Sales!$B1939-Sales!$J1939</f>
        <v>-17.049999999999997</v>
      </c>
      <c r="L1939" s="28">
        <f>(Sales!$J1939-Sales!$B1939)/Sales!$J1939</f>
        <v>0.15934579439252333</v>
      </c>
      <c r="M1939" s="28" t="str">
        <f t="shared" si="30"/>
        <v>15%-20%</v>
      </c>
      <c r="N1939" s="27" t="s">
        <v>41</v>
      </c>
      <c r="O1939" s="27" t="s">
        <v>12</v>
      </c>
      <c r="P1939" s="27" t="s">
        <v>13</v>
      </c>
      <c r="Q1939" s="27" t="s">
        <v>14</v>
      </c>
    </row>
    <row r="1940" spans="1:17" x14ac:dyDescent="0.3">
      <c r="A1940" s="22">
        <v>31</v>
      </c>
      <c r="B1940" s="19">
        <v>37.18</v>
      </c>
      <c r="C1940" s="20">
        <f>Sales!$B1940*Sales!$A1940</f>
        <v>1152.58</v>
      </c>
      <c r="D1940" s="21">
        <v>38308</v>
      </c>
      <c r="E1940" s="22" t="s">
        <v>9</v>
      </c>
      <c r="F1940" s="22">
        <v>4</v>
      </c>
      <c r="G1940" s="22">
        <v>11</v>
      </c>
      <c r="H1940" s="22">
        <v>2004</v>
      </c>
      <c r="I1940" s="22" t="s">
        <v>47</v>
      </c>
      <c r="J1940" s="20">
        <v>107</v>
      </c>
      <c r="K1940" s="20">
        <f>Sales!$B1940-Sales!$J1940</f>
        <v>-69.819999999999993</v>
      </c>
      <c r="L1940" s="23">
        <f>(Sales!$J1940-Sales!$B1940)/Sales!$J1940</f>
        <v>0.65252336448598125</v>
      </c>
      <c r="M1940" s="23" t="str">
        <f t="shared" si="30"/>
        <v>+20%</v>
      </c>
      <c r="N1940" s="22" t="s">
        <v>102</v>
      </c>
      <c r="O1940" s="22" t="s">
        <v>43</v>
      </c>
      <c r="P1940" s="22" t="s">
        <v>17</v>
      </c>
      <c r="Q1940" s="22" t="s">
        <v>14</v>
      </c>
    </row>
    <row r="1941" spans="1:17" x14ac:dyDescent="0.3">
      <c r="A1941" s="27">
        <v>26</v>
      </c>
      <c r="B1941" s="24">
        <v>95.88</v>
      </c>
      <c r="C1941" s="25">
        <f>Sales!$B1941*Sales!$A1941</f>
        <v>2492.88</v>
      </c>
      <c r="D1941" s="26">
        <v>38320</v>
      </c>
      <c r="E1941" s="27" t="s">
        <v>9</v>
      </c>
      <c r="F1941" s="27">
        <v>4</v>
      </c>
      <c r="G1941" s="27">
        <v>11</v>
      </c>
      <c r="H1941" s="27">
        <v>2004</v>
      </c>
      <c r="I1941" s="27" t="s">
        <v>47</v>
      </c>
      <c r="J1941" s="25">
        <v>107</v>
      </c>
      <c r="K1941" s="25">
        <f>Sales!$B1941-Sales!$J1941</f>
        <v>-11.120000000000005</v>
      </c>
      <c r="L1941" s="28">
        <f>(Sales!$J1941-Sales!$B1941)/Sales!$J1941</f>
        <v>0.10392523364485985</v>
      </c>
      <c r="M1941" s="28" t="s">
        <v>134</v>
      </c>
      <c r="N1941" s="27" t="s">
        <v>109</v>
      </c>
      <c r="O1941" s="27" t="s">
        <v>12</v>
      </c>
      <c r="P1941" s="27" t="s">
        <v>13</v>
      </c>
      <c r="Q1941" s="27" t="s">
        <v>14</v>
      </c>
    </row>
    <row r="1942" spans="1:17" x14ac:dyDescent="0.3">
      <c r="A1942" s="22">
        <v>20</v>
      </c>
      <c r="B1942" s="19">
        <v>99.58</v>
      </c>
      <c r="C1942" s="20">
        <f>Sales!$B1942*Sales!$A1942</f>
        <v>1991.6</v>
      </c>
      <c r="D1942" s="21">
        <v>38371</v>
      </c>
      <c r="E1942" s="22" t="s">
        <v>9</v>
      </c>
      <c r="F1942" s="22">
        <v>1</v>
      </c>
      <c r="G1942" s="22">
        <v>1</v>
      </c>
      <c r="H1942" s="22">
        <v>2005</v>
      </c>
      <c r="I1942" s="22" t="s">
        <v>47</v>
      </c>
      <c r="J1942" s="20">
        <v>107</v>
      </c>
      <c r="K1942" s="20">
        <f>Sales!$B1942-Sales!$J1942</f>
        <v>-7.4200000000000017</v>
      </c>
      <c r="L1942" s="23">
        <f>(Sales!$J1942-Sales!$B1942)/Sales!$J1942</f>
        <v>6.9345794392523377E-2</v>
      </c>
      <c r="M1942" s="23" t="str">
        <f t="shared" si="30"/>
        <v>5%-10%</v>
      </c>
      <c r="N1942" s="22" t="s">
        <v>64</v>
      </c>
      <c r="O1942" s="22" t="s">
        <v>12</v>
      </c>
      <c r="P1942" s="22" t="s">
        <v>13</v>
      </c>
      <c r="Q1942" s="22" t="s">
        <v>14</v>
      </c>
    </row>
    <row r="1943" spans="1:17" x14ac:dyDescent="0.3">
      <c r="A1943" s="27">
        <v>34</v>
      </c>
      <c r="B1943" s="24">
        <v>100</v>
      </c>
      <c r="C1943" s="25">
        <f>Sales!$B1943*Sales!$A1943</f>
        <v>3400</v>
      </c>
      <c r="D1943" s="26">
        <v>38399</v>
      </c>
      <c r="E1943" s="27" t="s">
        <v>9</v>
      </c>
      <c r="F1943" s="27">
        <v>1</v>
      </c>
      <c r="G1943" s="27">
        <v>2</v>
      </c>
      <c r="H1943" s="27">
        <v>2005</v>
      </c>
      <c r="I1943" s="27" t="s">
        <v>47</v>
      </c>
      <c r="J1943" s="25">
        <v>107</v>
      </c>
      <c r="K1943" s="25">
        <f>Sales!$B1943-Sales!$J1943</f>
        <v>-7</v>
      </c>
      <c r="L1943" s="28">
        <f>(Sales!$J1943-Sales!$B1943)/Sales!$J1943</f>
        <v>6.5420560747663545E-2</v>
      </c>
      <c r="M1943" s="28" t="str">
        <f t="shared" si="30"/>
        <v>5%-10%</v>
      </c>
      <c r="N1943" s="27" t="s">
        <v>45</v>
      </c>
      <c r="O1943" s="27" t="s">
        <v>46</v>
      </c>
      <c r="P1943" s="27" t="s">
        <v>17</v>
      </c>
      <c r="Q1943" s="27" t="s">
        <v>19</v>
      </c>
    </row>
    <row r="1944" spans="1:17" x14ac:dyDescent="0.3">
      <c r="A1944" s="22">
        <v>43</v>
      </c>
      <c r="B1944" s="19">
        <v>86.73</v>
      </c>
      <c r="C1944" s="20">
        <f>Sales!$B1944*Sales!$A1944</f>
        <v>3729.3900000000003</v>
      </c>
      <c r="D1944" s="21">
        <v>38464</v>
      </c>
      <c r="E1944" s="22" t="s">
        <v>87</v>
      </c>
      <c r="F1944" s="22">
        <v>2</v>
      </c>
      <c r="G1944" s="22">
        <v>4</v>
      </c>
      <c r="H1944" s="22">
        <v>2005</v>
      </c>
      <c r="I1944" s="22" t="s">
        <v>47</v>
      </c>
      <c r="J1944" s="20">
        <v>107</v>
      </c>
      <c r="K1944" s="20">
        <f>Sales!$B1944-Sales!$J1944</f>
        <v>-20.269999999999996</v>
      </c>
      <c r="L1944" s="23">
        <f>(Sales!$J1944-Sales!$B1944)/Sales!$J1944</f>
        <v>0.18943925233644857</v>
      </c>
      <c r="M1944" s="23" t="str">
        <f t="shared" si="30"/>
        <v>15%-20%</v>
      </c>
      <c r="N1944" s="22" t="s">
        <v>86</v>
      </c>
      <c r="O1944" s="22" t="s">
        <v>12</v>
      </c>
      <c r="P1944" s="22" t="s">
        <v>13</v>
      </c>
      <c r="Q1944" s="22" t="s">
        <v>19</v>
      </c>
    </row>
    <row r="1945" spans="1:17" x14ac:dyDescent="0.3">
      <c r="A1945" s="27">
        <v>26</v>
      </c>
      <c r="B1945" s="24">
        <v>100</v>
      </c>
      <c r="C1945" s="25">
        <f>Sales!$B1945*Sales!$A1945</f>
        <v>2600</v>
      </c>
      <c r="D1945" s="26">
        <v>38501</v>
      </c>
      <c r="E1945" s="27" t="s">
        <v>69</v>
      </c>
      <c r="F1945" s="27">
        <v>2</v>
      </c>
      <c r="G1945" s="27">
        <v>5</v>
      </c>
      <c r="H1945" s="27">
        <v>2005</v>
      </c>
      <c r="I1945" s="27" t="s">
        <v>47</v>
      </c>
      <c r="J1945" s="25">
        <v>107</v>
      </c>
      <c r="K1945" s="25">
        <f>Sales!$B1945-Sales!$J1945</f>
        <v>-7</v>
      </c>
      <c r="L1945" s="28">
        <f>(Sales!$J1945-Sales!$B1945)/Sales!$J1945</f>
        <v>6.5420560747663545E-2</v>
      </c>
      <c r="M1945" s="28" t="str">
        <f t="shared" si="30"/>
        <v>5%-10%</v>
      </c>
      <c r="N1945" s="27" t="s">
        <v>40</v>
      </c>
      <c r="O1945" s="27" t="s">
        <v>27</v>
      </c>
      <c r="P1945" s="27" t="s">
        <v>28</v>
      </c>
      <c r="Q1945" s="27" t="s">
        <v>14</v>
      </c>
    </row>
    <row r="1946" spans="1:17" x14ac:dyDescent="0.3">
      <c r="A1946" s="22">
        <v>50</v>
      </c>
      <c r="B1946" s="19">
        <v>79.67</v>
      </c>
      <c r="C1946" s="20">
        <f>Sales!$B1946*Sales!$A1946</f>
        <v>3983.5</v>
      </c>
      <c r="D1946" s="21">
        <v>37663</v>
      </c>
      <c r="E1946" s="22" t="s">
        <v>9</v>
      </c>
      <c r="F1946" s="22">
        <v>1</v>
      </c>
      <c r="G1946" s="22">
        <v>2</v>
      </c>
      <c r="H1946" s="22">
        <v>2003</v>
      </c>
      <c r="I1946" s="22" t="s">
        <v>112</v>
      </c>
      <c r="J1946" s="20">
        <v>83</v>
      </c>
      <c r="K1946" s="20">
        <f>Sales!$B1946-Sales!$J1946</f>
        <v>-3.3299999999999983</v>
      </c>
      <c r="L1946" s="23">
        <f>(Sales!$J1946-Sales!$B1946)/Sales!$J1946</f>
        <v>4.0120481927710824E-2</v>
      </c>
      <c r="M1946" s="23" t="str">
        <f t="shared" si="30"/>
        <v>0%-5%</v>
      </c>
      <c r="N1946" s="22" t="s">
        <v>72</v>
      </c>
      <c r="O1946" s="22" t="s">
        <v>73</v>
      </c>
      <c r="P1946" s="22" t="s">
        <v>17</v>
      </c>
      <c r="Q1946" s="22" t="s">
        <v>19</v>
      </c>
    </row>
    <row r="1947" spans="1:17" x14ac:dyDescent="0.3">
      <c r="A1947" s="27">
        <v>35</v>
      </c>
      <c r="B1947" s="24">
        <v>90.57</v>
      </c>
      <c r="C1947" s="25">
        <f>Sales!$B1947*Sales!$A1947</f>
        <v>3169.95</v>
      </c>
      <c r="D1947" s="26">
        <v>37739</v>
      </c>
      <c r="E1947" s="27" t="s">
        <v>9</v>
      </c>
      <c r="F1947" s="27">
        <v>2</v>
      </c>
      <c r="G1947" s="27">
        <v>4</v>
      </c>
      <c r="H1947" s="27">
        <v>2003</v>
      </c>
      <c r="I1947" s="27" t="s">
        <v>112</v>
      </c>
      <c r="J1947" s="25">
        <v>83</v>
      </c>
      <c r="K1947" s="25">
        <f>Sales!$B1947-Sales!$J1947</f>
        <v>7.5699999999999932</v>
      </c>
      <c r="L1947" s="28">
        <f>(Sales!$J1947-Sales!$B1947)/Sales!$J1947</f>
        <v>-9.1204819277108357E-2</v>
      </c>
      <c r="M1947" s="28" t="str">
        <f t="shared" si="30"/>
        <v>Below 0%</v>
      </c>
      <c r="N1947" s="27" t="s">
        <v>37</v>
      </c>
      <c r="O1947" s="27" t="s">
        <v>38</v>
      </c>
      <c r="P1947" s="27" t="s">
        <v>17</v>
      </c>
      <c r="Q1947" s="27" t="s">
        <v>19</v>
      </c>
    </row>
    <row r="1948" spans="1:17" x14ac:dyDescent="0.3">
      <c r="A1948" s="22">
        <v>50</v>
      </c>
      <c r="B1948" s="19">
        <v>77.989999999999995</v>
      </c>
      <c r="C1948" s="20">
        <f>Sales!$B1948*Sales!$A1948</f>
        <v>3899.4999999999995</v>
      </c>
      <c r="D1948" s="21">
        <v>37784</v>
      </c>
      <c r="E1948" s="22" t="s">
        <v>9</v>
      </c>
      <c r="F1948" s="22">
        <v>2</v>
      </c>
      <c r="G1948" s="22">
        <v>6</v>
      </c>
      <c r="H1948" s="22">
        <v>2003</v>
      </c>
      <c r="I1948" s="22" t="s">
        <v>112</v>
      </c>
      <c r="J1948" s="20">
        <v>83</v>
      </c>
      <c r="K1948" s="20">
        <f>Sales!$B1948-Sales!$J1948</f>
        <v>-5.0100000000000051</v>
      </c>
      <c r="L1948" s="23">
        <f>(Sales!$J1948-Sales!$B1948)/Sales!$J1948</f>
        <v>6.0361445783132593E-2</v>
      </c>
      <c r="M1948" s="23" t="str">
        <f t="shared" si="30"/>
        <v>5%-10%</v>
      </c>
      <c r="N1948" s="22" t="s">
        <v>74</v>
      </c>
      <c r="O1948" s="22" t="s">
        <v>43</v>
      </c>
      <c r="P1948" s="22" t="s">
        <v>17</v>
      </c>
      <c r="Q1948" s="22" t="s">
        <v>19</v>
      </c>
    </row>
    <row r="1949" spans="1:17" x14ac:dyDescent="0.3">
      <c r="A1949" s="27">
        <v>23</v>
      </c>
      <c r="B1949" s="24">
        <v>80.510000000000005</v>
      </c>
      <c r="C1949" s="25">
        <f>Sales!$B1949*Sales!$A1949</f>
        <v>1851.73</v>
      </c>
      <c r="D1949" s="26">
        <v>37843</v>
      </c>
      <c r="E1949" s="27" t="s">
        <v>9</v>
      </c>
      <c r="F1949" s="27">
        <v>3</v>
      </c>
      <c r="G1949" s="27">
        <v>8</v>
      </c>
      <c r="H1949" s="27">
        <v>2003</v>
      </c>
      <c r="I1949" s="27" t="s">
        <v>112</v>
      </c>
      <c r="J1949" s="25">
        <v>83</v>
      </c>
      <c r="K1949" s="25">
        <f>Sales!$B1949-Sales!$J1949</f>
        <v>-2.4899999999999949</v>
      </c>
      <c r="L1949" s="28">
        <f>(Sales!$J1949-Sales!$B1949)/Sales!$J1949</f>
        <v>2.999999999999994E-2</v>
      </c>
      <c r="M1949" s="28" t="str">
        <f t="shared" si="30"/>
        <v>0%-5%</v>
      </c>
      <c r="N1949" s="27" t="s">
        <v>41</v>
      </c>
      <c r="O1949" s="27" t="s">
        <v>12</v>
      </c>
      <c r="P1949" s="27" t="s">
        <v>13</v>
      </c>
      <c r="Q1949" s="27" t="s">
        <v>14</v>
      </c>
    </row>
    <row r="1950" spans="1:17" x14ac:dyDescent="0.3">
      <c r="A1950" s="22">
        <v>37</v>
      </c>
      <c r="B1950" s="19">
        <v>67.930000000000007</v>
      </c>
      <c r="C1950" s="20">
        <f>Sales!$B1950*Sales!$A1950</f>
        <v>2513.4100000000003</v>
      </c>
      <c r="D1950" s="21">
        <v>37900</v>
      </c>
      <c r="E1950" s="22" t="s">
        <v>9</v>
      </c>
      <c r="F1950" s="22">
        <v>4</v>
      </c>
      <c r="G1950" s="22">
        <v>10</v>
      </c>
      <c r="H1950" s="22">
        <v>2003</v>
      </c>
      <c r="I1950" s="22" t="s">
        <v>112</v>
      </c>
      <c r="J1950" s="20">
        <v>83</v>
      </c>
      <c r="K1950" s="20">
        <f>Sales!$B1950-Sales!$J1950</f>
        <v>-15.069999999999993</v>
      </c>
      <c r="L1950" s="23">
        <f>(Sales!$J1950-Sales!$B1950)/Sales!$J1950</f>
        <v>0.18156626506024087</v>
      </c>
      <c r="M1950" s="23" t="str">
        <f t="shared" si="30"/>
        <v>15%-20%</v>
      </c>
      <c r="N1950" s="22" t="s">
        <v>33</v>
      </c>
      <c r="O1950" s="22" t="s">
        <v>34</v>
      </c>
      <c r="P1950" s="22" t="s">
        <v>17</v>
      </c>
      <c r="Q1950" s="22" t="s">
        <v>14</v>
      </c>
    </row>
    <row r="1951" spans="1:17" x14ac:dyDescent="0.3">
      <c r="A1951" s="27">
        <v>29</v>
      </c>
      <c r="B1951" s="24">
        <v>83.86</v>
      </c>
      <c r="C1951" s="25">
        <f>Sales!$B1951*Sales!$A1951</f>
        <v>2431.94</v>
      </c>
      <c r="D1951" s="26">
        <v>37917</v>
      </c>
      <c r="E1951" s="27" t="s">
        <v>75</v>
      </c>
      <c r="F1951" s="27">
        <v>4</v>
      </c>
      <c r="G1951" s="27">
        <v>10</v>
      </c>
      <c r="H1951" s="27">
        <v>2003</v>
      </c>
      <c r="I1951" s="27" t="s">
        <v>112</v>
      </c>
      <c r="J1951" s="25">
        <v>83</v>
      </c>
      <c r="K1951" s="25">
        <f>Sales!$B1951-Sales!$J1951</f>
        <v>0.85999999999999943</v>
      </c>
      <c r="L1951" s="28">
        <f>(Sales!$J1951-Sales!$B1951)/Sales!$J1951</f>
        <v>-1.0361445783132523E-2</v>
      </c>
      <c r="M1951" s="28" t="str">
        <f t="shared" si="30"/>
        <v>Below 0%</v>
      </c>
      <c r="N1951" s="27" t="s">
        <v>62</v>
      </c>
      <c r="O1951" s="27" t="s">
        <v>49</v>
      </c>
      <c r="P1951" s="27" t="s">
        <v>17</v>
      </c>
      <c r="Q1951" s="27" t="s">
        <v>14</v>
      </c>
    </row>
    <row r="1952" spans="1:17" x14ac:dyDescent="0.3">
      <c r="A1952" s="22">
        <v>21</v>
      </c>
      <c r="B1952" s="19">
        <v>72.12</v>
      </c>
      <c r="C1952" s="20">
        <f>Sales!$B1952*Sales!$A1952</f>
        <v>1514.52</v>
      </c>
      <c r="D1952" s="21">
        <v>37933</v>
      </c>
      <c r="E1952" s="22" t="s">
        <v>9</v>
      </c>
      <c r="F1952" s="22">
        <v>4</v>
      </c>
      <c r="G1952" s="22">
        <v>11</v>
      </c>
      <c r="H1952" s="22">
        <v>2003</v>
      </c>
      <c r="I1952" s="22" t="s">
        <v>112</v>
      </c>
      <c r="J1952" s="20">
        <v>83</v>
      </c>
      <c r="K1952" s="20">
        <f>Sales!$B1952-Sales!$J1952</f>
        <v>-10.879999999999995</v>
      </c>
      <c r="L1952" s="23">
        <f>(Sales!$J1952-Sales!$B1952)/Sales!$J1952</f>
        <v>0.13108433734939753</v>
      </c>
      <c r="M1952" s="23" t="str">
        <f t="shared" si="30"/>
        <v>10%-15%</v>
      </c>
      <c r="N1952" s="22" t="s">
        <v>76</v>
      </c>
      <c r="O1952" s="22" t="s">
        <v>16</v>
      </c>
      <c r="P1952" s="22" t="s">
        <v>17</v>
      </c>
      <c r="Q1952" s="22" t="s">
        <v>14</v>
      </c>
    </row>
    <row r="1953" spans="1:17" x14ac:dyDescent="0.3">
      <c r="A1953" s="27">
        <v>36</v>
      </c>
      <c r="B1953" s="24">
        <v>85.54</v>
      </c>
      <c r="C1953" s="25">
        <f>Sales!$B1953*Sales!$A1953</f>
        <v>3079.44</v>
      </c>
      <c r="D1953" s="26">
        <v>37939</v>
      </c>
      <c r="E1953" s="27" t="s">
        <v>9</v>
      </c>
      <c r="F1953" s="27">
        <v>4</v>
      </c>
      <c r="G1953" s="27">
        <v>11</v>
      </c>
      <c r="H1953" s="27">
        <v>2003</v>
      </c>
      <c r="I1953" s="27" t="s">
        <v>112</v>
      </c>
      <c r="J1953" s="25">
        <v>83</v>
      </c>
      <c r="K1953" s="25">
        <f>Sales!$B1953-Sales!$J1953</f>
        <v>2.5400000000000063</v>
      </c>
      <c r="L1953" s="28">
        <f>(Sales!$J1953-Sales!$B1953)/Sales!$J1953</f>
        <v>-3.0602409638554293E-2</v>
      </c>
      <c r="M1953" s="28" t="str">
        <f t="shared" si="30"/>
        <v>Below 0%</v>
      </c>
      <c r="N1953" s="27" t="s">
        <v>74</v>
      </c>
      <c r="O1953" s="27" t="s">
        <v>43</v>
      </c>
      <c r="P1953" s="27" t="s">
        <v>17</v>
      </c>
      <c r="Q1953" s="27" t="s">
        <v>19</v>
      </c>
    </row>
    <row r="1954" spans="1:17" x14ac:dyDescent="0.3">
      <c r="A1954" s="22">
        <v>22</v>
      </c>
      <c r="B1954" s="19">
        <v>86.38</v>
      </c>
      <c r="C1954" s="20">
        <f>Sales!$B1954*Sales!$A1954</f>
        <v>1900.36</v>
      </c>
      <c r="D1954" s="21">
        <v>37951</v>
      </c>
      <c r="E1954" s="22" t="s">
        <v>9</v>
      </c>
      <c r="F1954" s="22">
        <v>4</v>
      </c>
      <c r="G1954" s="22">
        <v>11</v>
      </c>
      <c r="H1954" s="22">
        <v>2003</v>
      </c>
      <c r="I1954" s="22" t="s">
        <v>112</v>
      </c>
      <c r="J1954" s="20">
        <v>83</v>
      </c>
      <c r="K1954" s="20">
        <f>Sales!$B1954-Sales!$J1954</f>
        <v>3.3799999999999955</v>
      </c>
      <c r="L1954" s="23">
        <f>(Sales!$J1954-Sales!$B1954)/Sales!$J1954</f>
        <v>-4.0722891566265004E-2</v>
      </c>
      <c r="M1954" s="23" t="str">
        <f t="shared" si="30"/>
        <v>Below 0%</v>
      </c>
      <c r="N1954" s="22" t="s">
        <v>77</v>
      </c>
      <c r="O1954" s="22" t="s">
        <v>46</v>
      </c>
      <c r="P1954" s="22" t="s">
        <v>17</v>
      </c>
      <c r="Q1954" s="22" t="s">
        <v>14</v>
      </c>
    </row>
    <row r="1955" spans="1:17" x14ac:dyDescent="0.3">
      <c r="A1955" s="27">
        <v>22</v>
      </c>
      <c r="B1955" s="24">
        <v>89.73</v>
      </c>
      <c r="C1955" s="25">
        <f>Sales!$B1955*Sales!$A1955</f>
        <v>1974.0600000000002</v>
      </c>
      <c r="D1955" s="26">
        <v>37995</v>
      </c>
      <c r="E1955" s="27" t="s">
        <v>9</v>
      </c>
      <c r="F1955" s="27">
        <v>1</v>
      </c>
      <c r="G1955" s="27">
        <v>1</v>
      </c>
      <c r="H1955" s="27">
        <v>2004</v>
      </c>
      <c r="I1955" s="27" t="s">
        <v>112</v>
      </c>
      <c r="J1955" s="25">
        <v>83</v>
      </c>
      <c r="K1955" s="25">
        <f>Sales!$B1955-Sales!$J1955</f>
        <v>6.730000000000004</v>
      </c>
      <c r="L1955" s="28">
        <f>(Sales!$J1955-Sales!$B1955)/Sales!$J1955</f>
        <v>-8.1084337349397642E-2</v>
      </c>
      <c r="M1955" s="28" t="str">
        <f t="shared" si="30"/>
        <v>Below 0%</v>
      </c>
      <c r="N1955" s="27" t="s">
        <v>78</v>
      </c>
      <c r="O1955" s="27" t="s">
        <v>12</v>
      </c>
      <c r="P1955" s="27" t="s">
        <v>13</v>
      </c>
      <c r="Q1955" s="27" t="s">
        <v>14</v>
      </c>
    </row>
    <row r="1956" spans="1:17" x14ac:dyDescent="0.3">
      <c r="A1956" s="22">
        <v>46</v>
      </c>
      <c r="B1956" s="19">
        <v>80.510000000000005</v>
      </c>
      <c r="C1956" s="20">
        <f>Sales!$B1956*Sales!$A1956</f>
        <v>3703.46</v>
      </c>
      <c r="D1956" s="21">
        <v>38036</v>
      </c>
      <c r="E1956" s="22" t="s">
        <v>9</v>
      </c>
      <c r="F1956" s="22">
        <v>1</v>
      </c>
      <c r="G1956" s="22">
        <v>2</v>
      </c>
      <c r="H1956" s="22">
        <v>2004</v>
      </c>
      <c r="I1956" s="22" t="s">
        <v>112</v>
      </c>
      <c r="J1956" s="20">
        <v>83</v>
      </c>
      <c r="K1956" s="20">
        <f>Sales!$B1956-Sales!$J1956</f>
        <v>-2.4899999999999949</v>
      </c>
      <c r="L1956" s="23">
        <f>(Sales!$J1956-Sales!$B1956)/Sales!$J1956</f>
        <v>2.999999999999994E-2</v>
      </c>
      <c r="M1956" s="23" t="str">
        <f t="shared" si="30"/>
        <v>0%-5%</v>
      </c>
      <c r="N1956" s="22" t="s">
        <v>79</v>
      </c>
      <c r="O1956" s="22" t="s">
        <v>12</v>
      </c>
      <c r="P1956" s="22" t="s">
        <v>13</v>
      </c>
      <c r="Q1956" s="22" t="s">
        <v>19</v>
      </c>
    </row>
    <row r="1957" spans="1:17" x14ac:dyDescent="0.3">
      <c r="A1957" s="27">
        <v>23</v>
      </c>
      <c r="B1957" s="24">
        <v>76.31</v>
      </c>
      <c r="C1957" s="25">
        <f>Sales!$B1957*Sales!$A1957</f>
        <v>1755.13</v>
      </c>
      <c r="D1957" s="26">
        <v>38114</v>
      </c>
      <c r="E1957" s="27" t="s">
        <v>75</v>
      </c>
      <c r="F1957" s="27">
        <v>2</v>
      </c>
      <c r="G1957" s="27">
        <v>5</v>
      </c>
      <c r="H1957" s="27">
        <v>2004</v>
      </c>
      <c r="I1957" s="27" t="s">
        <v>112</v>
      </c>
      <c r="J1957" s="25">
        <v>83</v>
      </c>
      <c r="K1957" s="25">
        <f>Sales!$B1957-Sales!$J1957</f>
        <v>-6.6899999999999977</v>
      </c>
      <c r="L1957" s="28">
        <f>(Sales!$J1957-Sales!$B1957)/Sales!$J1957</f>
        <v>8.0602409638554195E-2</v>
      </c>
      <c r="M1957" s="28" t="str">
        <f t="shared" si="30"/>
        <v>5%-10%</v>
      </c>
      <c r="N1957" s="27" t="s">
        <v>11</v>
      </c>
      <c r="O1957" s="27" t="s">
        <v>12</v>
      </c>
      <c r="P1957" s="27" t="s">
        <v>13</v>
      </c>
      <c r="Q1957" s="27" t="s">
        <v>14</v>
      </c>
    </row>
    <row r="1958" spans="1:17" x14ac:dyDescent="0.3">
      <c r="A1958" s="22">
        <v>49</v>
      </c>
      <c r="B1958" s="19">
        <v>87.21</v>
      </c>
      <c r="C1958" s="20">
        <f>Sales!$B1958*Sales!$A1958</f>
        <v>4273.29</v>
      </c>
      <c r="D1958" s="21">
        <v>38162</v>
      </c>
      <c r="E1958" s="22" t="s">
        <v>75</v>
      </c>
      <c r="F1958" s="22">
        <v>2</v>
      </c>
      <c r="G1958" s="22">
        <v>6</v>
      </c>
      <c r="H1958" s="22">
        <v>2004</v>
      </c>
      <c r="I1958" s="22" t="s">
        <v>112</v>
      </c>
      <c r="J1958" s="20">
        <v>83</v>
      </c>
      <c r="K1958" s="20">
        <f>Sales!$B1958-Sales!$J1958</f>
        <v>4.2099999999999937</v>
      </c>
      <c r="L1958" s="23">
        <f>(Sales!$J1958-Sales!$B1958)/Sales!$J1958</f>
        <v>-5.0722891566264985E-2</v>
      </c>
      <c r="M1958" s="23" t="str">
        <f t="shared" si="30"/>
        <v>Below 0%</v>
      </c>
      <c r="N1958" s="22" t="s">
        <v>45</v>
      </c>
      <c r="O1958" s="22" t="s">
        <v>46</v>
      </c>
      <c r="P1958" s="22" t="s">
        <v>17</v>
      </c>
      <c r="Q1958" s="22" t="s">
        <v>19</v>
      </c>
    </row>
    <row r="1959" spans="1:17" x14ac:dyDescent="0.3">
      <c r="A1959" s="27">
        <v>48</v>
      </c>
      <c r="B1959" s="24">
        <v>83.02</v>
      </c>
      <c r="C1959" s="25">
        <f>Sales!$B1959*Sales!$A1959</f>
        <v>3984.96</v>
      </c>
      <c r="D1959" s="26">
        <v>38189</v>
      </c>
      <c r="E1959" s="27" t="s">
        <v>9</v>
      </c>
      <c r="F1959" s="27">
        <v>3</v>
      </c>
      <c r="G1959" s="27">
        <v>7</v>
      </c>
      <c r="H1959" s="27">
        <v>2004</v>
      </c>
      <c r="I1959" s="27" t="s">
        <v>112</v>
      </c>
      <c r="J1959" s="25">
        <v>83</v>
      </c>
      <c r="K1959" s="25">
        <f>Sales!$B1959-Sales!$J1959</f>
        <v>1.9999999999996021E-2</v>
      </c>
      <c r="L1959" s="28">
        <f>(Sales!$J1959-Sales!$B1959)/Sales!$J1959</f>
        <v>-2.4096385542163881E-4</v>
      </c>
      <c r="M1959" s="28" t="s">
        <v>130</v>
      </c>
      <c r="N1959" s="27" t="s">
        <v>80</v>
      </c>
      <c r="O1959" s="27" t="s">
        <v>81</v>
      </c>
      <c r="P1959" s="27" t="s">
        <v>17</v>
      </c>
      <c r="Q1959" s="27" t="s">
        <v>19</v>
      </c>
    </row>
    <row r="1960" spans="1:17" x14ac:dyDescent="0.3">
      <c r="A1960" s="22">
        <v>33</v>
      </c>
      <c r="B1960" s="19">
        <v>72.959999999999994</v>
      </c>
      <c r="C1960" s="20">
        <f>Sales!$B1960*Sales!$A1960</f>
        <v>2407.6799999999998</v>
      </c>
      <c r="D1960" s="21">
        <v>38219</v>
      </c>
      <c r="E1960" s="22" t="s">
        <v>9</v>
      </c>
      <c r="F1960" s="22">
        <v>3</v>
      </c>
      <c r="G1960" s="22">
        <v>8</v>
      </c>
      <c r="H1960" s="22">
        <v>2004</v>
      </c>
      <c r="I1960" s="22" t="s">
        <v>112</v>
      </c>
      <c r="J1960" s="20">
        <v>83</v>
      </c>
      <c r="K1960" s="20">
        <f>Sales!$B1960-Sales!$J1960</f>
        <v>-10.040000000000006</v>
      </c>
      <c r="L1960" s="23">
        <f>(Sales!$J1960-Sales!$B1960)/Sales!$J1960</f>
        <v>0.12096385542168682</v>
      </c>
      <c r="M1960" s="23" t="str">
        <f t="shared" si="30"/>
        <v>10%-15%</v>
      </c>
      <c r="N1960" s="22" t="s">
        <v>82</v>
      </c>
      <c r="O1960" s="22" t="s">
        <v>56</v>
      </c>
      <c r="P1960" s="22" t="s">
        <v>13</v>
      </c>
      <c r="Q1960" s="22" t="s">
        <v>14</v>
      </c>
    </row>
    <row r="1961" spans="1:17" x14ac:dyDescent="0.3">
      <c r="A1961" s="27">
        <v>22</v>
      </c>
      <c r="B1961" s="24">
        <v>77.150000000000006</v>
      </c>
      <c r="C1961" s="25">
        <f>Sales!$B1961*Sales!$A1961</f>
        <v>1697.3000000000002</v>
      </c>
      <c r="D1961" s="26">
        <v>38245</v>
      </c>
      <c r="E1961" s="27" t="s">
        <v>9</v>
      </c>
      <c r="F1961" s="27">
        <v>3</v>
      </c>
      <c r="G1961" s="27">
        <v>9</v>
      </c>
      <c r="H1961" s="27">
        <v>2004</v>
      </c>
      <c r="I1961" s="27" t="s">
        <v>112</v>
      </c>
      <c r="J1961" s="25">
        <v>83</v>
      </c>
      <c r="K1961" s="25">
        <f>Sales!$B1961-Sales!$J1961</f>
        <v>-5.8499999999999943</v>
      </c>
      <c r="L1961" s="28">
        <f>(Sales!$J1961-Sales!$B1961)/Sales!$J1961</f>
        <v>7.0481927710843301E-2</v>
      </c>
      <c r="M1961" s="28" t="str">
        <f t="shared" si="30"/>
        <v>5%-10%</v>
      </c>
      <c r="N1961" s="27" t="s">
        <v>116</v>
      </c>
      <c r="O1961" s="27" t="s">
        <v>94</v>
      </c>
      <c r="P1961" s="27" t="s">
        <v>17</v>
      </c>
      <c r="Q1961" s="27" t="s">
        <v>14</v>
      </c>
    </row>
    <row r="1962" spans="1:17" x14ac:dyDescent="0.3">
      <c r="A1962" s="22">
        <v>22</v>
      </c>
      <c r="B1962" s="19">
        <v>91.41</v>
      </c>
      <c r="C1962" s="20">
        <f>Sales!$B1962*Sales!$A1962</f>
        <v>2011.02</v>
      </c>
      <c r="D1962" s="21">
        <v>38274</v>
      </c>
      <c r="E1962" s="22" t="s">
        <v>9</v>
      </c>
      <c r="F1962" s="22">
        <v>4</v>
      </c>
      <c r="G1962" s="22">
        <v>10</v>
      </c>
      <c r="H1962" s="22">
        <v>2004</v>
      </c>
      <c r="I1962" s="22" t="s">
        <v>112</v>
      </c>
      <c r="J1962" s="20">
        <v>83</v>
      </c>
      <c r="K1962" s="20">
        <f>Sales!$B1962-Sales!$J1962</f>
        <v>8.4099999999999966</v>
      </c>
      <c r="L1962" s="23">
        <f>(Sales!$J1962-Sales!$B1962)/Sales!$J1962</f>
        <v>-0.10132530120481924</v>
      </c>
      <c r="M1962" s="23" t="str">
        <f t="shared" si="30"/>
        <v>Below 0%</v>
      </c>
      <c r="N1962" s="22" t="s">
        <v>53</v>
      </c>
      <c r="O1962" s="22" t="s">
        <v>12</v>
      </c>
      <c r="P1962" s="22" t="s">
        <v>13</v>
      </c>
      <c r="Q1962" s="22" t="s">
        <v>14</v>
      </c>
    </row>
    <row r="1963" spans="1:17" x14ac:dyDescent="0.3">
      <c r="A1963" s="27">
        <v>25</v>
      </c>
      <c r="B1963" s="24">
        <v>92.25</v>
      </c>
      <c r="C1963" s="25">
        <f>Sales!$B1963*Sales!$A1963</f>
        <v>2306.25</v>
      </c>
      <c r="D1963" s="26">
        <v>38292</v>
      </c>
      <c r="E1963" s="27" t="s">
        <v>9</v>
      </c>
      <c r="F1963" s="27">
        <v>4</v>
      </c>
      <c r="G1963" s="27">
        <v>11</v>
      </c>
      <c r="H1963" s="27">
        <v>2004</v>
      </c>
      <c r="I1963" s="27" t="s">
        <v>112</v>
      </c>
      <c r="J1963" s="25">
        <v>83</v>
      </c>
      <c r="K1963" s="25">
        <f>Sales!$B1963-Sales!$J1963</f>
        <v>9.25</v>
      </c>
      <c r="L1963" s="28">
        <f>(Sales!$J1963-Sales!$B1963)/Sales!$J1963</f>
        <v>-0.11144578313253012</v>
      </c>
      <c r="M1963" s="28" t="str">
        <f t="shared" si="30"/>
        <v>Below 0%</v>
      </c>
      <c r="N1963" s="27" t="s">
        <v>84</v>
      </c>
      <c r="O1963" s="27" t="s">
        <v>43</v>
      </c>
      <c r="P1963" s="27" t="s">
        <v>17</v>
      </c>
      <c r="Q1963" s="27" t="s">
        <v>14</v>
      </c>
    </row>
    <row r="1964" spans="1:17" x14ac:dyDescent="0.3">
      <c r="A1964" s="22">
        <v>20</v>
      </c>
      <c r="B1964" s="19">
        <v>92.25</v>
      </c>
      <c r="C1964" s="20">
        <f>Sales!$B1964*Sales!$A1964</f>
        <v>1845</v>
      </c>
      <c r="D1964" s="21">
        <v>38300</v>
      </c>
      <c r="E1964" s="22" t="s">
        <v>9</v>
      </c>
      <c r="F1964" s="22">
        <v>4</v>
      </c>
      <c r="G1964" s="22">
        <v>11</v>
      </c>
      <c r="H1964" s="22">
        <v>2004</v>
      </c>
      <c r="I1964" s="22" t="s">
        <v>112</v>
      </c>
      <c r="J1964" s="20">
        <v>83</v>
      </c>
      <c r="K1964" s="20">
        <f>Sales!$B1964-Sales!$J1964</f>
        <v>9.25</v>
      </c>
      <c r="L1964" s="23">
        <f>(Sales!$J1964-Sales!$B1964)/Sales!$J1964</f>
        <v>-0.11144578313253012</v>
      </c>
      <c r="M1964" s="23" t="str">
        <f t="shared" si="30"/>
        <v>Below 0%</v>
      </c>
      <c r="N1964" s="22" t="s">
        <v>48</v>
      </c>
      <c r="O1964" s="22" t="s">
        <v>49</v>
      </c>
      <c r="P1964" s="22" t="s">
        <v>17</v>
      </c>
      <c r="Q1964" s="22" t="s">
        <v>14</v>
      </c>
    </row>
    <row r="1965" spans="1:17" x14ac:dyDescent="0.3">
      <c r="A1965" s="27">
        <v>42</v>
      </c>
      <c r="B1965" s="24">
        <v>59.36</v>
      </c>
      <c r="C1965" s="25">
        <f>Sales!$B1965*Sales!$A1965</f>
        <v>2493.12</v>
      </c>
      <c r="D1965" s="26">
        <v>38314</v>
      </c>
      <c r="E1965" s="27" t="s">
        <v>9</v>
      </c>
      <c r="F1965" s="27">
        <v>4</v>
      </c>
      <c r="G1965" s="27">
        <v>11</v>
      </c>
      <c r="H1965" s="27">
        <v>2004</v>
      </c>
      <c r="I1965" s="27" t="s">
        <v>112</v>
      </c>
      <c r="J1965" s="25">
        <v>83</v>
      </c>
      <c r="K1965" s="25">
        <f>Sales!$B1965-Sales!$J1965</f>
        <v>-23.64</v>
      </c>
      <c r="L1965" s="28">
        <f>(Sales!$J1965-Sales!$B1965)/Sales!$J1965</f>
        <v>0.28481927710843374</v>
      </c>
      <c r="M1965" s="28" t="str">
        <f t="shared" si="30"/>
        <v>+20%</v>
      </c>
      <c r="N1965" s="27" t="s">
        <v>59</v>
      </c>
      <c r="O1965" s="27" t="s">
        <v>51</v>
      </c>
      <c r="P1965" s="27" t="s">
        <v>51</v>
      </c>
      <c r="Q1965" s="27" t="s">
        <v>14</v>
      </c>
    </row>
    <row r="1966" spans="1:17" x14ac:dyDescent="0.3">
      <c r="A1966" s="22">
        <v>25</v>
      </c>
      <c r="B1966" s="19">
        <v>60.34</v>
      </c>
      <c r="C1966" s="20">
        <f>Sales!$B1966*Sales!$A1966</f>
        <v>1508.5</v>
      </c>
      <c r="D1966" s="21">
        <v>38323</v>
      </c>
      <c r="E1966" s="22" t="s">
        <v>9</v>
      </c>
      <c r="F1966" s="22">
        <v>4</v>
      </c>
      <c r="G1966" s="22">
        <v>12</v>
      </c>
      <c r="H1966" s="22">
        <v>2004</v>
      </c>
      <c r="I1966" s="22" t="s">
        <v>112</v>
      </c>
      <c r="J1966" s="20">
        <v>83</v>
      </c>
      <c r="K1966" s="20">
        <f>Sales!$B1966-Sales!$J1966</f>
        <v>-22.659999999999997</v>
      </c>
      <c r="L1966" s="23">
        <f>(Sales!$J1966-Sales!$B1966)/Sales!$J1966</f>
        <v>0.27301204819277103</v>
      </c>
      <c r="M1966" s="23" t="str">
        <f t="shared" si="30"/>
        <v>+20%</v>
      </c>
      <c r="N1966" s="22" t="s">
        <v>45</v>
      </c>
      <c r="O1966" s="22" t="s">
        <v>46</v>
      </c>
      <c r="P1966" s="22" t="s">
        <v>17</v>
      </c>
      <c r="Q1966" s="22" t="s">
        <v>14</v>
      </c>
    </row>
    <row r="1967" spans="1:17" x14ac:dyDescent="0.3">
      <c r="A1967" s="27">
        <v>23</v>
      </c>
      <c r="B1967" s="24">
        <v>100</v>
      </c>
      <c r="C1967" s="25">
        <f>Sales!$B1967*Sales!$A1967</f>
        <v>2300</v>
      </c>
      <c r="D1967" s="26">
        <v>38383</v>
      </c>
      <c r="E1967" s="27" t="s">
        <v>9</v>
      </c>
      <c r="F1967" s="27">
        <v>1</v>
      </c>
      <c r="G1967" s="27">
        <v>1</v>
      </c>
      <c r="H1967" s="27">
        <v>2005</v>
      </c>
      <c r="I1967" s="27" t="s">
        <v>112</v>
      </c>
      <c r="J1967" s="25">
        <v>83</v>
      </c>
      <c r="K1967" s="25">
        <f>Sales!$B1967-Sales!$J1967</f>
        <v>17</v>
      </c>
      <c r="L1967" s="28">
        <f>(Sales!$J1967-Sales!$B1967)/Sales!$J1967</f>
        <v>-0.20481927710843373</v>
      </c>
      <c r="M1967" s="28" t="str">
        <f t="shared" si="30"/>
        <v>Below 0%</v>
      </c>
      <c r="N1967" s="27" t="s">
        <v>85</v>
      </c>
      <c r="O1967" s="27" t="s">
        <v>34</v>
      </c>
      <c r="P1967" s="27" t="s">
        <v>17</v>
      </c>
      <c r="Q1967" s="27" t="s">
        <v>14</v>
      </c>
    </row>
    <row r="1968" spans="1:17" x14ac:dyDescent="0.3">
      <c r="A1968" s="22">
        <v>37</v>
      </c>
      <c r="B1968" s="19">
        <v>85.54</v>
      </c>
      <c r="C1968" s="20">
        <f>Sales!$B1968*Sales!$A1968</f>
        <v>3164.98</v>
      </c>
      <c r="D1968" s="21">
        <v>38411</v>
      </c>
      <c r="E1968" s="22" t="s">
        <v>9</v>
      </c>
      <c r="F1968" s="22">
        <v>1</v>
      </c>
      <c r="G1968" s="22">
        <v>2</v>
      </c>
      <c r="H1968" s="22">
        <v>2005</v>
      </c>
      <c r="I1968" s="22" t="s">
        <v>112</v>
      </c>
      <c r="J1968" s="20">
        <v>83</v>
      </c>
      <c r="K1968" s="20">
        <f>Sales!$B1968-Sales!$J1968</f>
        <v>2.5400000000000063</v>
      </c>
      <c r="L1968" s="23">
        <f>(Sales!$J1968-Sales!$B1968)/Sales!$J1968</f>
        <v>-3.0602409638554293E-2</v>
      </c>
      <c r="M1968" s="23" t="str">
        <f t="shared" si="30"/>
        <v>Below 0%</v>
      </c>
      <c r="N1968" s="22" t="s">
        <v>64</v>
      </c>
      <c r="O1968" s="22" t="s">
        <v>12</v>
      </c>
      <c r="P1968" s="22" t="s">
        <v>13</v>
      </c>
      <c r="Q1968" s="22" t="s">
        <v>19</v>
      </c>
    </row>
    <row r="1969" spans="1:17" x14ac:dyDescent="0.3">
      <c r="A1969" s="27">
        <v>37</v>
      </c>
      <c r="B1969" s="24">
        <v>90.57</v>
      </c>
      <c r="C1969" s="25">
        <f>Sales!$B1969*Sales!$A1969</f>
        <v>3351.0899999999997</v>
      </c>
      <c r="D1969" s="26">
        <v>38434</v>
      </c>
      <c r="E1969" s="27" t="s">
        <v>9</v>
      </c>
      <c r="F1969" s="27">
        <v>1</v>
      </c>
      <c r="G1969" s="27">
        <v>3</v>
      </c>
      <c r="H1969" s="27">
        <v>2005</v>
      </c>
      <c r="I1969" s="27" t="s">
        <v>112</v>
      </c>
      <c r="J1969" s="25">
        <v>83</v>
      </c>
      <c r="K1969" s="25">
        <f>Sales!$B1969-Sales!$J1969</f>
        <v>7.5699999999999932</v>
      </c>
      <c r="L1969" s="28">
        <f>(Sales!$J1969-Sales!$B1969)/Sales!$J1969</f>
        <v>-9.1204819277108357E-2</v>
      </c>
      <c r="M1969" s="28" t="str">
        <f t="shared" si="30"/>
        <v>Below 0%</v>
      </c>
      <c r="N1969" s="27" t="s">
        <v>64</v>
      </c>
      <c r="O1969" s="27" t="s">
        <v>12</v>
      </c>
      <c r="P1969" s="27" t="s">
        <v>13</v>
      </c>
      <c r="Q1969" s="27" t="s">
        <v>19</v>
      </c>
    </row>
    <row r="1970" spans="1:17" x14ac:dyDescent="0.3">
      <c r="A1970" s="22">
        <v>42</v>
      </c>
      <c r="B1970" s="19">
        <v>72.959999999999994</v>
      </c>
      <c r="C1970" s="20">
        <f>Sales!$B1970*Sales!$A1970</f>
        <v>3064.3199999999997</v>
      </c>
      <c r="D1970" s="21">
        <v>38443</v>
      </c>
      <c r="E1970" s="22" t="s">
        <v>9</v>
      </c>
      <c r="F1970" s="22">
        <v>2</v>
      </c>
      <c r="G1970" s="22">
        <v>4</v>
      </c>
      <c r="H1970" s="22">
        <v>2005</v>
      </c>
      <c r="I1970" s="22" t="s">
        <v>112</v>
      </c>
      <c r="J1970" s="20">
        <v>83</v>
      </c>
      <c r="K1970" s="20">
        <f>Sales!$B1970-Sales!$J1970</f>
        <v>-10.040000000000006</v>
      </c>
      <c r="L1970" s="23">
        <f>(Sales!$J1970-Sales!$B1970)/Sales!$J1970</f>
        <v>0.12096385542168682</v>
      </c>
      <c r="M1970" s="23" t="str">
        <f t="shared" si="30"/>
        <v>10%-15%</v>
      </c>
      <c r="N1970" s="22" t="s">
        <v>86</v>
      </c>
      <c r="O1970" s="22" t="s">
        <v>12</v>
      </c>
      <c r="P1970" s="22" t="s">
        <v>13</v>
      </c>
      <c r="Q1970" s="22" t="s">
        <v>19</v>
      </c>
    </row>
    <row r="1971" spans="1:17" x14ac:dyDescent="0.3">
      <c r="A1971" s="27">
        <v>51</v>
      </c>
      <c r="B1971" s="24">
        <v>76.31</v>
      </c>
      <c r="C1971" s="25">
        <f>Sales!$B1971*Sales!$A1971</f>
        <v>3891.81</v>
      </c>
      <c r="D1971" s="26">
        <v>38478</v>
      </c>
      <c r="E1971" s="27" t="s">
        <v>87</v>
      </c>
      <c r="F1971" s="27">
        <v>2</v>
      </c>
      <c r="G1971" s="27">
        <v>5</v>
      </c>
      <c r="H1971" s="27">
        <v>2005</v>
      </c>
      <c r="I1971" s="27" t="s">
        <v>112</v>
      </c>
      <c r="J1971" s="25">
        <v>83</v>
      </c>
      <c r="K1971" s="25">
        <f>Sales!$B1971-Sales!$J1971</f>
        <v>-6.6899999999999977</v>
      </c>
      <c r="L1971" s="28">
        <f>(Sales!$J1971-Sales!$B1971)/Sales!$J1971</f>
        <v>8.0602409638554195E-2</v>
      </c>
      <c r="M1971" s="28" t="str">
        <f t="shared" si="30"/>
        <v>5%-10%</v>
      </c>
      <c r="N1971" s="27" t="s">
        <v>83</v>
      </c>
      <c r="O1971" s="27" t="s">
        <v>12</v>
      </c>
      <c r="P1971" s="27" t="s">
        <v>13</v>
      </c>
      <c r="Q1971" s="27" t="s">
        <v>19</v>
      </c>
    </row>
    <row r="1972" spans="1:17" x14ac:dyDescent="0.3">
      <c r="A1972" s="22">
        <v>40</v>
      </c>
      <c r="B1972" s="19">
        <v>100</v>
      </c>
      <c r="C1972" s="20">
        <f>Sales!$B1972*Sales!$A1972</f>
        <v>4000</v>
      </c>
      <c r="D1972" s="21">
        <v>37683</v>
      </c>
      <c r="E1972" s="22" t="s">
        <v>9</v>
      </c>
      <c r="F1972" s="22">
        <v>1</v>
      </c>
      <c r="G1972" s="22">
        <v>3</v>
      </c>
      <c r="H1972" s="22">
        <v>2003</v>
      </c>
      <c r="I1972" s="22" t="s">
        <v>47</v>
      </c>
      <c r="J1972" s="20">
        <v>140</v>
      </c>
      <c r="K1972" s="20">
        <f>Sales!$B1972-Sales!$J1972</f>
        <v>-40</v>
      </c>
      <c r="L1972" s="23">
        <f>(Sales!$J1972-Sales!$B1972)/Sales!$J1972</f>
        <v>0.2857142857142857</v>
      </c>
      <c r="M1972" s="23" t="str">
        <f t="shared" si="30"/>
        <v>+20%</v>
      </c>
      <c r="N1972" s="22" t="s">
        <v>90</v>
      </c>
      <c r="O1972" s="22" t="s">
        <v>91</v>
      </c>
      <c r="P1972" s="22" t="s">
        <v>28</v>
      </c>
      <c r="Q1972" s="22" t="s">
        <v>19</v>
      </c>
    </row>
    <row r="1973" spans="1:17" x14ac:dyDescent="0.3">
      <c r="A1973" s="27">
        <v>43</v>
      </c>
      <c r="B1973" s="24">
        <v>100</v>
      </c>
      <c r="C1973" s="25">
        <f>Sales!$B1973*Sales!$A1973</f>
        <v>4300</v>
      </c>
      <c r="D1973" s="26">
        <v>37749</v>
      </c>
      <c r="E1973" s="27" t="s">
        <v>9</v>
      </c>
      <c r="F1973" s="27">
        <v>2</v>
      </c>
      <c r="G1973" s="27">
        <v>5</v>
      </c>
      <c r="H1973" s="27">
        <v>2003</v>
      </c>
      <c r="I1973" s="27" t="s">
        <v>47</v>
      </c>
      <c r="J1973" s="25">
        <v>140</v>
      </c>
      <c r="K1973" s="25">
        <f>Sales!$B1973-Sales!$J1973</f>
        <v>-40</v>
      </c>
      <c r="L1973" s="28">
        <f>(Sales!$J1973-Sales!$B1973)/Sales!$J1973</f>
        <v>0.2857142857142857</v>
      </c>
      <c r="M1973" s="28" t="str">
        <f t="shared" si="30"/>
        <v>+20%</v>
      </c>
      <c r="N1973" s="27" t="s">
        <v>92</v>
      </c>
      <c r="O1973" s="27" t="s">
        <v>16</v>
      </c>
      <c r="P1973" s="27" t="s">
        <v>17</v>
      </c>
      <c r="Q1973" s="27" t="s">
        <v>19</v>
      </c>
    </row>
    <row r="1974" spans="1:17" x14ac:dyDescent="0.3">
      <c r="A1974" s="22">
        <v>47</v>
      </c>
      <c r="B1974" s="19">
        <v>100</v>
      </c>
      <c r="C1974" s="20">
        <f>Sales!$B1974*Sales!$A1974</f>
        <v>4700</v>
      </c>
      <c r="D1974" s="21">
        <v>37804</v>
      </c>
      <c r="E1974" s="22" t="s">
        <v>9</v>
      </c>
      <c r="F1974" s="22">
        <v>3</v>
      </c>
      <c r="G1974" s="22">
        <v>7</v>
      </c>
      <c r="H1974" s="22">
        <v>2003</v>
      </c>
      <c r="I1974" s="22" t="s">
        <v>47</v>
      </c>
      <c r="J1974" s="20">
        <v>140</v>
      </c>
      <c r="K1974" s="20">
        <f>Sales!$B1974-Sales!$J1974</f>
        <v>-40</v>
      </c>
      <c r="L1974" s="23">
        <f>(Sales!$J1974-Sales!$B1974)/Sales!$J1974</f>
        <v>0.2857142857142857</v>
      </c>
      <c r="M1974" s="23" t="str">
        <f t="shared" si="30"/>
        <v>+20%</v>
      </c>
      <c r="N1974" s="22" t="s">
        <v>64</v>
      </c>
      <c r="O1974" s="22" t="s">
        <v>12</v>
      </c>
      <c r="P1974" s="22" t="s">
        <v>13</v>
      </c>
      <c r="Q1974" s="22" t="s">
        <v>19</v>
      </c>
    </row>
    <row r="1975" spans="1:17" x14ac:dyDescent="0.3">
      <c r="A1975" s="27">
        <v>23</v>
      </c>
      <c r="B1975" s="24">
        <v>100</v>
      </c>
      <c r="C1975" s="25">
        <f>Sales!$B1975*Sales!$A1975</f>
        <v>2300</v>
      </c>
      <c r="D1975" s="26">
        <v>37869</v>
      </c>
      <c r="E1975" s="27" t="s">
        <v>9</v>
      </c>
      <c r="F1975" s="27">
        <v>3</v>
      </c>
      <c r="G1975" s="27">
        <v>9</v>
      </c>
      <c r="H1975" s="27">
        <v>2003</v>
      </c>
      <c r="I1975" s="27" t="s">
        <v>47</v>
      </c>
      <c r="J1975" s="25">
        <v>140</v>
      </c>
      <c r="K1975" s="25">
        <f>Sales!$B1975-Sales!$J1975</f>
        <v>-40</v>
      </c>
      <c r="L1975" s="28">
        <f>(Sales!$J1975-Sales!$B1975)/Sales!$J1975</f>
        <v>0.2857142857142857</v>
      </c>
      <c r="M1975" s="28" t="str">
        <f t="shared" si="30"/>
        <v>+20%</v>
      </c>
      <c r="N1975" s="27" t="s">
        <v>66</v>
      </c>
      <c r="O1975" s="27" t="s">
        <v>12</v>
      </c>
      <c r="P1975" s="27" t="s">
        <v>13</v>
      </c>
      <c r="Q1975" s="27" t="s">
        <v>14</v>
      </c>
    </row>
    <row r="1976" spans="1:17" x14ac:dyDescent="0.3">
      <c r="A1976" s="22">
        <v>35</v>
      </c>
      <c r="B1976" s="19">
        <v>100</v>
      </c>
      <c r="C1976" s="20">
        <f>Sales!$B1976*Sales!$A1976</f>
        <v>3500</v>
      </c>
      <c r="D1976" s="21">
        <v>37905</v>
      </c>
      <c r="E1976" s="22" t="s">
        <v>9</v>
      </c>
      <c r="F1976" s="22">
        <v>4</v>
      </c>
      <c r="G1976" s="22">
        <v>10</v>
      </c>
      <c r="H1976" s="22">
        <v>2003</v>
      </c>
      <c r="I1976" s="22" t="s">
        <v>47</v>
      </c>
      <c r="J1976" s="20">
        <v>140</v>
      </c>
      <c r="K1976" s="20">
        <f>Sales!$B1976-Sales!$J1976</f>
        <v>-40</v>
      </c>
      <c r="L1976" s="23">
        <f>(Sales!$J1976-Sales!$B1976)/Sales!$J1976</f>
        <v>0.2857142857142857</v>
      </c>
      <c r="M1976" s="23" t="str">
        <f t="shared" si="30"/>
        <v>+20%</v>
      </c>
      <c r="N1976" s="22" t="s">
        <v>78</v>
      </c>
      <c r="O1976" s="22" t="s">
        <v>12</v>
      </c>
      <c r="P1976" s="22" t="s">
        <v>13</v>
      </c>
      <c r="Q1976" s="22" t="s">
        <v>19</v>
      </c>
    </row>
    <row r="1977" spans="1:17" x14ac:dyDescent="0.3">
      <c r="A1977" s="27">
        <v>34</v>
      </c>
      <c r="B1977" s="24">
        <v>100</v>
      </c>
      <c r="C1977" s="25">
        <f>Sales!$B1977*Sales!$A1977</f>
        <v>3400</v>
      </c>
      <c r="D1977" s="26">
        <v>37929</v>
      </c>
      <c r="E1977" s="27" t="s">
        <v>9</v>
      </c>
      <c r="F1977" s="27">
        <v>4</v>
      </c>
      <c r="G1977" s="27">
        <v>11</v>
      </c>
      <c r="H1977" s="27">
        <v>2003</v>
      </c>
      <c r="I1977" s="27" t="s">
        <v>47</v>
      </c>
      <c r="J1977" s="25">
        <v>140</v>
      </c>
      <c r="K1977" s="25">
        <f>Sales!$B1977-Sales!$J1977</f>
        <v>-40</v>
      </c>
      <c r="L1977" s="28">
        <f>(Sales!$J1977-Sales!$B1977)/Sales!$J1977</f>
        <v>0.2857142857142857</v>
      </c>
      <c r="M1977" s="28" t="str">
        <f t="shared" si="30"/>
        <v>+20%</v>
      </c>
      <c r="N1977" s="27" t="s">
        <v>89</v>
      </c>
      <c r="O1977" s="27" t="s">
        <v>38</v>
      </c>
      <c r="P1977" s="27" t="s">
        <v>17</v>
      </c>
      <c r="Q1977" s="27" t="s">
        <v>19</v>
      </c>
    </row>
    <row r="1978" spans="1:17" x14ac:dyDescent="0.3">
      <c r="A1978" s="22">
        <v>25</v>
      </c>
      <c r="B1978" s="19">
        <v>100</v>
      </c>
      <c r="C1978" s="20">
        <f>Sales!$B1978*Sales!$A1978</f>
        <v>2500</v>
      </c>
      <c r="D1978" s="21">
        <v>37937</v>
      </c>
      <c r="E1978" s="22" t="s">
        <v>9</v>
      </c>
      <c r="F1978" s="22">
        <v>4</v>
      </c>
      <c r="G1978" s="22">
        <v>11</v>
      </c>
      <c r="H1978" s="22">
        <v>2003</v>
      </c>
      <c r="I1978" s="22" t="s">
        <v>47</v>
      </c>
      <c r="J1978" s="20">
        <v>140</v>
      </c>
      <c r="K1978" s="20">
        <f>Sales!$B1978-Sales!$J1978</f>
        <v>-40</v>
      </c>
      <c r="L1978" s="23">
        <f>(Sales!$J1978-Sales!$B1978)/Sales!$J1978</f>
        <v>0.2857142857142857</v>
      </c>
      <c r="M1978" s="23" t="str">
        <f t="shared" si="30"/>
        <v>+20%</v>
      </c>
      <c r="N1978" s="22" t="s">
        <v>24</v>
      </c>
      <c r="O1978" s="22" t="s">
        <v>25</v>
      </c>
      <c r="P1978" s="22" t="s">
        <v>17</v>
      </c>
      <c r="Q1978" s="22" t="s">
        <v>19</v>
      </c>
    </row>
    <row r="1979" spans="1:17" x14ac:dyDescent="0.3">
      <c r="A1979" s="27">
        <v>45</v>
      </c>
      <c r="B1979" s="24">
        <v>100</v>
      </c>
      <c r="C1979" s="25">
        <f>Sales!$B1979*Sales!$A1979</f>
        <v>4500</v>
      </c>
      <c r="D1979" s="26">
        <v>37945</v>
      </c>
      <c r="E1979" s="27" t="s">
        <v>9</v>
      </c>
      <c r="F1979" s="27">
        <v>4</v>
      </c>
      <c r="G1979" s="27">
        <v>11</v>
      </c>
      <c r="H1979" s="27">
        <v>2003</v>
      </c>
      <c r="I1979" s="27" t="s">
        <v>47</v>
      </c>
      <c r="J1979" s="25">
        <v>140</v>
      </c>
      <c r="K1979" s="25">
        <f>Sales!$B1979-Sales!$J1979</f>
        <v>-40</v>
      </c>
      <c r="L1979" s="28">
        <f>(Sales!$J1979-Sales!$B1979)/Sales!$J1979</f>
        <v>0.2857142857142857</v>
      </c>
      <c r="M1979" s="28" t="str">
        <f t="shared" si="30"/>
        <v>+20%</v>
      </c>
      <c r="N1979" s="27" t="s">
        <v>65</v>
      </c>
      <c r="O1979" s="27" t="s">
        <v>12</v>
      </c>
      <c r="P1979" s="27" t="s">
        <v>13</v>
      </c>
      <c r="Q1979" s="27" t="s">
        <v>19</v>
      </c>
    </row>
    <row r="1980" spans="1:17" x14ac:dyDescent="0.3">
      <c r="A1980" s="22">
        <v>47</v>
      </c>
      <c r="B1980" s="19">
        <v>100</v>
      </c>
      <c r="C1980" s="20">
        <f>Sales!$B1980*Sales!$A1980</f>
        <v>4700</v>
      </c>
      <c r="D1980" s="21">
        <v>37957</v>
      </c>
      <c r="E1980" s="22" t="s">
        <v>9</v>
      </c>
      <c r="F1980" s="22">
        <v>4</v>
      </c>
      <c r="G1980" s="22">
        <v>12</v>
      </c>
      <c r="H1980" s="22">
        <v>2003</v>
      </c>
      <c r="I1980" s="22" t="s">
        <v>47</v>
      </c>
      <c r="J1980" s="20">
        <v>140</v>
      </c>
      <c r="K1980" s="20">
        <f>Sales!$B1980-Sales!$J1980</f>
        <v>-40</v>
      </c>
      <c r="L1980" s="23">
        <f>(Sales!$J1980-Sales!$B1980)/Sales!$J1980</f>
        <v>0.2857142857142857</v>
      </c>
      <c r="M1980" s="23" t="str">
        <f t="shared" si="30"/>
        <v>+20%</v>
      </c>
      <c r="N1980" s="22" t="s">
        <v>45</v>
      </c>
      <c r="O1980" s="22" t="s">
        <v>46</v>
      </c>
      <c r="P1980" s="22" t="s">
        <v>17</v>
      </c>
      <c r="Q1980" s="22" t="s">
        <v>19</v>
      </c>
    </row>
    <row r="1981" spans="1:17" x14ac:dyDescent="0.3">
      <c r="A1981" s="27">
        <v>49</v>
      </c>
      <c r="B1981" s="24">
        <v>100</v>
      </c>
      <c r="C1981" s="25">
        <f>Sales!$B1981*Sales!$A1981</f>
        <v>4900</v>
      </c>
      <c r="D1981" s="26">
        <v>38002</v>
      </c>
      <c r="E1981" s="27" t="s">
        <v>9</v>
      </c>
      <c r="F1981" s="27">
        <v>1</v>
      </c>
      <c r="G1981" s="27">
        <v>1</v>
      </c>
      <c r="H1981" s="27">
        <v>2004</v>
      </c>
      <c r="I1981" s="27" t="s">
        <v>47</v>
      </c>
      <c r="J1981" s="25">
        <v>140</v>
      </c>
      <c r="K1981" s="25">
        <f>Sales!$B1981-Sales!$J1981</f>
        <v>-40</v>
      </c>
      <c r="L1981" s="28">
        <f>(Sales!$J1981-Sales!$B1981)/Sales!$J1981</f>
        <v>0.2857142857142857</v>
      </c>
      <c r="M1981" s="28" t="str">
        <f t="shared" si="30"/>
        <v>+20%</v>
      </c>
      <c r="N1981" s="27" t="s">
        <v>45</v>
      </c>
      <c r="O1981" s="27" t="s">
        <v>46</v>
      </c>
      <c r="P1981" s="27" t="s">
        <v>17</v>
      </c>
      <c r="Q1981" s="27" t="s">
        <v>19</v>
      </c>
    </row>
    <row r="1982" spans="1:17" x14ac:dyDescent="0.3">
      <c r="A1982" s="22">
        <v>40</v>
      </c>
      <c r="B1982" s="19">
        <v>100</v>
      </c>
      <c r="C1982" s="20">
        <f>Sales!$B1982*Sales!$A1982</f>
        <v>4000</v>
      </c>
      <c r="D1982" s="21">
        <v>38039</v>
      </c>
      <c r="E1982" s="22" t="s">
        <v>9</v>
      </c>
      <c r="F1982" s="22">
        <v>1</v>
      </c>
      <c r="G1982" s="22">
        <v>2</v>
      </c>
      <c r="H1982" s="22">
        <v>2004</v>
      </c>
      <c r="I1982" s="22" t="s">
        <v>47</v>
      </c>
      <c r="J1982" s="20">
        <v>140</v>
      </c>
      <c r="K1982" s="20">
        <f>Sales!$B1982-Sales!$J1982</f>
        <v>-40</v>
      </c>
      <c r="L1982" s="23">
        <f>(Sales!$J1982-Sales!$B1982)/Sales!$J1982</f>
        <v>0.2857142857142857</v>
      </c>
      <c r="M1982" s="23" t="str">
        <f t="shared" si="30"/>
        <v>+20%</v>
      </c>
      <c r="N1982" s="22" t="s">
        <v>95</v>
      </c>
      <c r="O1982" s="22" t="s">
        <v>96</v>
      </c>
      <c r="P1982" s="22" t="s">
        <v>17</v>
      </c>
      <c r="Q1982" s="22" t="s">
        <v>19</v>
      </c>
    </row>
    <row r="1983" spans="1:17" x14ac:dyDescent="0.3">
      <c r="A1983" s="27">
        <v>29</v>
      </c>
      <c r="B1983" s="24">
        <v>100</v>
      </c>
      <c r="C1983" s="25">
        <f>Sales!$B1983*Sales!$A1983</f>
        <v>2900</v>
      </c>
      <c r="D1983" s="26">
        <v>38089</v>
      </c>
      <c r="E1983" s="27" t="s">
        <v>9</v>
      </c>
      <c r="F1983" s="27">
        <v>2</v>
      </c>
      <c r="G1983" s="27">
        <v>4</v>
      </c>
      <c r="H1983" s="27">
        <v>2004</v>
      </c>
      <c r="I1983" s="27" t="s">
        <v>47</v>
      </c>
      <c r="J1983" s="25">
        <v>140</v>
      </c>
      <c r="K1983" s="25">
        <f>Sales!$B1983-Sales!$J1983</f>
        <v>-40</v>
      </c>
      <c r="L1983" s="28">
        <f>(Sales!$J1983-Sales!$B1983)/Sales!$J1983</f>
        <v>0.2857142857142857</v>
      </c>
      <c r="M1983" s="28" t="str">
        <f t="shared" si="30"/>
        <v>+20%</v>
      </c>
      <c r="N1983" s="27" t="s">
        <v>85</v>
      </c>
      <c r="O1983" s="27" t="s">
        <v>34</v>
      </c>
      <c r="P1983" s="27" t="s">
        <v>17</v>
      </c>
      <c r="Q1983" s="27" t="s">
        <v>19</v>
      </c>
    </row>
    <row r="1984" spans="1:17" x14ac:dyDescent="0.3">
      <c r="A1984" s="22">
        <v>39</v>
      </c>
      <c r="B1984" s="19">
        <v>100</v>
      </c>
      <c r="C1984" s="20">
        <f>Sales!$B1984*Sales!$A1984</f>
        <v>3900</v>
      </c>
      <c r="D1984" s="21">
        <v>38139</v>
      </c>
      <c r="E1984" s="22" t="s">
        <v>75</v>
      </c>
      <c r="F1984" s="22">
        <v>2</v>
      </c>
      <c r="G1984" s="22">
        <v>6</v>
      </c>
      <c r="H1984" s="22">
        <v>2004</v>
      </c>
      <c r="I1984" s="22" t="s">
        <v>47</v>
      </c>
      <c r="J1984" s="20">
        <v>140</v>
      </c>
      <c r="K1984" s="20">
        <f>Sales!$B1984-Sales!$J1984</f>
        <v>-40</v>
      </c>
      <c r="L1984" s="23">
        <f>(Sales!$J1984-Sales!$B1984)/Sales!$J1984</f>
        <v>0.2857142857142857</v>
      </c>
      <c r="M1984" s="23" t="str">
        <f t="shared" si="30"/>
        <v>+20%</v>
      </c>
      <c r="N1984" s="22" t="s">
        <v>42</v>
      </c>
      <c r="O1984" s="22" t="s">
        <v>43</v>
      </c>
      <c r="P1984" s="22" t="s">
        <v>17</v>
      </c>
      <c r="Q1984" s="22" t="s">
        <v>19</v>
      </c>
    </row>
    <row r="1985" spans="1:17" x14ac:dyDescent="0.3">
      <c r="A1985" s="27">
        <v>24</v>
      </c>
      <c r="B1985" s="24">
        <v>100</v>
      </c>
      <c r="C1985" s="25">
        <f>Sales!$B1985*Sales!$A1985</f>
        <v>2400</v>
      </c>
      <c r="D1985" s="26">
        <v>38174</v>
      </c>
      <c r="E1985" s="27" t="s">
        <v>9</v>
      </c>
      <c r="F1985" s="27">
        <v>3</v>
      </c>
      <c r="G1985" s="27">
        <v>7</v>
      </c>
      <c r="H1985" s="27">
        <v>2004</v>
      </c>
      <c r="I1985" s="27" t="s">
        <v>47</v>
      </c>
      <c r="J1985" s="25">
        <v>140</v>
      </c>
      <c r="K1985" s="25">
        <f>Sales!$B1985-Sales!$J1985</f>
        <v>-40</v>
      </c>
      <c r="L1985" s="28">
        <f>(Sales!$J1985-Sales!$B1985)/Sales!$J1985</f>
        <v>0.2857142857142857</v>
      </c>
      <c r="M1985" s="28" t="str">
        <f t="shared" si="30"/>
        <v>+20%</v>
      </c>
      <c r="N1985" s="27" t="s">
        <v>97</v>
      </c>
      <c r="O1985" s="27" t="s">
        <v>61</v>
      </c>
      <c r="P1985" s="27" t="s">
        <v>17</v>
      </c>
      <c r="Q1985" s="27" t="s">
        <v>14</v>
      </c>
    </row>
    <row r="1986" spans="1:17" x14ac:dyDescent="0.3">
      <c r="A1986" s="22">
        <v>25</v>
      </c>
      <c r="B1986" s="19">
        <v>100</v>
      </c>
      <c r="C1986" s="20">
        <f>Sales!$B1986*Sales!$A1986</f>
        <v>2500</v>
      </c>
      <c r="D1986" s="21">
        <v>38205</v>
      </c>
      <c r="E1986" s="22" t="s">
        <v>9</v>
      </c>
      <c r="F1986" s="22">
        <v>3</v>
      </c>
      <c r="G1986" s="22">
        <v>8</v>
      </c>
      <c r="H1986" s="22">
        <v>2004</v>
      </c>
      <c r="I1986" s="22" t="s">
        <v>47</v>
      </c>
      <c r="J1986" s="20">
        <v>140</v>
      </c>
      <c r="K1986" s="20">
        <f>Sales!$B1986-Sales!$J1986</f>
        <v>-40</v>
      </c>
      <c r="L1986" s="23">
        <f>(Sales!$J1986-Sales!$B1986)/Sales!$J1986</f>
        <v>0.2857142857142857</v>
      </c>
      <c r="M1986" s="23" t="str">
        <f t="shared" si="30"/>
        <v>+20%</v>
      </c>
      <c r="N1986" s="22" t="s">
        <v>109</v>
      </c>
      <c r="O1986" s="22" t="s">
        <v>12</v>
      </c>
      <c r="P1986" s="22" t="s">
        <v>13</v>
      </c>
      <c r="Q1986" s="22" t="s">
        <v>19</v>
      </c>
    </row>
    <row r="1987" spans="1:17" x14ac:dyDescent="0.3">
      <c r="A1987" s="27">
        <v>36</v>
      </c>
      <c r="B1987" s="24">
        <v>100</v>
      </c>
      <c r="C1987" s="25">
        <f>Sales!$B1987*Sales!$A1987</f>
        <v>3600</v>
      </c>
      <c r="D1987" s="26">
        <v>38229</v>
      </c>
      <c r="E1987" s="27" t="s">
        <v>9</v>
      </c>
      <c r="F1987" s="27">
        <v>3</v>
      </c>
      <c r="G1987" s="27">
        <v>8</v>
      </c>
      <c r="H1987" s="27">
        <v>2004</v>
      </c>
      <c r="I1987" s="27" t="s">
        <v>47</v>
      </c>
      <c r="J1987" s="25">
        <v>140</v>
      </c>
      <c r="K1987" s="25">
        <f>Sales!$B1987-Sales!$J1987</f>
        <v>-40</v>
      </c>
      <c r="L1987" s="28">
        <f>(Sales!$J1987-Sales!$B1987)/Sales!$J1987</f>
        <v>0.2857142857142857</v>
      </c>
      <c r="M1987" s="28" t="str">
        <f t="shared" ref="M1987:M2050" si="31">IF(L1987&lt;0%,"Below 0%",IF(L1987=0%,"0%",IF(AND(L1987&lt;=5%,L1987&gt;0%),"0%-5%",IF(AND(L1987&lt;=10%,L1987&gt;5%),"5%-10%",IF(AND(L1987&lt;=15%,L1987&gt;10%),"10%-15%",IF(AND(L1987&lt;=20%,L1987&gt;15%),"15%-20%","+20%"))))))</f>
        <v>+20%</v>
      </c>
      <c r="N1987" s="27" t="s">
        <v>95</v>
      </c>
      <c r="O1987" s="27" t="s">
        <v>96</v>
      </c>
      <c r="P1987" s="27" t="s">
        <v>17</v>
      </c>
      <c r="Q1987" s="27" t="s">
        <v>19</v>
      </c>
    </row>
    <row r="1988" spans="1:17" x14ac:dyDescent="0.3">
      <c r="A1988" s="22">
        <v>50</v>
      </c>
      <c r="B1988" s="19">
        <v>100</v>
      </c>
      <c r="C1988" s="20">
        <f>Sales!$B1988*Sales!$A1988</f>
        <v>5000</v>
      </c>
      <c r="D1988" s="21">
        <v>37899</v>
      </c>
      <c r="E1988" s="22" t="s">
        <v>9</v>
      </c>
      <c r="F1988" s="22">
        <v>4</v>
      </c>
      <c r="G1988" s="22">
        <v>10</v>
      </c>
      <c r="H1988" s="22">
        <v>2003</v>
      </c>
      <c r="I1988" s="22" t="s">
        <v>47</v>
      </c>
      <c r="J1988" s="20">
        <v>140</v>
      </c>
      <c r="K1988" s="20">
        <f>Sales!$B1988-Sales!$J1988</f>
        <v>-40</v>
      </c>
      <c r="L1988" s="23">
        <f>(Sales!$J1988-Sales!$B1988)/Sales!$J1988</f>
        <v>0.2857142857142857</v>
      </c>
      <c r="M1988" s="23" t="str">
        <f t="shared" si="31"/>
        <v>+20%</v>
      </c>
      <c r="N1988" s="22" t="s">
        <v>110</v>
      </c>
      <c r="O1988" s="22" t="s">
        <v>25</v>
      </c>
      <c r="P1988" s="22" t="s">
        <v>17</v>
      </c>
      <c r="Q1988" s="22" t="s">
        <v>39</v>
      </c>
    </row>
    <row r="1989" spans="1:17" x14ac:dyDescent="0.3">
      <c r="A1989" s="27">
        <v>45</v>
      </c>
      <c r="B1989" s="24">
        <v>100</v>
      </c>
      <c r="C1989" s="25">
        <f>Sales!$B1989*Sales!$A1989</f>
        <v>4500</v>
      </c>
      <c r="D1989" s="26">
        <v>38276</v>
      </c>
      <c r="E1989" s="27" t="s">
        <v>9</v>
      </c>
      <c r="F1989" s="27">
        <v>4</v>
      </c>
      <c r="G1989" s="27">
        <v>10</v>
      </c>
      <c r="H1989" s="27">
        <v>2004</v>
      </c>
      <c r="I1989" s="27" t="s">
        <v>47</v>
      </c>
      <c r="J1989" s="25">
        <v>140</v>
      </c>
      <c r="K1989" s="25">
        <f>Sales!$B1989-Sales!$J1989</f>
        <v>-40</v>
      </c>
      <c r="L1989" s="28">
        <f>(Sales!$J1989-Sales!$B1989)/Sales!$J1989</f>
        <v>0.2857142857142857</v>
      </c>
      <c r="M1989" s="28" t="str">
        <f t="shared" si="31"/>
        <v>+20%</v>
      </c>
      <c r="N1989" s="27" t="s">
        <v>93</v>
      </c>
      <c r="O1989" s="27" t="s">
        <v>94</v>
      </c>
      <c r="P1989" s="27" t="s">
        <v>17</v>
      </c>
      <c r="Q1989" s="27" t="s">
        <v>19</v>
      </c>
    </row>
    <row r="1990" spans="1:17" x14ac:dyDescent="0.3">
      <c r="A1990" s="22">
        <v>26</v>
      </c>
      <c r="B1990" s="19">
        <v>100</v>
      </c>
      <c r="C1990" s="20">
        <f>Sales!$B1990*Sales!$A1990</f>
        <v>2600</v>
      </c>
      <c r="D1990" s="21">
        <v>38295</v>
      </c>
      <c r="E1990" s="22" t="s">
        <v>9</v>
      </c>
      <c r="F1990" s="22">
        <v>4</v>
      </c>
      <c r="G1990" s="22">
        <v>11</v>
      </c>
      <c r="H1990" s="22">
        <v>2004</v>
      </c>
      <c r="I1990" s="22" t="s">
        <v>47</v>
      </c>
      <c r="J1990" s="20">
        <v>140</v>
      </c>
      <c r="K1990" s="20">
        <f>Sales!$B1990-Sales!$J1990</f>
        <v>-40</v>
      </c>
      <c r="L1990" s="23">
        <f>(Sales!$J1990-Sales!$B1990)/Sales!$J1990</f>
        <v>0.2857142857142857</v>
      </c>
      <c r="M1990" s="23" t="str">
        <f t="shared" si="31"/>
        <v>+20%</v>
      </c>
      <c r="N1990" s="22" t="s">
        <v>41</v>
      </c>
      <c r="O1990" s="22" t="s">
        <v>12</v>
      </c>
      <c r="P1990" s="22" t="s">
        <v>13</v>
      </c>
      <c r="Q1990" s="22" t="s">
        <v>19</v>
      </c>
    </row>
    <row r="1991" spans="1:17" x14ac:dyDescent="0.3">
      <c r="A1991" s="27">
        <v>21</v>
      </c>
      <c r="B1991" s="24">
        <v>100</v>
      </c>
      <c r="C1991" s="25">
        <f>Sales!$B1991*Sales!$A1991</f>
        <v>2100</v>
      </c>
      <c r="D1991" s="26">
        <v>38308</v>
      </c>
      <c r="E1991" s="27" t="s">
        <v>9</v>
      </c>
      <c r="F1991" s="27">
        <v>4</v>
      </c>
      <c r="G1991" s="27">
        <v>11</v>
      </c>
      <c r="H1991" s="27">
        <v>2004</v>
      </c>
      <c r="I1991" s="27" t="s">
        <v>47</v>
      </c>
      <c r="J1991" s="25">
        <v>140</v>
      </c>
      <c r="K1991" s="25">
        <f>Sales!$B1991-Sales!$J1991</f>
        <v>-40</v>
      </c>
      <c r="L1991" s="28">
        <f>(Sales!$J1991-Sales!$B1991)/Sales!$J1991</f>
        <v>0.2857142857142857</v>
      </c>
      <c r="M1991" s="28" t="str">
        <f t="shared" si="31"/>
        <v>+20%</v>
      </c>
      <c r="N1991" s="27" t="s">
        <v>53</v>
      </c>
      <c r="O1991" s="27" t="s">
        <v>12</v>
      </c>
      <c r="P1991" s="27" t="s">
        <v>13</v>
      </c>
      <c r="Q1991" s="27" t="s">
        <v>19</v>
      </c>
    </row>
    <row r="1992" spans="1:17" x14ac:dyDescent="0.3">
      <c r="A1992" s="22">
        <v>42</v>
      </c>
      <c r="B1992" s="19">
        <v>100</v>
      </c>
      <c r="C1992" s="20">
        <f>Sales!$B1992*Sales!$A1992</f>
        <v>4200</v>
      </c>
      <c r="D1992" s="21">
        <v>38315</v>
      </c>
      <c r="E1992" s="22" t="s">
        <v>9</v>
      </c>
      <c r="F1992" s="22">
        <v>4</v>
      </c>
      <c r="G1992" s="22">
        <v>11</v>
      </c>
      <c r="H1992" s="22">
        <v>2004</v>
      </c>
      <c r="I1992" s="22" t="s">
        <v>47</v>
      </c>
      <c r="J1992" s="20">
        <v>140</v>
      </c>
      <c r="K1992" s="20">
        <f>Sales!$B1992-Sales!$J1992</f>
        <v>-40</v>
      </c>
      <c r="L1992" s="23">
        <f>(Sales!$J1992-Sales!$B1992)/Sales!$J1992</f>
        <v>0.2857142857142857</v>
      </c>
      <c r="M1992" s="23" t="str">
        <f t="shared" si="31"/>
        <v>+20%</v>
      </c>
      <c r="N1992" s="22" t="s">
        <v>26</v>
      </c>
      <c r="O1992" s="22" t="s">
        <v>27</v>
      </c>
      <c r="P1992" s="22" t="s">
        <v>28</v>
      </c>
      <c r="Q1992" s="22" t="s">
        <v>19</v>
      </c>
    </row>
    <row r="1993" spans="1:17" x14ac:dyDescent="0.3">
      <c r="A1993" s="27">
        <v>32</v>
      </c>
      <c r="B1993" s="24">
        <v>100</v>
      </c>
      <c r="C1993" s="25">
        <f>Sales!$B1993*Sales!$A1993</f>
        <v>3200</v>
      </c>
      <c r="D1993" s="26">
        <v>38328</v>
      </c>
      <c r="E1993" s="27" t="s">
        <v>9</v>
      </c>
      <c r="F1993" s="27">
        <v>4</v>
      </c>
      <c r="G1993" s="27">
        <v>12</v>
      </c>
      <c r="H1993" s="27">
        <v>2004</v>
      </c>
      <c r="I1993" s="27" t="s">
        <v>47</v>
      </c>
      <c r="J1993" s="25">
        <v>140</v>
      </c>
      <c r="K1993" s="25">
        <f>Sales!$B1993-Sales!$J1993</f>
        <v>-40</v>
      </c>
      <c r="L1993" s="28">
        <f>(Sales!$J1993-Sales!$B1993)/Sales!$J1993</f>
        <v>0.2857142857142857</v>
      </c>
      <c r="M1993" s="28" t="str">
        <f t="shared" si="31"/>
        <v>+20%</v>
      </c>
      <c r="N1993" s="27" t="s">
        <v>45</v>
      </c>
      <c r="O1993" s="27" t="s">
        <v>46</v>
      </c>
      <c r="P1993" s="27" t="s">
        <v>17</v>
      </c>
      <c r="Q1993" s="27" t="s">
        <v>19</v>
      </c>
    </row>
    <row r="1994" spans="1:17" x14ac:dyDescent="0.3">
      <c r="A1994" s="22">
        <v>31</v>
      </c>
      <c r="B1994" s="19">
        <v>94.58</v>
      </c>
      <c r="C1994" s="20">
        <f>Sales!$B1994*Sales!$A1994</f>
        <v>2931.98</v>
      </c>
      <c r="D1994" s="21">
        <v>38358</v>
      </c>
      <c r="E1994" s="22" t="s">
        <v>9</v>
      </c>
      <c r="F1994" s="22">
        <v>1</v>
      </c>
      <c r="G1994" s="22">
        <v>1</v>
      </c>
      <c r="H1994" s="22">
        <v>2005</v>
      </c>
      <c r="I1994" s="22" t="s">
        <v>47</v>
      </c>
      <c r="J1994" s="20">
        <v>140</v>
      </c>
      <c r="K1994" s="20">
        <f>Sales!$B1994-Sales!$J1994</f>
        <v>-45.42</v>
      </c>
      <c r="L1994" s="23">
        <f>(Sales!$J1994-Sales!$B1994)/Sales!$J1994</f>
        <v>0.32442857142857146</v>
      </c>
      <c r="M1994" s="23" t="str">
        <f t="shared" si="31"/>
        <v>+20%</v>
      </c>
      <c r="N1994" s="22" t="s">
        <v>99</v>
      </c>
      <c r="O1994" s="22" t="s">
        <v>34</v>
      </c>
      <c r="P1994" s="22" t="s">
        <v>17</v>
      </c>
      <c r="Q1994" s="22" t="s">
        <v>14</v>
      </c>
    </row>
    <row r="1995" spans="1:17" x14ac:dyDescent="0.3">
      <c r="A1995" s="27">
        <v>33</v>
      </c>
      <c r="B1995" s="24">
        <v>53.27</v>
      </c>
      <c r="C1995" s="25">
        <f>Sales!$B1995*Sales!$A1995</f>
        <v>1757.91</v>
      </c>
      <c r="D1995" s="26">
        <v>38393</v>
      </c>
      <c r="E1995" s="27" t="s">
        <v>9</v>
      </c>
      <c r="F1995" s="27">
        <v>1</v>
      </c>
      <c r="G1995" s="27">
        <v>2</v>
      </c>
      <c r="H1995" s="27">
        <v>2005</v>
      </c>
      <c r="I1995" s="27" t="s">
        <v>47</v>
      </c>
      <c r="J1995" s="25">
        <v>140</v>
      </c>
      <c r="K1995" s="25">
        <f>Sales!$B1995-Sales!$J1995</f>
        <v>-86.72999999999999</v>
      </c>
      <c r="L1995" s="28">
        <f>(Sales!$J1995-Sales!$B1995)/Sales!$J1995</f>
        <v>0.61949999999999994</v>
      </c>
      <c r="M1995" s="28" t="str">
        <f t="shared" si="31"/>
        <v>+20%</v>
      </c>
      <c r="N1995" s="27" t="s">
        <v>45</v>
      </c>
      <c r="O1995" s="27" t="s">
        <v>46</v>
      </c>
      <c r="P1995" s="27" t="s">
        <v>17</v>
      </c>
      <c r="Q1995" s="27" t="s">
        <v>14</v>
      </c>
    </row>
    <row r="1996" spans="1:17" x14ac:dyDescent="0.3">
      <c r="A1996" s="22">
        <v>45</v>
      </c>
      <c r="B1996" s="19">
        <v>100</v>
      </c>
      <c r="C1996" s="20">
        <f>Sales!$B1996*Sales!$A1996</f>
        <v>4500</v>
      </c>
      <c r="D1996" s="21">
        <v>38415</v>
      </c>
      <c r="E1996" s="22" t="s">
        <v>9</v>
      </c>
      <c r="F1996" s="22">
        <v>1</v>
      </c>
      <c r="G1996" s="22">
        <v>3</v>
      </c>
      <c r="H1996" s="22">
        <v>2005</v>
      </c>
      <c r="I1996" s="22" t="s">
        <v>47</v>
      </c>
      <c r="J1996" s="20">
        <v>140</v>
      </c>
      <c r="K1996" s="20">
        <f>Sales!$B1996-Sales!$J1996</f>
        <v>-40</v>
      </c>
      <c r="L1996" s="23">
        <f>(Sales!$J1996-Sales!$B1996)/Sales!$J1996</f>
        <v>0.2857142857142857</v>
      </c>
      <c r="M1996" s="23" t="str">
        <f t="shared" si="31"/>
        <v>+20%</v>
      </c>
      <c r="N1996" s="22" t="s">
        <v>64</v>
      </c>
      <c r="O1996" s="22" t="s">
        <v>12</v>
      </c>
      <c r="P1996" s="22" t="s">
        <v>13</v>
      </c>
      <c r="Q1996" s="22" t="s">
        <v>19</v>
      </c>
    </row>
    <row r="1997" spans="1:17" x14ac:dyDescent="0.3">
      <c r="A1997" s="27">
        <v>76</v>
      </c>
      <c r="B1997" s="24">
        <v>100</v>
      </c>
      <c r="C1997" s="25">
        <f>Sales!$B1997*Sales!$A1997</f>
        <v>7600</v>
      </c>
      <c r="D1997" s="26">
        <v>38456</v>
      </c>
      <c r="E1997" s="27" t="s">
        <v>9</v>
      </c>
      <c r="F1997" s="27">
        <v>2</v>
      </c>
      <c r="G1997" s="27">
        <v>4</v>
      </c>
      <c r="H1997" s="27">
        <v>2005</v>
      </c>
      <c r="I1997" s="27" t="s">
        <v>47</v>
      </c>
      <c r="J1997" s="25">
        <v>140</v>
      </c>
      <c r="K1997" s="25">
        <f>Sales!$B1997-Sales!$J1997</f>
        <v>-40</v>
      </c>
      <c r="L1997" s="28">
        <f>(Sales!$J1997-Sales!$B1997)/Sales!$J1997</f>
        <v>0.2857142857142857</v>
      </c>
      <c r="M1997" s="28" t="str">
        <f t="shared" si="31"/>
        <v>+20%</v>
      </c>
      <c r="N1997" s="27" t="s">
        <v>108</v>
      </c>
      <c r="O1997" s="27" t="s">
        <v>16</v>
      </c>
      <c r="P1997" s="27" t="s">
        <v>17</v>
      </c>
      <c r="Q1997" s="27" t="s">
        <v>39</v>
      </c>
    </row>
    <row r="1998" spans="1:17" x14ac:dyDescent="0.3">
      <c r="A1998" s="22">
        <v>70</v>
      </c>
      <c r="B1998" s="19">
        <v>100</v>
      </c>
      <c r="C1998" s="20">
        <f>Sales!$B1998*Sales!$A1998</f>
        <v>7000</v>
      </c>
      <c r="D1998" s="21">
        <v>38489</v>
      </c>
      <c r="E1998" s="22" t="s">
        <v>9</v>
      </c>
      <c r="F1998" s="22">
        <v>2</v>
      </c>
      <c r="G1998" s="22">
        <v>5</v>
      </c>
      <c r="H1998" s="22">
        <v>2005</v>
      </c>
      <c r="I1998" s="22" t="s">
        <v>47</v>
      </c>
      <c r="J1998" s="20">
        <v>140</v>
      </c>
      <c r="K1998" s="20">
        <f>Sales!$B1998-Sales!$J1998</f>
        <v>-40</v>
      </c>
      <c r="L1998" s="23">
        <f>(Sales!$J1998-Sales!$B1998)/Sales!$J1998</f>
        <v>0.2857142857142857</v>
      </c>
      <c r="M1998" s="23" t="str">
        <f t="shared" si="31"/>
        <v>+20%</v>
      </c>
      <c r="N1998" s="22" t="s">
        <v>37</v>
      </c>
      <c r="O1998" s="22" t="s">
        <v>38</v>
      </c>
      <c r="P1998" s="22" t="s">
        <v>17</v>
      </c>
      <c r="Q1998" s="22" t="s">
        <v>39</v>
      </c>
    </row>
    <row r="1999" spans="1:17" x14ac:dyDescent="0.3">
      <c r="A1999" s="27">
        <v>50</v>
      </c>
      <c r="B1999" s="24">
        <v>64.83</v>
      </c>
      <c r="C1999" s="25">
        <f>Sales!$B1999*Sales!$A1999</f>
        <v>3241.5</v>
      </c>
      <c r="D1999" s="26">
        <v>37669</v>
      </c>
      <c r="E1999" s="27" t="s">
        <v>9</v>
      </c>
      <c r="F1999" s="27">
        <v>1</v>
      </c>
      <c r="G1999" s="27">
        <v>2</v>
      </c>
      <c r="H1999" s="27">
        <v>2003</v>
      </c>
      <c r="I1999" s="27" t="s">
        <v>115</v>
      </c>
      <c r="J1999" s="25">
        <v>68</v>
      </c>
      <c r="K1999" s="25">
        <f>Sales!$B1999-Sales!$J1999</f>
        <v>-3.1700000000000017</v>
      </c>
      <c r="L1999" s="28">
        <f>(Sales!$J1999-Sales!$B1999)/Sales!$J1999</f>
        <v>4.6617647058823555E-2</v>
      </c>
      <c r="M1999" s="28" t="str">
        <f t="shared" si="31"/>
        <v>0%-5%</v>
      </c>
      <c r="N1999" s="27" t="s">
        <v>113</v>
      </c>
      <c r="O1999" s="27" t="s">
        <v>61</v>
      </c>
      <c r="P1999" s="27" t="s">
        <v>17</v>
      </c>
      <c r="Q1999" s="27" t="s">
        <v>19</v>
      </c>
    </row>
    <row r="2000" spans="1:17" x14ac:dyDescent="0.3">
      <c r="A2000" s="22">
        <v>28</v>
      </c>
      <c r="B2000" s="19">
        <v>70.290000000000006</v>
      </c>
      <c r="C2000" s="20">
        <f>Sales!$B2000*Sales!$A2000</f>
        <v>1968.1200000000001</v>
      </c>
      <c r="D2000" s="21">
        <v>37739</v>
      </c>
      <c r="E2000" s="22" t="s">
        <v>9</v>
      </c>
      <c r="F2000" s="22">
        <v>2</v>
      </c>
      <c r="G2000" s="22">
        <v>4</v>
      </c>
      <c r="H2000" s="22">
        <v>2003</v>
      </c>
      <c r="I2000" s="22" t="s">
        <v>115</v>
      </c>
      <c r="J2000" s="20">
        <v>68</v>
      </c>
      <c r="K2000" s="20">
        <f>Sales!$B2000-Sales!$J2000</f>
        <v>2.2900000000000063</v>
      </c>
      <c r="L2000" s="23">
        <f>(Sales!$J2000-Sales!$B2000)/Sales!$J2000</f>
        <v>-3.3676470588235384E-2</v>
      </c>
      <c r="M2000" s="23" t="str">
        <f t="shared" si="31"/>
        <v>Below 0%</v>
      </c>
      <c r="N2000" s="22" t="s">
        <v>37</v>
      </c>
      <c r="O2000" s="22" t="s">
        <v>38</v>
      </c>
      <c r="P2000" s="22" t="s">
        <v>17</v>
      </c>
      <c r="Q2000" s="22" t="s">
        <v>14</v>
      </c>
    </row>
    <row r="2001" spans="1:17" x14ac:dyDescent="0.3">
      <c r="A2001" s="27">
        <v>50</v>
      </c>
      <c r="B2001" s="24">
        <v>81.89</v>
      </c>
      <c r="C2001" s="25">
        <f>Sales!$B2001*Sales!$A2001</f>
        <v>4094.5</v>
      </c>
      <c r="D2001" s="26">
        <v>37788</v>
      </c>
      <c r="E2001" s="27" t="s">
        <v>9</v>
      </c>
      <c r="F2001" s="27">
        <v>2</v>
      </c>
      <c r="G2001" s="27">
        <v>6</v>
      </c>
      <c r="H2001" s="27">
        <v>2003</v>
      </c>
      <c r="I2001" s="27" t="s">
        <v>115</v>
      </c>
      <c r="J2001" s="25">
        <v>68</v>
      </c>
      <c r="K2001" s="25">
        <f>Sales!$B2001-Sales!$J2001</f>
        <v>13.89</v>
      </c>
      <c r="L2001" s="28">
        <f>(Sales!$J2001-Sales!$B2001)/Sales!$J2001</f>
        <v>-0.20426470588235296</v>
      </c>
      <c r="M2001" s="28" t="str">
        <f t="shared" si="31"/>
        <v>Below 0%</v>
      </c>
      <c r="N2001" s="27" t="s">
        <v>105</v>
      </c>
      <c r="O2001" s="27" t="s">
        <v>12</v>
      </c>
      <c r="P2001" s="27" t="s">
        <v>13</v>
      </c>
      <c r="Q2001" s="27" t="s">
        <v>19</v>
      </c>
    </row>
    <row r="2002" spans="1:17" x14ac:dyDescent="0.3">
      <c r="A2002" s="22">
        <v>28</v>
      </c>
      <c r="B2002" s="19">
        <v>66.19</v>
      </c>
      <c r="C2002" s="20">
        <f>Sales!$B2002*Sales!$A2002</f>
        <v>1853.32</v>
      </c>
      <c r="D2002" s="21">
        <v>37843</v>
      </c>
      <c r="E2002" s="22" t="s">
        <v>9</v>
      </c>
      <c r="F2002" s="22">
        <v>3</v>
      </c>
      <c r="G2002" s="22">
        <v>8</v>
      </c>
      <c r="H2002" s="22">
        <v>2003</v>
      </c>
      <c r="I2002" s="22" t="s">
        <v>115</v>
      </c>
      <c r="J2002" s="20">
        <v>68</v>
      </c>
      <c r="K2002" s="20">
        <f>Sales!$B2002-Sales!$J2002</f>
        <v>-1.8100000000000023</v>
      </c>
      <c r="L2002" s="23">
        <f>(Sales!$J2002-Sales!$B2002)/Sales!$J2002</f>
        <v>2.6617647058823562E-2</v>
      </c>
      <c r="M2002" s="23" t="str">
        <f t="shared" si="31"/>
        <v>0%-5%</v>
      </c>
      <c r="N2002" s="22" t="s">
        <v>41</v>
      </c>
      <c r="O2002" s="22" t="s">
        <v>12</v>
      </c>
      <c r="P2002" s="22" t="s">
        <v>13</v>
      </c>
      <c r="Q2002" s="22" t="s">
        <v>14</v>
      </c>
    </row>
    <row r="2003" spans="1:17" x14ac:dyDescent="0.3">
      <c r="A2003" s="27">
        <v>44</v>
      </c>
      <c r="B2003" s="24">
        <v>77.11</v>
      </c>
      <c r="C2003" s="25">
        <f>Sales!$B2003*Sales!$A2003</f>
        <v>3392.84</v>
      </c>
      <c r="D2003" s="26">
        <v>37900</v>
      </c>
      <c r="E2003" s="27" t="s">
        <v>9</v>
      </c>
      <c r="F2003" s="27">
        <v>4</v>
      </c>
      <c r="G2003" s="27">
        <v>10</v>
      </c>
      <c r="H2003" s="27">
        <v>2003</v>
      </c>
      <c r="I2003" s="27" t="s">
        <v>115</v>
      </c>
      <c r="J2003" s="25">
        <v>68</v>
      </c>
      <c r="K2003" s="25">
        <f>Sales!$B2003-Sales!$J2003</f>
        <v>9.11</v>
      </c>
      <c r="L2003" s="28">
        <f>(Sales!$J2003-Sales!$B2003)/Sales!$J2003</f>
        <v>-0.13397058823529412</v>
      </c>
      <c r="M2003" s="28" t="str">
        <f t="shared" si="31"/>
        <v>Below 0%</v>
      </c>
      <c r="N2003" s="27" t="s">
        <v>33</v>
      </c>
      <c r="O2003" s="27" t="s">
        <v>34</v>
      </c>
      <c r="P2003" s="27" t="s">
        <v>17</v>
      </c>
      <c r="Q2003" s="27" t="s">
        <v>19</v>
      </c>
    </row>
    <row r="2004" spans="1:17" x14ac:dyDescent="0.3">
      <c r="A2004" s="22">
        <v>27</v>
      </c>
      <c r="B2004" s="19">
        <v>73.02</v>
      </c>
      <c r="C2004" s="20">
        <f>Sales!$B2004*Sales!$A2004</f>
        <v>1971.54</v>
      </c>
      <c r="D2004" s="21">
        <v>37922</v>
      </c>
      <c r="E2004" s="22" t="s">
        <v>9</v>
      </c>
      <c r="F2004" s="22">
        <v>4</v>
      </c>
      <c r="G2004" s="22">
        <v>10</v>
      </c>
      <c r="H2004" s="22">
        <v>2003</v>
      </c>
      <c r="I2004" s="22" t="s">
        <v>115</v>
      </c>
      <c r="J2004" s="20">
        <v>68</v>
      </c>
      <c r="K2004" s="20">
        <f>Sales!$B2004-Sales!$J2004</f>
        <v>5.019999999999996</v>
      </c>
      <c r="L2004" s="23">
        <f>(Sales!$J2004-Sales!$B2004)/Sales!$J2004</f>
        <v>-7.3823529411764649E-2</v>
      </c>
      <c r="M2004" s="23" t="str">
        <f t="shared" si="31"/>
        <v>Below 0%</v>
      </c>
      <c r="N2004" s="22" t="s">
        <v>22</v>
      </c>
      <c r="O2004" s="22" t="s">
        <v>12</v>
      </c>
      <c r="P2004" s="22" t="s">
        <v>13</v>
      </c>
      <c r="Q2004" s="22" t="s">
        <v>14</v>
      </c>
    </row>
    <row r="2005" spans="1:17" x14ac:dyDescent="0.3">
      <c r="A2005" s="27">
        <v>30</v>
      </c>
      <c r="B2005" s="24">
        <v>72.33</v>
      </c>
      <c r="C2005" s="25">
        <f>Sales!$B2005*Sales!$A2005</f>
        <v>2169.9</v>
      </c>
      <c r="D2005" s="26">
        <v>37933</v>
      </c>
      <c r="E2005" s="27" t="s">
        <v>9</v>
      </c>
      <c r="F2005" s="27">
        <v>4</v>
      </c>
      <c r="G2005" s="27">
        <v>11</v>
      </c>
      <c r="H2005" s="27">
        <v>2003</v>
      </c>
      <c r="I2005" s="27" t="s">
        <v>115</v>
      </c>
      <c r="J2005" s="25">
        <v>68</v>
      </c>
      <c r="K2005" s="25">
        <f>Sales!$B2005-Sales!$J2005</f>
        <v>4.3299999999999983</v>
      </c>
      <c r="L2005" s="28">
        <f>(Sales!$J2005-Sales!$B2005)/Sales!$J2005</f>
        <v>-6.3676470588235265E-2</v>
      </c>
      <c r="M2005" s="28" t="str">
        <f t="shared" si="31"/>
        <v>Below 0%</v>
      </c>
      <c r="N2005" s="27" t="s">
        <v>76</v>
      </c>
      <c r="O2005" s="27" t="s">
        <v>16</v>
      </c>
      <c r="P2005" s="27" t="s">
        <v>17</v>
      </c>
      <c r="Q2005" s="27" t="s">
        <v>14</v>
      </c>
    </row>
    <row r="2006" spans="1:17" x14ac:dyDescent="0.3">
      <c r="A2006" s="22">
        <v>43</v>
      </c>
      <c r="B2006" s="19">
        <v>66.19</v>
      </c>
      <c r="C2006" s="20">
        <f>Sales!$B2006*Sales!$A2006</f>
        <v>2846.17</v>
      </c>
      <c r="D2006" s="21">
        <v>37952</v>
      </c>
      <c r="E2006" s="22" t="s">
        <v>9</v>
      </c>
      <c r="F2006" s="22">
        <v>4</v>
      </c>
      <c r="G2006" s="22">
        <v>11</v>
      </c>
      <c r="H2006" s="22">
        <v>2003</v>
      </c>
      <c r="I2006" s="22" t="s">
        <v>115</v>
      </c>
      <c r="J2006" s="20">
        <v>68</v>
      </c>
      <c r="K2006" s="20">
        <f>Sales!$B2006-Sales!$J2006</f>
        <v>-1.8100000000000023</v>
      </c>
      <c r="L2006" s="23">
        <f>(Sales!$J2006-Sales!$B2006)/Sales!$J2006</f>
        <v>2.6617647058823562E-2</v>
      </c>
      <c r="M2006" s="23" t="str">
        <f t="shared" si="31"/>
        <v>0%-5%</v>
      </c>
      <c r="N2006" s="22" t="s">
        <v>90</v>
      </c>
      <c r="O2006" s="22" t="s">
        <v>91</v>
      </c>
      <c r="P2006" s="22" t="s">
        <v>28</v>
      </c>
      <c r="Q2006" s="22" t="s">
        <v>14</v>
      </c>
    </row>
    <row r="2007" spans="1:17" x14ac:dyDescent="0.3">
      <c r="A2007" s="27">
        <v>29</v>
      </c>
      <c r="B2007" s="24">
        <v>69.599999999999994</v>
      </c>
      <c r="C2007" s="25">
        <f>Sales!$B2007*Sales!$A2007</f>
        <v>2018.3999999999999</v>
      </c>
      <c r="D2007" s="26">
        <v>37998</v>
      </c>
      <c r="E2007" s="27" t="s">
        <v>9</v>
      </c>
      <c r="F2007" s="27">
        <v>1</v>
      </c>
      <c r="G2007" s="27">
        <v>1</v>
      </c>
      <c r="H2007" s="27">
        <v>2004</v>
      </c>
      <c r="I2007" s="27" t="s">
        <v>115</v>
      </c>
      <c r="J2007" s="25">
        <v>68</v>
      </c>
      <c r="K2007" s="25">
        <f>Sales!$B2007-Sales!$J2007</f>
        <v>1.5999999999999943</v>
      </c>
      <c r="L2007" s="28">
        <f>(Sales!$J2007-Sales!$B2007)/Sales!$J2007</f>
        <v>-2.3529411764705799E-2</v>
      </c>
      <c r="M2007" s="28" t="str">
        <f t="shared" si="31"/>
        <v>Below 0%</v>
      </c>
      <c r="N2007" s="27" t="s">
        <v>70</v>
      </c>
      <c r="O2007" s="27" t="s">
        <v>51</v>
      </c>
      <c r="P2007" s="27" t="s">
        <v>51</v>
      </c>
      <c r="Q2007" s="27" t="s">
        <v>14</v>
      </c>
    </row>
    <row r="2008" spans="1:17" x14ac:dyDescent="0.3">
      <c r="A2008" s="22">
        <v>48</v>
      </c>
      <c r="B2008" s="19">
        <v>56.64</v>
      </c>
      <c r="C2008" s="20">
        <f>Sales!$B2008*Sales!$A2008</f>
        <v>2718.7200000000003</v>
      </c>
      <c r="D2008" s="21">
        <v>38036</v>
      </c>
      <c r="E2008" s="22" t="s">
        <v>9</v>
      </c>
      <c r="F2008" s="22">
        <v>1</v>
      </c>
      <c r="G2008" s="22">
        <v>2</v>
      </c>
      <c r="H2008" s="22">
        <v>2004</v>
      </c>
      <c r="I2008" s="22" t="s">
        <v>115</v>
      </c>
      <c r="J2008" s="20">
        <v>68</v>
      </c>
      <c r="K2008" s="20">
        <f>Sales!$B2008-Sales!$J2008</f>
        <v>-11.36</v>
      </c>
      <c r="L2008" s="23">
        <f>(Sales!$J2008-Sales!$B2008)/Sales!$J2008</f>
        <v>0.16705882352941176</v>
      </c>
      <c r="M2008" s="23" t="str">
        <f t="shared" si="31"/>
        <v>15%-20%</v>
      </c>
      <c r="N2008" s="22" t="s">
        <v>79</v>
      </c>
      <c r="O2008" s="22" t="s">
        <v>12</v>
      </c>
      <c r="P2008" s="22" t="s">
        <v>13</v>
      </c>
      <c r="Q2008" s="22" t="s">
        <v>14</v>
      </c>
    </row>
    <row r="2009" spans="1:17" x14ac:dyDescent="0.3">
      <c r="A2009" s="27">
        <v>33</v>
      </c>
      <c r="B2009" s="24">
        <v>60.05</v>
      </c>
      <c r="C2009" s="25">
        <f>Sales!$B2009*Sales!$A2009</f>
        <v>1981.6499999999999</v>
      </c>
      <c r="D2009" s="26">
        <v>38079</v>
      </c>
      <c r="E2009" s="27" t="s">
        <v>9</v>
      </c>
      <c r="F2009" s="27">
        <v>2</v>
      </c>
      <c r="G2009" s="27">
        <v>4</v>
      </c>
      <c r="H2009" s="27">
        <v>2004</v>
      </c>
      <c r="I2009" s="27" t="s">
        <v>115</v>
      </c>
      <c r="J2009" s="25">
        <v>68</v>
      </c>
      <c r="K2009" s="25">
        <f>Sales!$B2009-Sales!$J2009</f>
        <v>-7.9500000000000028</v>
      </c>
      <c r="L2009" s="28">
        <f>(Sales!$J2009-Sales!$B2009)/Sales!$J2009</f>
        <v>0.1169117647058824</v>
      </c>
      <c r="M2009" s="28" t="str">
        <f t="shared" si="31"/>
        <v>10%-15%</v>
      </c>
      <c r="N2009" s="27" t="s">
        <v>82</v>
      </c>
      <c r="O2009" s="27" t="s">
        <v>56</v>
      </c>
      <c r="P2009" s="27" t="s">
        <v>13</v>
      </c>
      <c r="Q2009" s="27" t="s">
        <v>14</v>
      </c>
    </row>
    <row r="2010" spans="1:17" x14ac:dyDescent="0.3">
      <c r="A2010" s="22">
        <v>40</v>
      </c>
      <c r="B2010" s="19">
        <v>75.06</v>
      </c>
      <c r="C2010" s="20">
        <f>Sales!$B2010*Sales!$A2010</f>
        <v>3002.4</v>
      </c>
      <c r="D2010" s="21">
        <v>38118</v>
      </c>
      <c r="E2010" s="22" t="s">
        <v>9</v>
      </c>
      <c r="F2010" s="22">
        <v>2</v>
      </c>
      <c r="G2010" s="22">
        <v>5</v>
      </c>
      <c r="H2010" s="22">
        <v>2004</v>
      </c>
      <c r="I2010" s="22" t="s">
        <v>115</v>
      </c>
      <c r="J2010" s="20">
        <v>68</v>
      </c>
      <c r="K2010" s="20">
        <f>Sales!$B2010-Sales!$J2010</f>
        <v>7.0600000000000023</v>
      </c>
      <c r="L2010" s="23">
        <f>(Sales!$J2010-Sales!$B2010)/Sales!$J2010</f>
        <v>-0.10382352941176475</v>
      </c>
      <c r="M2010" s="23" t="str">
        <f t="shared" si="31"/>
        <v>Below 0%</v>
      </c>
      <c r="N2010" s="22" t="s">
        <v>86</v>
      </c>
      <c r="O2010" s="22" t="s">
        <v>12</v>
      </c>
      <c r="P2010" s="22" t="s">
        <v>13</v>
      </c>
      <c r="Q2010" s="22" t="s">
        <v>19</v>
      </c>
    </row>
    <row r="2011" spans="1:17" x14ac:dyDescent="0.3">
      <c r="A2011" s="27">
        <v>48</v>
      </c>
      <c r="B2011" s="24">
        <v>61.42</v>
      </c>
      <c r="C2011" s="25">
        <f>Sales!$B2011*Sales!$A2011</f>
        <v>2948.16</v>
      </c>
      <c r="D2011" s="26">
        <v>38162</v>
      </c>
      <c r="E2011" s="27" t="s">
        <v>75</v>
      </c>
      <c r="F2011" s="27">
        <v>2</v>
      </c>
      <c r="G2011" s="27">
        <v>6</v>
      </c>
      <c r="H2011" s="27">
        <v>2004</v>
      </c>
      <c r="I2011" s="27" t="s">
        <v>115</v>
      </c>
      <c r="J2011" s="25">
        <v>68</v>
      </c>
      <c r="K2011" s="25">
        <f>Sales!$B2011-Sales!$J2011</f>
        <v>-6.5799999999999983</v>
      </c>
      <c r="L2011" s="28">
        <f>(Sales!$J2011-Sales!$B2011)/Sales!$J2011</f>
        <v>9.6764705882352919E-2</v>
      </c>
      <c r="M2011" s="28" t="str">
        <f t="shared" si="31"/>
        <v>5%-10%</v>
      </c>
      <c r="N2011" s="27" t="s">
        <v>45</v>
      </c>
      <c r="O2011" s="27" t="s">
        <v>46</v>
      </c>
      <c r="P2011" s="27" t="s">
        <v>17</v>
      </c>
      <c r="Q2011" s="27" t="s">
        <v>14</v>
      </c>
    </row>
    <row r="2012" spans="1:17" x14ac:dyDescent="0.3">
      <c r="A2012" s="22">
        <v>41</v>
      </c>
      <c r="B2012" s="19">
        <v>81.89</v>
      </c>
      <c r="C2012" s="20">
        <f>Sales!$B2012*Sales!$A2012</f>
        <v>3357.4900000000002</v>
      </c>
      <c r="D2012" s="21">
        <v>38191</v>
      </c>
      <c r="E2012" s="22" t="s">
        <v>9</v>
      </c>
      <c r="F2012" s="22">
        <v>3</v>
      </c>
      <c r="G2012" s="22">
        <v>7</v>
      </c>
      <c r="H2012" s="22">
        <v>2004</v>
      </c>
      <c r="I2012" s="22" t="s">
        <v>115</v>
      </c>
      <c r="J2012" s="20">
        <v>68</v>
      </c>
      <c r="K2012" s="20">
        <f>Sales!$B2012-Sales!$J2012</f>
        <v>13.89</v>
      </c>
      <c r="L2012" s="23">
        <f>(Sales!$J2012-Sales!$B2012)/Sales!$J2012</f>
        <v>-0.20426470588235296</v>
      </c>
      <c r="M2012" s="23" t="str">
        <f t="shared" si="31"/>
        <v>Below 0%</v>
      </c>
      <c r="N2012" s="22" t="s">
        <v>31</v>
      </c>
      <c r="O2012" s="22" t="s">
        <v>16</v>
      </c>
      <c r="P2012" s="22" t="s">
        <v>17</v>
      </c>
      <c r="Q2012" s="22" t="s">
        <v>19</v>
      </c>
    </row>
    <row r="2013" spans="1:17" x14ac:dyDescent="0.3">
      <c r="A2013" s="27">
        <v>21</v>
      </c>
      <c r="B2013" s="24">
        <v>55.96</v>
      </c>
      <c r="C2013" s="25">
        <f>Sales!$B2013*Sales!$A2013</f>
        <v>1175.1600000000001</v>
      </c>
      <c r="D2013" s="26">
        <v>38220</v>
      </c>
      <c r="E2013" s="27" t="s">
        <v>9</v>
      </c>
      <c r="F2013" s="27">
        <v>3</v>
      </c>
      <c r="G2013" s="27">
        <v>8</v>
      </c>
      <c r="H2013" s="27">
        <v>2004</v>
      </c>
      <c r="I2013" s="27" t="s">
        <v>115</v>
      </c>
      <c r="J2013" s="25">
        <v>68</v>
      </c>
      <c r="K2013" s="25">
        <f>Sales!$B2013-Sales!$J2013</f>
        <v>-12.04</v>
      </c>
      <c r="L2013" s="28">
        <f>(Sales!$J2013-Sales!$B2013)/Sales!$J2013</f>
        <v>0.17705882352941174</v>
      </c>
      <c r="M2013" s="28" t="str">
        <f t="shared" si="31"/>
        <v>15%-20%</v>
      </c>
      <c r="N2013" s="27" t="s">
        <v>110</v>
      </c>
      <c r="O2013" s="27" t="s">
        <v>25</v>
      </c>
      <c r="P2013" s="27" t="s">
        <v>17</v>
      </c>
      <c r="Q2013" s="27" t="s">
        <v>14</v>
      </c>
    </row>
    <row r="2014" spans="1:17" x14ac:dyDescent="0.3">
      <c r="A2014" s="22">
        <v>32</v>
      </c>
      <c r="B2014" s="19">
        <v>71.650000000000006</v>
      </c>
      <c r="C2014" s="20">
        <f>Sales!$B2014*Sales!$A2014</f>
        <v>2292.8000000000002</v>
      </c>
      <c r="D2014" s="21">
        <v>38245</v>
      </c>
      <c r="E2014" s="22" t="s">
        <v>9</v>
      </c>
      <c r="F2014" s="22">
        <v>3</v>
      </c>
      <c r="G2014" s="22">
        <v>9</v>
      </c>
      <c r="H2014" s="22">
        <v>2004</v>
      </c>
      <c r="I2014" s="22" t="s">
        <v>115</v>
      </c>
      <c r="J2014" s="20">
        <v>68</v>
      </c>
      <c r="K2014" s="20">
        <f>Sales!$B2014-Sales!$J2014</f>
        <v>3.6500000000000057</v>
      </c>
      <c r="L2014" s="23">
        <f>(Sales!$J2014-Sales!$B2014)/Sales!$J2014</f>
        <v>-5.3676470588235381E-2</v>
      </c>
      <c r="M2014" s="23" t="str">
        <f t="shared" si="31"/>
        <v>Below 0%</v>
      </c>
      <c r="N2014" s="22" t="s">
        <v>116</v>
      </c>
      <c r="O2014" s="22" t="s">
        <v>94</v>
      </c>
      <c r="P2014" s="22" t="s">
        <v>17</v>
      </c>
      <c r="Q2014" s="22" t="s">
        <v>14</v>
      </c>
    </row>
    <row r="2015" spans="1:17" x14ac:dyDescent="0.3">
      <c r="A2015" s="27">
        <v>43</v>
      </c>
      <c r="B2015" s="24">
        <v>76.430000000000007</v>
      </c>
      <c r="C2015" s="25">
        <f>Sales!$B2015*Sales!$A2015</f>
        <v>3286.4900000000002</v>
      </c>
      <c r="D2015" s="26">
        <v>38275</v>
      </c>
      <c r="E2015" s="27" t="s">
        <v>9</v>
      </c>
      <c r="F2015" s="27">
        <v>4</v>
      </c>
      <c r="G2015" s="27">
        <v>10</v>
      </c>
      <c r="H2015" s="27">
        <v>2004</v>
      </c>
      <c r="I2015" s="27" t="s">
        <v>115</v>
      </c>
      <c r="J2015" s="25">
        <v>68</v>
      </c>
      <c r="K2015" s="25">
        <f>Sales!$B2015-Sales!$J2015</f>
        <v>8.4300000000000068</v>
      </c>
      <c r="L2015" s="28">
        <f>(Sales!$J2015-Sales!$B2015)/Sales!$J2015</f>
        <v>-0.12397058823529422</v>
      </c>
      <c r="M2015" s="28" t="str">
        <f t="shared" si="31"/>
        <v>Below 0%</v>
      </c>
      <c r="N2015" s="27" t="s">
        <v>71</v>
      </c>
      <c r="O2015" s="27" t="s">
        <v>12</v>
      </c>
      <c r="P2015" s="27" t="s">
        <v>13</v>
      </c>
      <c r="Q2015" s="27" t="s">
        <v>19</v>
      </c>
    </row>
    <row r="2016" spans="1:17" x14ac:dyDescent="0.3">
      <c r="A2016" s="22">
        <v>30</v>
      </c>
      <c r="B2016" s="19">
        <v>77.790000000000006</v>
      </c>
      <c r="C2016" s="20">
        <f>Sales!$B2016*Sales!$A2016</f>
        <v>2333.7000000000003</v>
      </c>
      <c r="D2016" s="21">
        <v>38292</v>
      </c>
      <c r="E2016" s="22" t="s">
        <v>9</v>
      </c>
      <c r="F2016" s="22">
        <v>4</v>
      </c>
      <c r="G2016" s="22">
        <v>11</v>
      </c>
      <c r="H2016" s="22">
        <v>2004</v>
      </c>
      <c r="I2016" s="22" t="s">
        <v>115</v>
      </c>
      <c r="J2016" s="20">
        <v>68</v>
      </c>
      <c r="K2016" s="20">
        <f>Sales!$B2016-Sales!$J2016</f>
        <v>9.7900000000000063</v>
      </c>
      <c r="L2016" s="23">
        <f>(Sales!$J2016-Sales!$B2016)/Sales!$J2016</f>
        <v>-0.14397058823529421</v>
      </c>
      <c r="M2016" s="23" t="str">
        <f t="shared" si="31"/>
        <v>Below 0%</v>
      </c>
      <c r="N2016" s="22" t="s">
        <v>84</v>
      </c>
      <c r="O2016" s="22" t="s">
        <v>43</v>
      </c>
      <c r="P2016" s="22" t="s">
        <v>17</v>
      </c>
      <c r="Q2016" s="22" t="s">
        <v>14</v>
      </c>
    </row>
    <row r="2017" spans="1:17" x14ac:dyDescent="0.3">
      <c r="A2017" s="27">
        <v>35</v>
      </c>
      <c r="B2017" s="24">
        <v>76.430000000000007</v>
      </c>
      <c r="C2017" s="25">
        <f>Sales!$B2017*Sales!$A2017</f>
        <v>2675.05</v>
      </c>
      <c r="D2017" s="26">
        <v>38303</v>
      </c>
      <c r="E2017" s="27" t="s">
        <v>9</v>
      </c>
      <c r="F2017" s="27">
        <v>4</v>
      </c>
      <c r="G2017" s="27">
        <v>11</v>
      </c>
      <c r="H2017" s="27">
        <v>2004</v>
      </c>
      <c r="I2017" s="27" t="s">
        <v>115</v>
      </c>
      <c r="J2017" s="25">
        <v>68</v>
      </c>
      <c r="K2017" s="25">
        <f>Sales!$B2017-Sales!$J2017</f>
        <v>8.4300000000000068</v>
      </c>
      <c r="L2017" s="28">
        <f>(Sales!$J2017-Sales!$B2017)/Sales!$J2017</f>
        <v>-0.12397058823529422</v>
      </c>
      <c r="M2017" s="28" t="str">
        <f t="shared" si="31"/>
        <v>Below 0%</v>
      </c>
      <c r="N2017" s="27" t="s">
        <v>113</v>
      </c>
      <c r="O2017" s="27" t="s">
        <v>61</v>
      </c>
      <c r="P2017" s="27" t="s">
        <v>17</v>
      </c>
      <c r="Q2017" s="27" t="s">
        <v>14</v>
      </c>
    </row>
    <row r="2018" spans="1:17" x14ac:dyDescent="0.3">
      <c r="A2018" s="22">
        <v>45</v>
      </c>
      <c r="B2018" s="19">
        <v>96.92</v>
      </c>
      <c r="C2018" s="20">
        <f>Sales!$B2018*Sales!$A2018</f>
        <v>4361.3999999999996</v>
      </c>
      <c r="D2018" s="21">
        <v>38314</v>
      </c>
      <c r="E2018" s="22" t="s">
        <v>9</v>
      </c>
      <c r="F2018" s="22">
        <v>4</v>
      </c>
      <c r="G2018" s="22">
        <v>11</v>
      </c>
      <c r="H2018" s="22">
        <v>2004</v>
      </c>
      <c r="I2018" s="22" t="s">
        <v>115</v>
      </c>
      <c r="J2018" s="20">
        <v>68</v>
      </c>
      <c r="K2018" s="20">
        <f>Sales!$B2018-Sales!$J2018</f>
        <v>28.92</v>
      </c>
      <c r="L2018" s="23">
        <f>(Sales!$J2018-Sales!$B2018)/Sales!$J2018</f>
        <v>-0.42529411764705882</v>
      </c>
      <c r="M2018" s="23" t="str">
        <f t="shared" si="31"/>
        <v>Below 0%</v>
      </c>
      <c r="N2018" s="22" t="s">
        <v>59</v>
      </c>
      <c r="O2018" s="22" t="s">
        <v>51</v>
      </c>
      <c r="P2018" s="22" t="s">
        <v>51</v>
      </c>
      <c r="Q2018" s="22" t="s">
        <v>19</v>
      </c>
    </row>
    <row r="2019" spans="1:17" x14ac:dyDescent="0.3">
      <c r="A2019" s="27">
        <v>34</v>
      </c>
      <c r="B2019" s="24">
        <v>59.37</v>
      </c>
      <c r="C2019" s="25">
        <f>Sales!$B2019*Sales!$A2019</f>
        <v>2018.58</v>
      </c>
      <c r="D2019" s="26">
        <v>38324</v>
      </c>
      <c r="E2019" s="27" t="s">
        <v>9</v>
      </c>
      <c r="F2019" s="27">
        <v>4</v>
      </c>
      <c r="G2019" s="27">
        <v>12</v>
      </c>
      <c r="H2019" s="27">
        <v>2004</v>
      </c>
      <c r="I2019" s="27" t="s">
        <v>115</v>
      </c>
      <c r="J2019" s="25">
        <v>68</v>
      </c>
      <c r="K2019" s="25">
        <f>Sales!$B2019-Sales!$J2019</f>
        <v>-8.6300000000000026</v>
      </c>
      <c r="L2019" s="28">
        <f>(Sales!$J2019-Sales!$B2019)/Sales!$J2019</f>
        <v>0.12691176470588239</v>
      </c>
      <c r="M2019" s="28" t="str">
        <f t="shared" si="31"/>
        <v>10%-15%</v>
      </c>
      <c r="N2019" s="27" t="s">
        <v>74</v>
      </c>
      <c r="O2019" s="27" t="s">
        <v>43</v>
      </c>
      <c r="P2019" s="27" t="s">
        <v>17</v>
      </c>
      <c r="Q2019" s="27" t="s">
        <v>14</v>
      </c>
    </row>
    <row r="2020" spans="1:17" x14ac:dyDescent="0.3">
      <c r="A2020" s="22">
        <v>26</v>
      </c>
      <c r="B2020" s="19">
        <v>100</v>
      </c>
      <c r="C2020" s="20">
        <f>Sales!$B2020*Sales!$A2020</f>
        <v>2600</v>
      </c>
      <c r="D2020" s="21">
        <v>38338</v>
      </c>
      <c r="E2020" s="22" t="s">
        <v>9</v>
      </c>
      <c r="F2020" s="22">
        <v>4</v>
      </c>
      <c r="G2020" s="22">
        <v>12</v>
      </c>
      <c r="H2020" s="22">
        <v>2004</v>
      </c>
      <c r="I2020" s="22" t="s">
        <v>115</v>
      </c>
      <c r="J2020" s="20">
        <v>68</v>
      </c>
      <c r="K2020" s="20">
        <f>Sales!$B2020-Sales!$J2020</f>
        <v>32</v>
      </c>
      <c r="L2020" s="23">
        <f>(Sales!$J2020-Sales!$B2020)/Sales!$J2020</f>
        <v>-0.47058823529411764</v>
      </c>
      <c r="M2020" s="23" t="str">
        <f t="shared" si="31"/>
        <v>Below 0%</v>
      </c>
      <c r="N2020" s="22" t="s">
        <v>40</v>
      </c>
      <c r="O2020" s="22" t="s">
        <v>27</v>
      </c>
      <c r="P2020" s="22" t="s">
        <v>28</v>
      </c>
      <c r="Q2020" s="22" t="s">
        <v>19</v>
      </c>
    </row>
    <row r="2021" spans="1:17" x14ac:dyDescent="0.3">
      <c r="A2021" s="27">
        <v>39</v>
      </c>
      <c r="B2021" s="24">
        <v>73</v>
      </c>
      <c r="C2021" s="25">
        <f>Sales!$B2021*Sales!$A2021</f>
        <v>2847</v>
      </c>
      <c r="D2021" s="26">
        <v>38383</v>
      </c>
      <c r="E2021" s="27" t="s">
        <v>9</v>
      </c>
      <c r="F2021" s="27">
        <v>1</v>
      </c>
      <c r="G2021" s="27">
        <v>1</v>
      </c>
      <c r="H2021" s="27">
        <v>2005</v>
      </c>
      <c r="I2021" s="27" t="s">
        <v>115</v>
      </c>
      <c r="J2021" s="25">
        <v>68</v>
      </c>
      <c r="K2021" s="25">
        <f>Sales!$B2021-Sales!$J2021</f>
        <v>5</v>
      </c>
      <c r="L2021" s="28">
        <f>(Sales!$J2021-Sales!$B2021)/Sales!$J2021</f>
        <v>-7.3529411764705885E-2</v>
      </c>
      <c r="M2021" s="28" t="str">
        <f t="shared" si="31"/>
        <v>Below 0%</v>
      </c>
      <c r="N2021" s="27" t="s">
        <v>85</v>
      </c>
      <c r="O2021" s="27" t="s">
        <v>34</v>
      </c>
      <c r="P2021" s="27" t="s">
        <v>17</v>
      </c>
      <c r="Q2021" s="27" t="s">
        <v>14</v>
      </c>
    </row>
    <row r="2022" spans="1:17" x14ac:dyDescent="0.3">
      <c r="A2022" s="22">
        <v>41</v>
      </c>
      <c r="B2022" s="19">
        <v>73.319999999999993</v>
      </c>
      <c r="C2022" s="20">
        <f>Sales!$B2022*Sales!$A2022</f>
        <v>3006.12</v>
      </c>
      <c r="D2022" s="21">
        <v>38412</v>
      </c>
      <c r="E2022" s="22" t="s">
        <v>88</v>
      </c>
      <c r="F2022" s="22">
        <v>1</v>
      </c>
      <c r="G2022" s="22">
        <v>3</v>
      </c>
      <c r="H2022" s="22">
        <v>2005</v>
      </c>
      <c r="I2022" s="22" t="s">
        <v>115</v>
      </c>
      <c r="J2022" s="20">
        <v>68</v>
      </c>
      <c r="K2022" s="20">
        <f>Sales!$B2022-Sales!$J2022</f>
        <v>5.3199999999999932</v>
      </c>
      <c r="L2022" s="23">
        <f>(Sales!$J2022-Sales!$B2022)/Sales!$J2022</f>
        <v>-7.8235294117646959E-2</v>
      </c>
      <c r="M2022" s="23" t="str">
        <f t="shared" si="31"/>
        <v>Below 0%</v>
      </c>
      <c r="N2022" s="22" t="s">
        <v>45</v>
      </c>
      <c r="O2022" s="22" t="s">
        <v>46</v>
      </c>
      <c r="P2022" s="22" t="s">
        <v>17</v>
      </c>
      <c r="Q2022" s="22" t="s">
        <v>19</v>
      </c>
    </row>
    <row r="2023" spans="1:17" x14ac:dyDescent="0.3">
      <c r="A2023" s="27">
        <v>41</v>
      </c>
      <c r="B2023" s="24">
        <v>68.239999999999995</v>
      </c>
      <c r="C2023" s="25">
        <f>Sales!$B2023*Sales!$A2023</f>
        <v>2797.8399999999997</v>
      </c>
      <c r="D2023" s="26">
        <v>38441</v>
      </c>
      <c r="E2023" s="27" t="s">
        <v>9</v>
      </c>
      <c r="F2023" s="27">
        <v>1</v>
      </c>
      <c r="G2023" s="27">
        <v>3</v>
      </c>
      <c r="H2023" s="27">
        <v>2005</v>
      </c>
      <c r="I2023" s="27" t="s">
        <v>115</v>
      </c>
      <c r="J2023" s="25">
        <v>68</v>
      </c>
      <c r="K2023" s="25">
        <f>Sales!$B2023-Sales!$J2023</f>
        <v>0.23999999999999488</v>
      </c>
      <c r="L2023" s="28">
        <f>(Sales!$J2023-Sales!$B2023)/Sales!$J2023</f>
        <v>-3.529411764705807E-3</v>
      </c>
      <c r="M2023" s="28" t="s">
        <v>130</v>
      </c>
      <c r="N2023" s="27" t="s">
        <v>15</v>
      </c>
      <c r="O2023" s="27" t="s">
        <v>16</v>
      </c>
      <c r="P2023" s="27" t="s">
        <v>17</v>
      </c>
      <c r="Q2023" s="27" t="s">
        <v>14</v>
      </c>
    </row>
    <row r="2024" spans="1:17" x14ac:dyDescent="0.3">
      <c r="A2024" s="22">
        <v>64</v>
      </c>
      <c r="B2024" s="19">
        <v>60.05</v>
      </c>
      <c r="C2024" s="20">
        <f>Sales!$B2024*Sales!$A2024</f>
        <v>3843.2</v>
      </c>
      <c r="D2024" s="21">
        <v>38445</v>
      </c>
      <c r="E2024" s="22" t="s">
        <v>87</v>
      </c>
      <c r="F2024" s="22">
        <v>2</v>
      </c>
      <c r="G2024" s="22">
        <v>4</v>
      </c>
      <c r="H2024" s="22">
        <v>2005</v>
      </c>
      <c r="I2024" s="22" t="s">
        <v>115</v>
      </c>
      <c r="J2024" s="20">
        <v>68</v>
      </c>
      <c r="K2024" s="20">
        <f>Sales!$B2024-Sales!$J2024</f>
        <v>-7.9500000000000028</v>
      </c>
      <c r="L2024" s="23">
        <f>(Sales!$J2024-Sales!$B2024)/Sales!$J2024</f>
        <v>0.1169117647058824</v>
      </c>
      <c r="M2024" s="23" t="str">
        <f t="shared" si="31"/>
        <v>10%-15%</v>
      </c>
      <c r="N2024" s="22" t="s">
        <v>29</v>
      </c>
      <c r="O2024" s="22" t="s">
        <v>12</v>
      </c>
      <c r="P2024" s="22" t="s">
        <v>13</v>
      </c>
      <c r="Q2024" s="22" t="s">
        <v>19</v>
      </c>
    </row>
    <row r="2025" spans="1:17" x14ac:dyDescent="0.3">
      <c r="A2025" s="27">
        <v>18</v>
      </c>
      <c r="B2025" s="24">
        <v>75.06</v>
      </c>
      <c r="C2025" s="25">
        <f>Sales!$B2025*Sales!$A2025</f>
        <v>1351.08</v>
      </c>
      <c r="D2025" s="26">
        <v>38482</v>
      </c>
      <c r="E2025" s="27" t="s">
        <v>9</v>
      </c>
      <c r="F2025" s="27">
        <v>2</v>
      </c>
      <c r="G2025" s="27">
        <v>5</v>
      </c>
      <c r="H2025" s="27">
        <v>2005</v>
      </c>
      <c r="I2025" s="27" t="s">
        <v>115</v>
      </c>
      <c r="J2025" s="25">
        <v>68</v>
      </c>
      <c r="K2025" s="25">
        <f>Sales!$B2025-Sales!$J2025</f>
        <v>7.0600000000000023</v>
      </c>
      <c r="L2025" s="28">
        <f>(Sales!$J2025-Sales!$B2025)/Sales!$J2025</f>
        <v>-0.10382352941176475</v>
      </c>
      <c r="M2025" s="28" t="str">
        <f t="shared" si="31"/>
        <v>Below 0%</v>
      </c>
      <c r="N2025" s="27" t="s">
        <v>97</v>
      </c>
      <c r="O2025" s="27" t="s">
        <v>61</v>
      </c>
      <c r="P2025" s="27" t="s">
        <v>17</v>
      </c>
      <c r="Q2025" s="27" t="s">
        <v>14</v>
      </c>
    </row>
    <row r="2026" spans="1:17" x14ac:dyDescent="0.3">
      <c r="A2026" s="22">
        <v>49</v>
      </c>
      <c r="B2026" s="19">
        <v>34.47</v>
      </c>
      <c r="C2026" s="20">
        <f>Sales!$B2026*Sales!$A2026</f>
        <v>1689.03</v>
      </c>
      <c r="D2026" s="21">
        <v>37627</v>
      </c>
      <c r="E2026" s="22" t="s">
        <v>9</v>
      </c>
      <c r="F2026" s="22">
        <v>1</v>
      </c>
      <c r="G2026" s="22">
        <v>1</v>
      </c>
      <c r="H2026" s="22">
        <v>2003</v>
      </c>
      <c r="I2026" s="22" t="s">
        <v>112</v>
      </c>
      <c r="J2026" s="20">
        <v>41</v>
      </c>
      <c r="K2026" s="20">
        <f>Sales!$B2026-Sales!$J2026</f>
        <v>-6.5300000000000011</v>
      </c>
      <c r="L2026" s="23">
        <f>(Sales!$J2026-Sales!$B2026)/Sales!$J2026</f>
        <v>0.15926829268292686</v>
      </c>
      <c r="M2026" s="23" t="str">
        <f t="shared" si="31"/>
        <v>15%-20%</v>
      </c>
      <c r="N2026" s="22" t="s">
        <v>65</v>
      </c>
      <c r="O2026" s="22" t="s">
        <v>12</v>
      </c>
      <c r="P2026" s="22" t="s">
        <v>13</v>
      </c>
      <c r="Q2026" s="22" t="s">
        <v>14</v>
      </c>
    </row>
    <row r="2027" spans="1:17" x14ac:dyDescent="0.3">
      <c r="A2027" s="27">
        <v>48</v>
      </c>
      <c r="B2027" s="24">
        <v>34.47</v>
      </c>
      <c r="C2027" s="25">
        <f>Sales!$B2027*Sales!$A2027</f>
        <v>1654.56</v>
      </c>
      <c r="D2027" s="26">
        <v>37698</v>
      </c>
      <c r="E2027" s="27" t="s">
        <v>9</v>
      </c>
      <c r="F2027" s="27">
        <v>1</v>
      </c>
      <c r="G2027" s="27">
        <v>3</v>
      </c>
      <c r="H2027" s="27">
        <v>2003</v>
      </c>
      <c r="I2027" s="27" t="s">
        <v>112</v>
      </c>
      <c r="J2027" s="25">
        <v>41</v>
      </c>
      <c r="K2027" s="25">
        <f>Sales!$B2027-Sales!$J2027</f>
        <v>-6.5300000000000011</v>
      </c>
      <c r="L2027" s="28">
        <f>(Sales!$J2027-Sales!$B2027)/Sales!$J2027</f>
        <v>0.15926829268292686</v>
      </c>
      <c r="M2027" s="28" t="str">
        <f t="shared" si="31"/>
        <v>15%-20%</v>
      </c>
      <c r="N2027" s="27" t="s">
        <v>102</v>
      </c>
      <c r="O2027" s="27" t="s">
        <v>43</v>
      </c>
      <c r="P2027" s="27" t="s">
        <v>17</v>
      </c>
      <c r="Q2027" s="27" t="s">
        <v>14</v>
      </c>
    </row>
    <row r="2028" spans="1:17" x14ac:dyDescent="0.3">
      <c r="A2028" s="22">
        <v>46</v>
      </c>
      <c r="B2028" s="19">
        <v>33.229999999999997</v>
      </c>
      <c r="C2028" s="20">
        <f>Sales!$B2028*Sales!$A2028</f>
        <v>1528.58</v>
      </c>
      <c r="D2028" s="21">
        <v>37762</v>
      </c>
      <c r="E2028" s="22" t="s">
        <v>9</v>
      </c>
      <c r="F2028" s="22">
        <v>2</v>
      </c>
      <c r="G2028" s="22">
        <v>5</v>
      </c>
      <c r="H2028" s="22">
        <v>2003</v>
      </c>
      <c r="I2028" s="22" t="s">
        <v>112</v>
      </c>
      <c r="J2028" s="20">
        <v>41</v>
      </c>
      <c r="K2028" s="20">
        <f>Sales!$B2028-Sales!$J2028</f>
        <v>-7.7700000000000031</v>
      </c>
      <c r="L2028" s="23">
        <f>(Sales!$J2028-Sales!$B2028)/Sales!$J2028</f>
        <v>0.1895121951219513</v>
      </c>
      <c r="M2028" s="23" t="str">
        <f t="shared" si="31"/>
        <v>15%-20%</v>
      </c>
      <c r="N2028" s="22" t="s">
        <v>109</v>
      </c>
      <c r="O2028" s="22" t="s">
        <v>12</v>
      </c>
      <c r="P2028" s="22" t="s">
        <v>13</v>
      </c>
      <c r="Q2028" s="22" t="s">
        <v>14</v>
      </c>
    </row>
    <row r="2029" spans="1:17" x14ac:dyDescent="0.3">
      <c r="A2029" s="27">
        <v>26</v>
      </c>
      <c r="B2029" s="24">
        <v>38.979999999999997</v>
      </c>
      <c r="C2029" s="25">
        <f>Sales!$B2029*Sales!$A2029</f>
        <v>1013.4799999999999</v>
      </c>
      <c r="D2029" s="26">
        <v>37876</v>
      </c>
      <c r="E2029" s="27" t="s">
        <v>9</v>
      </c>
      <c r="F2029" s="27">
        <v>3</v>
      </c>
      <c r="G2029" s="27">
        <v>9</v>
      </c>
      <c r="H2029" s="27">
        <v>2003</v>
      </c>
      <c r="I2029" s="27" t="s">
        <v>112</v>
      </c>
      <c r="J2029" s="25">
        <v>41</v>
      </c>
      <c r="K2029" s="25">
        <f>Sales!$B2029-Sales!$J2029</f>
        <v>-2.0200000000000031</v>
      </c>
      <c r="L2029" s="28">
        <f>(Sales!$J2029-Sales!$B2029)/Sales!$J2029</f>
        <v>4.9268292682926908E-2</v>
      </c>
      <c r="M2029" s="28" t="str">
        <f t="shared" si="31"/>
        <v>0%-5%</v>
      </c>
      <c r="N2029" s="27" t="s">
        <v>107</v>
      </c>
      <c r="O2029" s="27" t="s">
        <v>12</v>
      </c>
      <c r="P2029" s="27" t="s">
        <v>13</v>
      </c>
      <c r="Q2029" s="27" t="s">
        <v>14</v>
      </c>
    </row>
    <row r="2030" spans="1:17" x14ac:dyDescent="0.3">
      <c r="A2030" s="22">
        <v>37</v>
      </c>
      <c r="B2030" s="19">
        <v>38.979999999999997</v>
      </c>
      <c r="C2030" s="20">
        <f>Sales!$B2030*Sales!$A2030</f>
        <v>1442.26</v>
      </c>
      <c r="D2030" s="21">
        <v>37912</v>
      </c>
      <c r="E2030" s="22" t="s">
        <v>9</v>
      </c>
      <c r="F2030" s="22">
        <v>4</v>
      </c>
      <c r="G2030" s="22">
        <v>10</v>
      </c>
      <c r="H2030" s="22">
        <v>2003</v>
      </c>
      <c r="I2030" s="22" t="s">
        <v>112</v>
      </c>
      <c r="J2030" s="20">
        <v>41</v>
      </c>
      <c r="K2030" s="20">
        <f>Sales!$B2030-Sales!$J2030</f>
        <v>-2.0200000000000031</v>
      </c>
      <c r="L2030" s="23">
        <f>(Sales!$J2030-Sales!$B2030)/Sales!$J2030</f>
        <v>4.9268292682926908E-2</v>
      </c>
      <c r="M2030" s="23" t="str">
        <f t="shared" si="31"/>
        <v>0%-5%</v>
      </c>
      <c r="N2030" s="22" t="s">
        <v>21</v>
      </c>
      <c r="O2030" s="22" t="s">
        <v>12</v>
      </c>
      <c r="P2030" s="22" t="s">
        <v>13</v>
      </c>
      <c r="Q2030" s="22" t="s">
        <v>14</v>
      </c>
    </row>
    <row r="2031" spans="1:17" x14ac:dyDescent="0.3">
      <c r="A2031" s="27">
        <v>35</v>
      </c>
      <c r="B2031" s="24">
        <v>33.229999999999997</v>
      </c>
      <c r="C2031" s="25">
        <f>Sales!$B2031*Sales!$A2031</f>
        <v>1163.05</v>
      </c>
      <c r="D2031" s="26">
        <v>37930</v>
      </c>
      <c r="E2031" s="27" t="s">
        <v>9</v>
      </c>
      <c r="F2031" s="27">
        <v>4</v>
      </c>
      <c r="G2031" s="27">
        <v>11</v>
      </c>
      <c r="H2031" s="27">
        <v>2003</v>
      </c>
      <c r="I2031" s="27" t="s">
        <v>112</v>
      </c>
      <c r="J2031" s="25">
        <v>41</v>
      </c>
      <c r="K2031" s="25">
        <f>Sales!$B2031-Sales!$J2031</f>
        <v>-7.7700000000000031</v>
      </c>
      <c r="L2031" s="28">
        <f>(Sales!$J2031-Sales!$B2031)/Sales!$J2031</f>
        <v>0.1895121951219513</v>
      </c>
      <c r="M2031" s="28" t="str">
        <f t="shared" si="31"/>
        <v>15%-20%</v>
      </c>
      <c r="N2031" s="27" t="s">
        <v>113</v>
      </c>
      <c r="O2031" s="27" t="s">
        <v>61</v>
      </c>
      <c r="P2031" s="27" t="s">
        <v>17</v>
      </c>
      <c r="Q2031" s="27" t="s">
        <v>14</v>
      </c>
    </row>
    <row r="2032" spans="1:17" x14ac:dyDescent="0.3">
      <c r="A2032" s="22">
        <v>23</v>
      </c>
      <c r="B2032" s="19">
        <v>42.26</v>
      </c>
      <c r="C2032" s="20">
        <f>Sales!$B2032*Sales!$A2032</f>
        <v>971.9799999999999</v>
      </c>
      <c r="D2032" s="21">
        <v>37937</v>
      </c>
      <c r="E2032" s="22" t="s">
        <v>9</v>
      </c>
      <c r="F2032" s="22">
        <v>4</v>
      </c>
      <c r="G2032" s="22">
        <v>11</v>
      </c>
      <c r="H2032" s="22">
        <v>2003</v>
      </c>
      <c r="I2032" s="22" t="s">
        <v>112</v>
      </c>
      <c r="J2032" s="20">
        <v>41</v>
      </c>
      <c r="K2032" s="20">
        <f>Sales!$B2032-Sales!$J2032</f>
        <v>1.259999999999998</v>
      </c>
      <c r="L2032" s="23">
        <f>(Sales!$J2032-Sales!$B2032)/Sales!$J2032</f>
        <v>-3.0731707317073122E-2</v>
      </c>
      <c r="M2032" s="23" t="str">
        <f t="shared" si="31"/>
        <v>Below 0%</v>
      </c>
      <c r="N2032" s="22" t="s">
        <v>64</v>
      </c>
      <c r="O2032" s="22" t="s">
        <v>12</v>
      </c>
      <c r="P2032" s="22" t="s">
        <v>13</v>
      </c>
      <c r="Q2032" s="22" t="s">
        <v>14</v>
      </c>
    </row>
    <row r="2033" spans="1:17" x14ac:dyDescent="0.3">
      <c r="A2033" s="27">
        <v>22</v>
      </c>
      <c r="B2033" s="24">
        <v>41.03</v>
      </c>
      <c r="C2033" s="25">
        <f>Sales!$B2033*Sales!$A2033</f>
        <v>902.66000000000008</v>
      </c>
      <c r="D2033" s="26">
        <v>37946</v>
      </c>
      <c r="E2033" s="27" t="s">
        <v>9</v>
      </c>
      <c r="F2033" s="27">
        <v>4</v>
      </c>
      <c r="G2033" s="27">
        <v>11</v>
      </c>
      <c r="H2033" s="27">
        <v>2003</v>
      </c>
      <c r="I2033" s="27" t="s">
        <v>112</v>
      </c>
      <c r="J2033" s="25">
        <v>41</v>
      </c>
      <c r="K2033" s="25">
        <f>Sales!$B2033-Sales!$J2033</f>
        <v>3.0000000000001137E-2</v>
      </c>
      <c r="L2033" s="28">
        <f>(Sales!$J2033-Sales!$B2033)/Sales!$J2033</f>
        <v>-7.3170731707319849E-4</v>
      </c>
      <c r="M2033" s="28" t="s">
        <v>130</v>
      </c>
      <c r="N2033" s="27" t="s">
        <v>114</v>
      </c>
      <c r="O2033" s="27" t="s">
        <v>27</v>
      </c>
      <c r="P2033" s="27" t="s">
        <v>28</v>
      </c>
      <c r="Q2033" s="27" t="s">
        <v>14</v>
      </c>
    </row>
    <row r="2034" spans="1:17" x14ac:dyDescent="0.3">
      <c r="A2034" s="22">
        <v>39</v>
      </c>
      <c r="B2034" s="19">
        <v>33.229999999999997</v>
      </c>
      <c r="C2034" s="20">
        <f>Sales!$B2034*Sales!$A2034</f>
        <v>1295.9699999999998</v>
      </c>
      <c r="D2034" s="21">
        <v>37957</v>
      </c>
      <c r="E2034" s="22" t="s">
        <v>9</v>
      </c>
      <c r="F2034" s="22">
        <v>4</v>
      </c>
      <c r="G2034" s="22">
        <v>12</v>
      </c>
      <c r="H2034" s="22">
        <v>2003</v>
      </c>
      <c r="I2034" s="22" t="s">
        <v>112</v>
      </c>
      <c r="J2034" s="20">
        <v>41</v>
      </c>
      <c r="K2034" s="20">
        <f>Sales!$B2034-Sales!$J2034</f>
        <v>-7.7700000000000031</v>
      </c>
      <c r="L2034" s="23">
        <f>(Sales!$J2034-Sales!$B2034)/Sales!$J2034</f>
        <v>0.1895121951219513</v>
      </c>
      <c r="M2034" s="23" t="str">
        <f t="shared" si="31"/>
        <v>15%-20%</v>
      </c>
      <c r="N2034" s="22" t="s">
        <v>11</v>
      </c>
      <c r="O2034" s="22" t="s">
        <v>12</v>
      </c>
      <c r="P2034" s="22" t="s">
        <v>13</v>
      </c>
      <c r="Q2034" s="22" t="s">
        <v>14</v>
      </c>
    </row>
    <row r="2035" spans="1:17" x14ac:dyDescent="0.3">
      <c r="A2035" s="27">
        <v>44</v>
      </c>
      <c r="B2035" s="24">
        <v>34.880000000000003</v>
      </c>
      <c r="C2035" s="25">
        <f>Sales!$B2035*Sales!$A2035</f>
        <v>1534.72</v>
      </c>
      <c r="D2035" s="26">
        <v>38012</v>
      </c>
      <c r="E2035" s="27" t="s">
        <v>9</v>
      </c>
      <c r="F2035" s="27">
        <v>1</v>
      </c>
      <c r="G2035" s="27">
        <v>1</v>
      </c>
      <c r="H2035" s="27">
        <v>2004</v>
      </c>
      <c r="I2035" s="27" t="s">
        <v>112</v>
      </c>
      <c r="J2035" s="25">
        <v>41</v>
      </c>
      <c r="K2035" s="25">
        <f>Sales!$B2035-Sales!$J2035</f>
        <v>-6.1199999999999974</v>
      </c>
      <c r="L2035" s="28">
        <f>(Sales!$J2035-Sales!$B2035)/Sales!$J2035</f>
        <v>0.14926829268292677</v>
      </c>
      <c r="M2035" s="28" t="str">
        <f t="shared" si="31"/>
        <v>10%-15%</v>
      </c>
      <c r="N2035" s="27" t="s">
        <v>45</v>
      </c>
      <c r="O2035" s="27" t="s">
        <v>46</v>
      </c>
      <c r="P2035" s="27" t="s">
        <v>17</v>
      </c>
      <c r="Q2035" s="27" t="s">
        <v>14</v>
      </c>
    </row>
    <row r="2036" spans="1:17" x14ac:dyDescent="0.3">
      <c r="A2036" s="22">
        <v>27</v>
      </c>
      <c r="B2036" s="19">
        <v>43.9</v>
      </c>
      <c r="C2036" s="20">
        <f>Sales!$B2036*Sales!$A2036</f>
        <v>1185.3</v>
      </c>
      <c r="D2036" s="21">
        <v>38048</v>
      </c>
      <c r="E2036" s="22" t="s">
        <v>9</v>
      </c>
      <c r="F2036" s="22">
        <v>1</v>
      </c>
      <c r="G2036" s="22">
        <v>3</v>
      </c>
      <c r="H2036" s="22">
        <v>2004</v>
      </c>
      <c r="I2036" s="22" t="s">
        <v>112</v>
      </c>
      <c r="J2036" s="20">
        <v>41</v>
      </c>
      <c r="K2036" s="20">
        <f>Sales!$B2036-Sales!$J2036</f>
        <v>2.8999999999999986</v>
      </c>
      <c r="L2036" s="23">
        <f>(Sales!$J2036-Sales!$B2036)/Sales!$J2036</f>
        <v>-7.0731707317073136E-2</v>
      </c>
      <c r="M2036" s="23" t="str">
        <f t="shared" si="31"/>
        <v>Below 0%</v>
      </c>
      <c r="N2036" s="22" t="s">
        <v>54</v>
      </c>
      <c r="O2036" s="22" t="s">
        <v>16</v>
      </c>
      <c r="P2036" s="22" t="s">
        <v>17</v>
      </c>
      <c r="Q2036" s="22" t="s">
        <v>14</v>
      </c>
    </row>
    <row r="2037" spans="1:17" x14ac:dyDescent="0.3">
      <c r="A2037" s="27">
        <v>46</v>
      </c>
      <c r="B2037" s="24">
        <v>36.93</v>
      </c>
      <c r="C2037" s="25">
        <f>Sales!$B2037*Sales!$A2037</f>
        <v>1698.78</v>
      </c>
      <c r="D2037" s="26">
        <v>38097</v>
      </c>
      <c r="E2037" s="27" t="s">
        <v>9</v>
      </c>
      <c r="F2037" s="27">
        <v>2</v>
      </c>
      <c r="G2037" s="27">
        <v>4</v>
      </c>
      <c r="H2037" s="27">
        <v>2004</v>
      </c>
      <c r="I2037" s="27" t="s">
        <v>112</v>
      </c>
      <c r="J2037" s="25">
        <v>41</v>
      </c>
      <c r="K2037" s="25">
        <f>Sales!$B2037-Sales!$J2037</f>
        <v>-4.07</v>
      </c>
      <c r="L2037" s="28">
        <f>(Sales!$J2037-Sales!$B2037)/Sales!$J2037</f>
        <v>9.9268292682926834E-2</v>
      </c>
      <c r="M2037" s="28" t="str">
        <f t="shared" si="31"/>
        <v>5%-10%</v>
      </c>
      <c r="N2037" s="27" t="s">
        <v>11</v>
      </c>
      <c r="O2037" s="27" t="s">
        <v>12</v>
      </c>
      <c r="P2037" s="27" t="s">
        <v>13</v>
      </c>
      <c r="Q2037" s="27" t="s">
        <v>14</v>
      </c>
    </row>
    <row r="2038" spans="1:17" x14ac:dyDescent="0.3">
      <c r="A2038" s="22">
        <v>33</v>
      </c>
      <c r="B2038" s="19">
        <v>41.85</v>
      </c>
      <c r="C2038" s="20">
        <f>Sales!$B2038*Sales!$A2038</f>
        <v>1381.05</v>
      </c>
      <c r="D2038" s="21">
        <v>38216</v>
      </c>
      <c r="E2038" s="22" t="s">
        <v>9</v>
      </c>
      <c r="F2038" s="22">
        <v>3</v>
      </c>
      <c r="G2038" s="22">
        <v>8</v>
      </c>
      <c r="H2038" s="22">
        <v>2004</v>
      </c>
      <c r="I2038" s="22" t="s">
        <v>112</v>
      </c>
      <c r="J2038" s="20">
        <v>41</v>
      </c>
      <c r="K2038" s="20">
        <f>Sales!$B2038-Sales!$J2038</f>
        <v>0.85000000000000142</v>
      </c>
      <c r="L2038" s="23">
        <f>(Sales!$J2038-Sales!$B2038)/Sales!$J2038</f>
        <v>-2.0731707317073206E-2</v>
      </c>
      <c r="M2038" s="23" t="str">
        <f t="shared" si="31"/>
        <v>Below 0%</v>
      </c>
      <c r="N2038" s="22" t="s">
        <v>60</v>
      </c>
      <c r="O2038" s="22" t="s">
        <v>61</v>
      </c>
      <c r="P2038" s="22" t="s">
        <v>17</v>
      </c>
      <c r="Q2038" s="22" t="s">
        <v>14</v>
      </c>
    </row>
    <row r="2039" spans="1:17" x14ac:dyDescent="0.3">
      <c r="A2039" s="27">
        <v>33</v>
      </c>
      <c r="B2039" s="24">
        <v>40.619999999999997</v>
      </c>
      <c r="C2039" s="25">
        <f>Sales!$B2039*Sales!$A2039</f>
        <v>1340.4599999999998</v>
      </c>
      <c r="D2039" s="26">
        <v>38231</v>
      </c>
      <c r="E2039" s="27" t="s">
        <v>9</v>
      </c>
      <c r="F2039" s="27">
        <v>3</v>
      </c>
      <c r="G2039" s="27">
        <v>9</v>
      </c>
      <c r="H2039" s="27">
        <v>2004</v>
      </c>
      <c r="I2039" s="27" t="s">
        <v>112</v>
      </c>
      <c r="J2039" s="25">
        <v>41</v>
      </c>
      <c r="K2039" s="25">
        <f>Sales!$B2039-Sales!$J2039</f>
        <v>-0.38000000000000256</v>
      </c>
      <c r="L2039" s="28">
        <f>(Sales!$J2039-Sales!$B2039)/Sales!$J2039</f>
        <v>9.2682926829268913E-3</v>
      </c>
      <c r="M2039" s="28" t="str">
        <f t="shared" si="31"/>
        <v>0%-5%</v>
      </c>
      <c r="N2039" s="27" t="s">
        <v>50</v>
      </c>
      <c r="O2039" s="27" t="s">
        <v>50</v>
      </c>
      <c r="P2039" s="27" t="s">
        <v>28</v>
      </c>
      <c r="Q2039" s="27" t="s">
        <v>14</v>
      </c>
    </row>
    <row r="2040" spans="1:17" x14ac:dyDescent="0.3">
      <c r="A2040" s="22">
        <v>24</v>
      </c>
      <c r="B2040" s="19">
        <v>40.21</v>
      </c>
      <c r="C2040" s="20">
        <f>Sales!$B2040*Sales!$A2040</f>
        <v>965.04</v>
      </c>
      <c r="D2040" s="21">
        <v>38266</v>
      </c>
      <c r="E2040" s="22" t="s">
        <v>9</v>
      </c>
      <c r="F2040" s="22">
        <v>4</v>
      </c>
      <c r="G2040" s="22">
        <v>10</v>
      </c>
      <c r="H2040" s="22">
        <v>2004</v>
      </c>
      <c r="I2040" s="22" t="s">
        <v>112</v>
      </c>
      <c r="J2040" s="20">
        <v>41</v>
      </c>
      <c r="K2040" s="20">
        <f>Sales!$B2040-Sales!$J2040</f>
        <v>-0.78999999999999915</v>
      </c>
      <c r="L2040" s="23">
        <f>(Sales!$J2040-Sales!$B2040)/Sales!$J2040</f>
        <v>1.9268292682926808E-2</v>
      </c>
      <c r="M2040" s="23" t="str">
        <f t="shared" si="31"/>
        <v>0%-5%</v>
      </c>
      <c r="N2040" s="22" t="s">
        <v>106</v>
      </c>
      <c r="O2040" s="22" t="s">
        <v>46</v>
      </c>
      <c r="P2040" s="22" t="s">
        <v>17</v>
      </c>
      <c r="Q2040" s="22" t="s">
        <v>14</v>
      </c>
    </row>
    <row r="2041" spans="1:17" x14ac:dyDescent="0.3">
      <c r="A2041" s="27">
        <v>31</v>
      </c>
      <c r="B2041" s="24">
        <v>35.29</v>
      </c>
      <c r="C2041" s="25">
        <f>Sales!$B2041*Sales!$A2041</f>
        <v>1093.99</v>
      </c>
      <c r="D2041" s="26">
        <v>38281</v>
      </c>
      <c r="E2041" s="27" t="s">
        <v>9</v>
      </c>
      <c r="F2041" s="27">
        <v>4</v>
      </c>
      <c r="G2041" s="27">
        <v>10</v>
      </c>
      <c r="H2041" s="27">
        <v>2004</v>
      </c>
      <c r="I2041" s="27" t="s">
        <v>112</v>
      </c>
      <c r="J2041" s="25">
        <v>41</v>
      </c>
      <c r="K2041" s="25">
        <f>Sales!$B2041-Sales!$J2041</f>
        <v>-5.7100000000000009</v>
      </c>
      <c r="L2041" s="28">
        <f>(Sales!$J2041-Sales!$B2041)/Sales!$J2041</f>
        <v>0.13926829268292684</v>
      </c>
      <c r="M2041" s="28" t="str">
        <f t="shared" si="31"/>
        <v>10%-15%</v>
      </c>
      <c r="N2041" s="27" t="s">
        <v>64</v>
      </c>
      <c r="O2041" s="27" t="s">
        <v>12</v>
      </c>
      <c r="P2041" s="27" t="s">
        <v>13</v>
      </c>
      <c r="Q2041" s="27" t="s">
        <v>14</v>
      </c>
    </row>
    <row r="2042" spans="1:17" x14ac:dyDescent="0.3">
      <c r="A2042" s="22">
        <v>41</v>
      </c>
      <c r="B2042" s="19">
        <v>77.239999999999995</v>
      </c>
      <c r="C2042" s="20">
        <f>Sales!$B2042*Sales!$A2042</f>
        <v>3166.8399999999997</v>
      </c>
      <c r="D2042" s="21">
        <v>38308</v>
      </c>
      <c r="E2042" s="22" t="s">
        <v>9</v>
      </c>
      <c r="F2042" s="22">
        <v>4</v>
      </c>
      <c r="G2042" s="22">
        <v>11</v>
      </c>
      <c r="H2042" s="22">
        <v>2004</v>
      </c>
      <c r="I2042" s="22" t="s">
        <v>112</v>
      </c>
      <c r="J2042" s="20">
        <v>41</v>
      </c>
      <c r="K2042" s="20">
        <f>Sales!$B2042-Sales!$J2042</f>
        <v>36.239999999999995</v>
      </c>
      <c r="L2042" s="23">
        <f>(Sales!$J2042-Sales!$B2042)/Sales!$J2042</f>
        <v>-0.88390243902439014</v>
      </c>
      <c r="M2042" s="23" t="str">
        <f t="shared" si="31"/>
        <v>Below 0%</v>
      </c>
      <c r="N2042" s="22" t="s">
        <v>102</v>
      </c>
      <c r="O2042" s="22" t="s">
        <v>43</v>
      </c>
      <c r="P2042" s="22" t="s">
        <v>17</v>
      </c>
      <c r="Q2042" s="22" t="s">
        <v>19</v>
      </c>
    </row>
    <row r="2043" spans="1:17" x14ac:dyDescent="0.3">
      <c r="A2043" s="27">
        <v>22</v>
      </c>
      <c r="B2043" s="24">
        <v>97.44</v>
      </c>
      <c r="C2043" s="25">
        <f>Sales!$B2043*Sales!$A2043</f>
        <v>2143.6799999999998</v>
      </c>
      <c r="D2043" s="26">
        <v>38320</v>
      </c>
      <c r="E2043" s="27" t="s">
        <v>9</v>
      </c>
      <c r="F2043" s="27">
        <v>4</v>
      </c>
      <c r="G2043" s="27">
        <v>11</v>
      </c>
      <c r="H2043" s="27">
        <v>2004</v>
      </c>
      <c r="I2043" s="27" t="s">
        <v>112</v>
      </c>
      <c r="J2043" s="25">
        <v>41</v>
      </c>
      <c r="K2043" s="25">
        <f>Sales!$B2043-Sales!$J2043</f>
        <v>56.44</v>
      </c>
      <c r="L2043" s="28">
        <f>(Sales!$J2043-Sales!$B2043)/Sales!$J2043</f>
        <v>-1.3765853658536584</v>
      </c>
      <c r="M2043" s="28" t="str">
        <f t="shared" si="31"/>
        <v>Below 0%</v>
      </c>
      <c r="N2043" s="27" t="s">
        <v>109</v>
      </c>
      <c r="O2043" s="27" t="s">
        <v>12</v>
      </c>
      <c r="P2043" s="27" t="s">
        <v>13</v>
      </c>
      <c r="Q2043" s="27" t="s">
        <v>14</v>
      </c>
    </row>
    <row r="2044" spans="1:17" x14ac:dyDescent="0.3">
      <c r="A2044" s="22">
        <v>46</v>
      </c>
      <c r="B2044" s="19">
        <v>37.340000000000003</v>
      </c>
      <c r="C2044" s="20">
        <f>Sales!$B2044*Sales!$A2044</f>
        <v>1717.64</v>
      </c>
      <c r="D2044" s="21">
        <v>38371</v>
      </c>
      <c r="E2044" s="22" t="s">
        <v>9</v>
      </c>
      <c r="F2044" s="22">
        <v>1</v>
      </c>
      <c r="G2044" s="22">
        <v>1</v>
      </c>
      <c r="H2044" s="22">
        <v>2005</v>
      </c>
      <c r="I2044" s="22" t="s">
        <v>112</v>
      </c>
      <c r="J2044" s="20">
        <v>41</v>
      </c>
      <c r="K2044" s="20">
        <f>Sales!$B2044-Sales!$J2044</f>
        <v>-3.6599999999999966</v>
      </c>
      <c r="L2044" s="23">
        <f>(Sales!$J2044-Sales!$B2044)/Sales!$J2044</f>
        <v>8.9268292682926742E-2</v>
      </c>
      <c r="M2044" s="23" t="str">
        <f t="shared" si="31"/>
        <v>5%-10%</v>
      </c>
      <c r="N2044" s="22" t="s">
        <v>64</v>
      </c>
      <c r="O2044" s="22" t="s">
        <v>12</v>
      </c>
      <c r="P2044" s="22" t="s">
        <v>13</v>
      </c>
      <c r="Q2044" s="22" t="s">
        <v>14</v>
      </c>
    </row>
    <row r="2045" spans="1:17" x14ac:dyDescent="0.3">
      <c r="A2045" s="27">
        <v>43</v>
      </c>
      <c r="B2045" s="24">
        <v>95.03</v>
      </c>
      <c r="C2045" s="25">
        <f>Sales!$B2045*Sales!$A2045</f>
        <v>4086.29</v>
      </c>
      <c r="D2045" s="26">
        <v>38399</v>
      </c>
      <c r="E2045" s="27" t="s">
        <v>9</v>
      </c>
      <c r="F2045" s="27">
        <v>1</v>
      </c>
      <c r="G2045" s="27">
        <v>2</v>
      </c>
      <c r="H2045" s="27">
        <v>2005</v>
      </c>
      <c r="I2045" s="27" t="s">
        <v>112</v>
      </c>
      <c r="J2045" s="25">
        <v>41</v>
      </c>
      <c r="K2045" s="25">
        <f>Sales!$B2045-Sales!$J2045</f>
        <v>54.03</v>
      </c>
      <c r="L2045" s="28">
        <f>(Sales!$J2045-Sales!$B2045)/Sales!$J2045</f>
        <v>-1.3178048780487805</v>
      </c>
      <c r="M2045" s="28" t="str">
        <f t="shared" si="31"/>
        <v>Below 0%</v>
      </c>
      <c r="N2045" s="27" t="s">
        <v>45</v>
      </c>
      <c r="O2045" s="27" t="s">
        <v>46</v>
      </c>
      <c r="P2045" s="27" t="s">
        <v>17</v>
      </c>
      <c r="Q2045" s="27" t="s">
        <v>19</v>
      </c>
    </row>
    <row r="2046" spans="1:17" x14ac:dyDescent="0.3">
      <c r="A2046" s="22">
        <v>15</v>
      </c>
      <c r="B2046" s="19">
        <v>36.93</v>
      </c>
      <c r="C2046" s="20">
        <f>Sales!$B2046*Sales!$A2046</f>
        <v>553.95000000000005</v>
      </c>
      <c r="D2046" s="21">
        <v>38464</v>
      </c>
      <c r="E2046" s="22" t="s">
        <v>9</v>
      </c>
      <c r="F2046" s="22">
        <v>2</v>
      </c>
      <c r="G2046" s="22">
        <v>4</v>
      </c>
      <c r="H2046" s="22">
        <v>2005</v>
      </c>
      <c r="I2046" s="22" t="s">
        <v>112</v>
      </c>
      <c r="J2046" s="20">
        <v>41</v>
      </c>
      <c r="K2046" s="20">
        <f>Sales!$B2046-Sales!$J2046</f>
        <v>-4.07</v>
      </c>
      <c r="L2046" s="23">
        <f>(Sales!$J2046-Sales!$B2046)/Sales!$J2046</f>
        <v>9.9268292682926834E-2</v>
      </c>
      <c r="M2046" s="23" t="str">
        <f t="shared" si="31"/>
        <v>5%-10%</v>
      </c>
      <c r="N2046" s="22" t="s">
        <v>59</v>
      </c>
      <c r="O2046" s="22" t="s">
        <v>51</v>
      </c>
      <c r="P2046" s="22" t="s">
        <v>51</v>
      </c>
      <c r="Q2046" s="22" t="s">
        <v>14</v>
      </c>
    </row>
    <row r="2047" spans="1:17" x14ac:dyDescent="0.3">
      <c r="A2047" s="27">
        <v>15</v>
      </c>
      <c r="B2047" s="24">
        <v>43.49</v>
      </c>
      <c r="C2047" s="25">
        <f>Sales!$B2047*Sales!$A2047</f>
        <v>652.35</v>
      </c>
      <c r="D2047" s="26">
        <v>38501</v>
      </c>
      <c r="E2047" s="27" t="s">
        <v>69</v>
      </c>
      <c r="F2047" s="27">
        <v>2</v>
      </c>
      <c r="G2047" s="27">
        <v>5</v>
      </c>
      <c r="H2047" s="27">
        <v>2005</v>
      </c>
      <c r="I2047" s="27" t="s">
        <v>112</v>
      </c>
      <c r="J2047" s="25">
        <v>41</v>
      </c>
      <c r="K2047" s="25">
        <f>Sales!$B2047-Sales!$J2047</f>
        <v>2.490000000000002</v>
      </c>
      <c r="L2047" s="28">
        <f>(Sales!$J2047-Sales!$B2047)/Sales!$J2047</f>
        <v>-6.0731707317073218E-2</v>
      </c>
      <c r="M2047" s="28" t="str">
        <f t="shared" si="31"/>
        <v>Below 0%</v>
      </c>
      <c r="N2047" s="27" t="s">
        <v>40</v>
      </c>
      <c r="O2047" s="27" t="s">
        <v>27</v>
      </c>
      <c r="P2047" s="27" t="s">
        <v>28</v>
      </c>
      <c r="Q2047" s="27" t="s">
        <v>14</v>
      </c>
    </row>
    <row r="2048" spans="1:17" x14ac:dyDescent="0.3">
      <c r="A2048" s="22">
        <v>26</v>
      </c>
      <c r="B2048" s="19">
        <v>100</v>
      </c>
      <c r="C2048" s="20">
        <f>Sales!$B2048*Sales!$A2048</f>
        <v>2600</v>
      </c>
      <c r="D2048" s="21">
        <v>37652</v>
      </c>
      <c r="E2048" s="22" t="s">
        <v>9</v>
      </c>
      <c r="F2048" s="22">
        <v>1</v>
      </c>
      <c r="G2048" s="22">
        <v>1</v>
      </c>
      <c r="H2048" s="22">
        <v>2003</v>
      </c>
      <c r="I2048" s="22" t="s">
        <v>47</v>
      </c>
      <c r="J2048" s="20">
        <v>118</v>
      </c>
      <c r="K2048" s="20">
        <f>Sales!$B2048-Sales!$J2048</f>
        <v>-18</v>
      </c>
      <c r="L2048" s="23">
        <f>(Sales!$J2048-Sales!$B2048)/Sales!$J2048</f>
        <v>0.15254237288135594</v>
      </c>
      <c r="M2048" s="23" t="s">
        <v>132</v>
      </c>
      <c r="N2048" s="22" t="s">
        <v>45</v>
      </c>
      <c r="O2048" s="22" t="s">
        <v>46</v>
      </c>
      <c r="P2048" s="22" t="s">
        <v>17</v>
      </c>
      <c r="Q2048" s="22" t="s">
        <v>14</v>
      </c>
    </row>
    <row r="2049" spans="1:17" x14ac:dyDescent="0.3">
      <c r="A2049" s="27">
        <v>44</v>
      </c>
      <c r="B2049" s="24">
        <v>100</v>
      </c>
      <c r="C2049" s="25">
        <f>Sales!$B2049*Sales!$A2049</f>
        <v>4400</v>
      </c>
      <c r="D2049" s="26">
        <v>37715</v>
      </c>
      <c r="E2049" s="27" t="s">
        <v>9</v>
      </c>
      <c r="F2049" s="27">
        <v>2</v>
      </c>
      <c r="G2049" s="27">
        <v>4</v>
      </c>
      <c r="H2049" s="27">
        <v>2003</v>
      </c>
      <c r="I2049" s="27" t="s">
        <v>47</v>
      </c>
      <c r="J2049" s="25">
        <v>118</v>
      </c>
      <c r="K2049" s="25">
        <f>Sales!$B2049-Sales!$J2049</f>
        <v>-18</v>
      </c>
      <c r="L2049" s="28">
        <f>(Sales!$J2049-Sales!$B2049)/Sales!$J2049</f>
        <v>0.15254237288135594</v>
      </c>
      <c r="M2049" s="28" t="s">
        <v>132</v>
      </c>
      <c r="N2049" s="27" t="s">
        <v>11</v>
      </c>
      <c r="O2049" s="27" t="s">
        <v>12</v>
      </c>
      <c r="P2049" s="27" t="s">
        <v>13</v>
      </c>
      <c r="Q2049" s="27" t="s">
        <v>19</v>
      </c>
    </row>
    <row r="2050" spans="1:17" x14ac:dyDescent="0.3">
      <c r="A2050" s="22">
        <v>20</v>
      </c>
      <c r="B2050" s="19">
        <v>96.99</v>
      </c>
      <c r="C2050" s="20">
        <f>Sales!$B2050*Sales!$A2050</f>
        <v>1939.8</v>
      </c>
      <c r="D2050" s="21">
        <v>37775</v>
      </c>
      <c r="E2050" s="22" t="s">
        <v>9</v>
      </c>
      <c r="F2050" s="22">
        <v>2</v>
      </c>
      <c r="G2050" s="22">
        <v>6</v>
      </c>
      <c r="H2050" s="22">
        <v>2003</v>
      </c>
      <c r="I2050" s="22" t="s">
        <v>47</v>
      </c>
      <c r="J2050" s="20">
        <v>118</v>
      </c>
      <c r="K2050" s="20">
        <f>Sales!$B2050-Sales!$J2050</f>
        <v>-21.010000000000005</v>
      </c>
      <c r="L2050" s="23">
        <f>(Sales!$J2050-Sales!$B2050)/Sales!$J2050</f>
        <v>0.17805084745762717</v>
      </c>
      <c r="M2050" s="23" t="str">
        <f t="shared" si="31"/>
        <v>15%-20%</v>
      </c>
      <c r="N2050" s="22" t="s">
        <v>11</v>
      </c>
      <c r="O2050" s="22" t="s">
        <v>12</v>
      </c>
      <c r="P2050" s="22" t="s">
        <v>13</v>
      </c>
      <c r="Q2050" s="22" t="s">
        <v>14</v>
      </c>
    </row>
    <row r="2051" spans="1:17" x14ac:dyDescent="0.3">
      <c r="A2051" s="27">
        <v>40</v>
      </c>
      <c r="B2051" s="24">
        <v>94.62</v>
      </c>
      <c r="C2051" s="25">
        <f>Sales!$B2051*Sales!$A2051</f>
        <v>3784.8</v>
      </c>
      <c r="D2051" s="26">
        <v>37834</v>
      </c>
      <c r="E2051" s="27" t="s">
        <v>9</v>
      </c>
      <c r="F2051" s="27">
        <v>3</v>
      </c>
      <c r="G2051" s="27">
        <v>8</v>
      </c>
      <c r="H2051" s="27">
        <v>2003</v>
      </c>
      <c r="I2051" s="27" t="s">
        <v>47</v>
      </c>
      <c r="J2051" s="25">
        <v>118</v>
      </c>
      <c r="K2051" s="25">
        <f>Sales!$B2051-Sales!$J2051</f>
        <v>-23.379999999999995</v>
      </c>
      <c r="L2051" s="28">
        <f>(Sales!$J2051-Sales!$B2051)/Sales!$J2051</f>
        <v>0.19813559322033894</v>
      </c>
      <c r="M2051" s="28" t="str">
        <f t="shared" ref="M2051:M2114" si="32">IF(L2051&lt;0%,"Below 0%",IF(L2051=0%,"0%",IF(AND(L2051&lt;=5%,L2051&gt;0%),"0%-5%",IF(AND(L2051&lt;=10%,L2051&gt;5%),"5%-10%",IF(AND(L2051&lt;=15%,L2051&gt;10%),"10%-15%",IF(AND(L2051&lt;=20%,L2051&gt;15%),"15%-20%","+20%"))))))</f>
        <v>15%-20%</v>
      </c>
      <c r="N2051" s="27" t="s">
        <v>99</v>
      </c>
      <c r="O2051" s="27" t="s">
        <v>34</v>
      </c>
      <c r="P2051" s="27" t="s">
        <v>17</v>
      </c>
      <c r="Q2051" s="27" t="s">
        <v>19</v>
      </c>
    </row>
    <row r="2052" spans="1:17" x14ac:dyDescent="0.3">
      <c r="A2052" s="22">
        <v>23</v>
      </c>
      <c r="B2052" s="19">
        <v>100</v>
      </c>
      <c r="C2052" s="20">
        <f>Sales!$B2052*Sales!$A2052</f>
        <v>2300</v>
      </c>
      <c r="D2052" s="21">
        <v>37889</v>
      </c>
      <c r="E2052" s="22" t="s">
        <v>9</v>
      </c>
      <c r="F2052" s="22">
        <v>3</v>
      </c>
      <c r="G2052" s="22">
        <v>9</v>
      </c>
      <c r="H2052" s="22">
        <v>2003</v>
      </c>
      <c r="I2052" s="22" t="s">
        <v>47</v>
      </c>
      <c r="J2052" s="20">
        <v>118</v>
      </c>
      <c r="K2052" s="20">
        <f>Sales!$B2052-Sales!$J2052</f>
        <v>-18</v>
      </c>
      <c r="L2052" s="23">
        <f>(Sales!$J2052-Sales!$B2052)/Sales!$J2052</f>
        <v>0.15254237288135594</v>
      </c>
      <c r="M2052" s="23" t="s">
        <v>132</v>
      </c>
      <c r="N2052" s="22" t="s">
        <v>52</v>
      </c>
      <c r="O2052" s="22" t="s">
        <v>27</v>
      </c>
      <c r="P2052" s="22" t="s">
        <v>28</v>
      </c>
      <c r="Q2052" s="22" t="s">
        <v>14</v>
      </c>
    </row>
    <row r="2053" spans="1:17" x14ac:dyDescent="0.3">
      <c r="A2053" s="27">
        <v>24</v>
      </c>
      <c r="B2053" s="24">
        <v>99.36</v>
      </c>
      <c r="C2053" s="25">
        <f>Sales!$B2053*Sales!$A2053</f>
        <v>2384.64</v>
      </c>
      <c r="D2053" s="26">
        <v>37916</v>
      </c>
      <c r="E2053" s="27" t="s">
        <v>9</v>
      </c>
      <c r="F2053" s="27">
        <v>4</v>
      </c>
      <c r="G2053" s="27">
        <v>10</v>
      </c>
      <c r="H2053" s="27">
        <v>2003</v>
      </c>
      <c r="I2053" s="27" t="s">
        <v>47</v>
      </c>
      <c r="J2053" s="25">
        <v>118</v>
      </c>
      <c r="K2053" s="25">
        <f>Sales!$B2053-Sales!$J2053</f>
        <v>-18.64</v>
      </c>
      <c r="L2053" s="28">
        <f>(Sales!$J2053-Sales!$B2053)/Sales!$J2053</f>
        <v>0.15796610169491526</v>
      </c>
      <c r="M2053" s="28" t="str">
        <f t="shared" si="32"/>
        <v>15%-20%</v>
      </c>
      <c r="N2053" s="27" t="s">
        <v>50</v>
      </c>
      <c r="O2053" s="27" t="s">
        <v>50</v>
      </c>
      <c r="P2053" s="27" t="s">
        <v>28</v>
      </c>
      <c r="Q2053" s="27" t="s">
        <v>14</v>
      </c>
    </row>
    <row r="2054" spans="1:17" x14ac:dyDescent="0.3">
      <c r="A2054" s="22">
        <v>29</v>
      </c>
      <c r="B2054" s="19">
        <v>100</v>
      </c>
      <c r="C2054" s="20">
        <f>Sales!$B2054*Sales!$A2054</f>
        <v>2900</v>
      </c>
      <c r="D2054" s="21">
        <v>37931</v>
      </c>
      <c r="E2054" s="22" t="s">
        <v>9</v>
      </c>
      <c r="F2054" s="22">
        <v>4</v>
      </c>
      <c r="G2054" s="22">
        <v>11</v>
      </c>
      <c r="H2054" s="22">
        <v>2003</v>
      </c>
      <c r="I2054" s="22" t="s">
        <v>47</v>
      </c>
      <c r="J2054" s="20">
        <v>118</v>
      </c>
      <c r="K2054" s="20">
        <f>Sales!$B2054-Sales!$J2054</f>
        <v>-18</v>
      </c>
      <c r="L2054" s="23">
        <f>(Sales!$J2054-Sales!$B2054)/Sales!$J2054</f>
        <v>0.15254237288135594</v>
      </c>
      <c r="M2054" s="23" t="s">
        <v>132</v>
      </c>
      <c r="N2054" s="22" t="s">
        <v>97</v>
      </c>
      <c r="O2054" s="22" t="s">
        <v>61</v>
      </c>
      <c r="P2054" s="22" t="s">
        <v>17</v>
      </c>
      <c r="Q2054" s="22" t="s">
        <v>14</v>
      </c>
    </row>
    <row r="2055" spans="1:17" x14ac:dyDescent="0.3">
      <c r="A2055" s="27">
        <v>49</v>
      </c>
      <c r="B2055" s="24">
        <v>100</v>
      </c>
      <c r="C2055" s="25">
        <f>Sales!$B2055*Sales!$A2055</f>
        <v>4900</v>
      </c>
      <c r="D2055" s="26">
        <v>37939</v>
      </c>
      <c r="E2055" s="27" t="s">
        <v>9</v>
      </c>
      <c r="F2055" s="27">
        <v>4</v>
      </c>
      <c r="G2055" s="27">
        <v>11</v>
      </c>
      <c r="H2055" s="27">
        <v>2003</v>
      </c>
      <c r="I2055" s="27" t="s">
        <v>47</v>
      </c>
      <c r="J2055" s="25">
        <v>118</v>
      </c>
      <c r="K2055" s="25">
        <f>Sales!$B2055-Sales!$J2055</f>
        <v>-18</v>
      </c>
      <c r="L2055" s="28">
        <f>(Sales!$J2055-Sales!$B2055)/Sales!$J2055</f>
        <v>0.15254237288135594</v>
      </c>
      <c r="M2055" s="28" t="s">
        <v>132</v>
      </c>
      <c r="N2055" s="27" t="s">
        <v>106</v>
      </c>
      <c r="O2055" s="27" t="s">
        <v>46</v>
      </c>
      <c r="P2055" s="27" t="s">
        <v>17</v>
      </c>
      <c r="Q2055" s="27" t="s">
        <v>19</v>
      </c>
    </row>
    <row r="2056" spans="1:17" x14ac:dyDescent="0.3">
      <c r="A2056" s="22">
        <v>34</v>
      </c>
      <c r="B2056" s="19">
        <v>100</v>
      </c>
      <c r="C2056" s="20">
        <f>Sales!$B2056*Sales!$A2056</f>
        <v>3400</v>
      </c>
      <c r="D2056" s="21">
        <v>37950</v>
      </c>
      <c r="E2056" s="22" t="s">
        <v>9</v>
      </c>
      <c r="F2056" s="22">
        <v>4</v>
      </c>
      <c r="G2056" s="22">
        <v>11</v>
      </c>
      <c r="H2056" s="22">
        <v>2003</v>
      </c>
      <c r="I2056" s="22" t="s">
        <v>47</v>
      </c>
      <c r="J2056" s="20">
        <v>118</v>
      </c>
      <c r="K2056" s="20">
        <f>Sales!$B2056-Sales!$J2056</f>
        <v>-18</v>
      </c>
      <c r="L2056" s="23">
        <f>(Sales!$J2056-Sales!$B2056)/Sales!$J2056</f>
        <v>0.15254237288135594</v>
      </c>
      <c r="M2056" s="23" t="s">
        <v>132</v>
      </c>
      <c r="N2056" s="22" t="s">
        <v>71</v>
      </c>
      <c r="O2056" s="22" t="s">
        <v>12</v>
      </c>
      <c r="P2056" s="22" t="s">
        <v>13</v>
      </c>
      <c r="Q2056" s="22" t="s">
        <v>19</v>
      </c>
    </row>
    <row r="2057" spans="1:17" x14ac:dyDescent="0.3">
      <c r="A2057" s="27">
        <v>28</v>
      </c>
      <c r="B2057" s="24">
        <v>100</v>
      </c>
      <c r="C2057" s="25">
        <f>Sales!$B2057*Sales!$A2057</f>
        <v>2800</v>
      </c>
      <c r="D2057" s="26">
        <v>37964</v>
      </c>
      <c r="E2057" s="27" t="s">
        <v>9</v>
      </c>
      <c r="F2057" s="27">
        <v>4</v>
      </c>
      <c r="G2057" s="27">
        <v>12</v>
      </c>
      <c r="H2057" s="27">
        <v>2003</v>
      </c>
      <c r="I2057" s="27" t="s">
        <v>47</v>
      </c>
      <c r="J2057" s="25">
        <v>118</v>
      </c>
      <c r="K2057" s="25">
        <f>Sales!$B2057-Sales!$J2057</f>
        <v>-18</v>
      </c>
      <c r="L2057" s="28">
        <f>(Sales!$J2057-Sales!$B2057)/Sales!$J2057</f>
        <v>0.15254237288135594</v>
      </c>
      <c r="M2057" s="28" t="s">
        <v>132</v>
      </c>
      <c r="N2057" s="27" t="s">
        <v>83</v>
      </c>
      <c r="O2057" s="27" t="s">
        <v>12</v>
      </c>
      <c r="P2057" s="27" t="s">
        <v>13</v>
      </c>
      <c r="Q2057" s="27" t="s">
        <v>14</v>
      </c>
    </row>
    <row r="2058" spans="1:17" x14ac:dyDescent="0.3">
      <c r="A2058" s="22">
        <v>37</v>
      </c>
      <c r="B2058" s="19">
        <v>100</v>
      </c>
      <c r="C2058" s="20">
        <f>Sales!$B2058*Sales!$A2058</f>
        <v>3700</v>
      </c>
      <c r="D2058" s="21">
        <v>38029</v>
      </c>
      <c r="E2058" s="22" t="s">
        <v>9</v>
      </c>
      <c r="F2058" s="22">
        <v>1</v>
      </c>
      <c r="G2058" s="22">
        <v>2</v>
      </c>
      <c r="H2058" s="22">
        <v>2004</v>
      </c>
      <c r="I2058" s="22" t="s">
        <v>47</v>
      </c>
      <c r="J2058" s="20">
        <v>118</v>
      </c>
      <c r="K2058" s="20">
        <f>Sales!$B2058-Sales!$J2058</f>
        <v>-18</v>
      </c>
      <c r="L2058" s="23">
        <f>(Sales!$J2058-Sales!$B2058)/Sales!$J2058</f>
        <v>0.15254237288135594</v>
      </c>
      <c r="M2058" s="23" t="s">
        <v>132</v>
      </c>
      <c r="N2058" s="22" t="s">
        <v>100</v>
      </c>
      <c r="O2058" s="22" t="s">
        <v>101</v>
      </c>
      <c r="P2058" s="22" t="s">
        <v>17</v>
      </c>
      <c r="Q2058" s="22" t="s">
        <v>19</v>
      </c>
    </row>
    <row r="2059" spans="1:17" x14ac:dyDescent="0.3">
      <c r="A2059" s="27">
        <v>45</v>
      </c>
      <c r="B2059" s="24">
        <v>100</v>
      </c>
      <c r="C2059" s="25">
        <f>Sales!$B2059*Sales!$A2059</f>
        <v>4500</v>
      </c>
      <c r="D2059" s="26">
        <v>38061</v>
      </c>
      <c r="E2059" s="27" t="s">
        <v>9</v>
      </c>
      <c r="F2059" s="27">
        <v>1</v>
      </c>
      <c r="G2059" s="27">
        <v>3</v>
      </c>
      <c r="H2059" s="27">
        <v>2004</v>
      </c>
      <c r="I2059" s="27" t="s">
        <v>47</v>
      </c>
      <c r="J2059" s="25">
        <v>118</v>
      </c>
      <c r="K2059" s="25">
        <f>Sales!$B2059-Sales!$J2059</f>
        <v>-18</v>
      </c>
      <c r="L2059" s="28">
        <f>(Sales!$J2059-Sales!$B2059)/Sales!$J2059</f>
        <v>0.15254237288135594</v>
      </c>
      <c r="M2059" s="28" t="s">
        <v>132</v>
      </c>
      <c r="N2059" s="27" t="s">
        <v>98</v>
      </c>
      <c r="O2059" s="27" t="s">
        <v>94</v>
      </c>
      <c r="P2059" s="27" t="s">
        <v>17</v>
      </c>
      <c r="Q2059" s="27" t="s">
        <v>19</v>
      </c>
    </row>
    <row r="2060" spans="1:17" x14ac:dyDescent="0.3">
      <c r="A2060" s="22">
        <v>46</v>
      </c>
      <c r="B2060" s="19">
        <v>100</v>
      </c>
      <c r="C2060" s="20">
        <f>Sales!$B2060*Sales!$A2060</f>
        <v>4600</v>
      </c>
      <c r="D2060" s="21">
        <v>38112</v>
      </c>
      <c r="E2060" s="22" t="s">
        <v>9</v>
      </c>
      <c r="F2060" s="22">
        <v>2</v>
      </c>
      <c r="G2060" s="22">
        <v>5</v>
      </c>
      <c r="H2060" s="22">
        <v>2004</v>
      </c>
      <c r="I2060" s="22" t="s">
        <v>47</v>
      </c>
      <c r="J2060" s="20">
        <v>118</v>
      </c>
      <c r="K2060" s="20">
        <f>Sales!$B2060-Sales!$J2060</f>
        <v>-18</v>
      </c>
      <c r="L2060" s="23">
        <f>(Sales!$J2060-Sales!$B2060)/Sales!$J2060</f>
        <v>0.15254237288135594</v>
      </c>
      <c r="M2060" s="23" t="s">
        <v>132</v>
      </c>
      <c r="N2060" s="22" t="s">
        <v>45</v>
      </c>
      <c r="O2060" s="22" t="s">
        <v>46</v>
      </c>
      <c r="P2060" s="22" t="s">
        <v>17</v>
      </c>
      <c r="Q2060" s="22" t="s">
        <v>19</v>
      </c>
    </row>
    <row r="2061" spans="1:17" x14ac:dyDescent="0.3">
      <c r="A2061" s="27">
        <v>22</v>
      </c>
      <c r="B2061" s="24">
        <v>100</v>
      </c>
      <c r="C2061" s="25">
        <f>Sales!$B2061*Sales!$A2061</f>
        <v>2200</v>
      </c>
      <c r="D2061" s="26">
        <v>38188</v>
      </c>
      <c r="E2061" s="27" t="s">
        <v>9</v>
      </c>
      <c r="F2061" s="27">
        <v>3</v>
      </c>
      <c r="G2061" s="27">
        <v>7</v>
      </c>
      <c r="H2061" s="27">
        <v>2004</v>
      </c>
      <c r="I2061" s="27" t="s">
        <v>47</v>
      </c>
      <c r="J2061" s="25">
        <v>118</v>
      </c>
      <c r="K2061" s="25">
        <f>Sales!$B2061-Sales!$J2061</f>
        <v>-18</v>
      </c>
      <c r="L2061" s="28">
        <f>(Sales!$J2061-Sales!$B2061)/Sales!$J2061</f>
        <v>0.15254237288135594</v>
      </c>
      <c r="M2061" s="28" t="s">
        <v>132</v>
      </c>
      <c r="N2061" s="27" t="s">
        <v>64</v>
      </c>
      <c r="O2061" s="27" t="s">
        <v>12</v>
      </c>
      <c r="P2061" s="27" t="s">
        <v>13</v>
      </c>
      <c r="Q2061" s="27" t="s">
        <v>19</v>
      </c>
    </row>
    <row r="2062" spans="1:17" x14ac:dyDescent="0.3">
      <c r="A2062" s="22">
        <v>39</v>
      </c>
      <c r="B2062" s="19">
        <v>100</v>
      </c>
      <c r="C2062" s="20">
        <f>Sales!$B2062*Sales!$A2062</f>
        <v>3900</v>
      </c>
      <c r="D2062" s="21">
        <v>38219</v>
      </c>
      <c r="E2062" s="22" t="s">
        <v>9</v>
      </c>
      <c r="F2062" s="22">
        <v>3</v>
      </c>
      <c r="G2062" s="22">
        <v>8</v>
      </c>
      <c r="H2062" s="22">
        <v>2004</v>
      </c>
      <c r="I2062" s="22" t="s">
        <v>47</v>
      </c>
      <c r="J2062" s="20">
        <v>118</v>
      </c>
      <c r="K2062" s="20">
        <f>Sales!$B2062-Sales!$J2062</f>
        <v>-18</v>
      </c>
      <c r="L2062" s="23">
        <f>(Sales!$J2062-Sales!$B2062)/Sales!$J2062</f>
        <v>0.15254237288135594</v>
      </c>
      <c r="M2062" s="23" t="s">
        <v>132</v>
      </c>
      <c r="N2062" s="22" t="s">
        <v>64</v>
      </c>
      <c r="O2062" s="22" t="s">
        <v>12</v>
      </c>
      <c r="P2062" s="22" t="s">
        <v>13</v>
      </c>
      <c r="Q2062" s="22" t="s">
        <v>19</v>
      </c>
    </row>
    <row r="2063" spans="1:17" x14ac:dyDescent="0.3">
      <c r="A2063" s="27">
        <v>27</v>
      </c>
      <c r="B2063" s="24">
        <v>100</v>
      </c>
      <c r="C2063" s="25">
        <f>Sales!$B2063*Sales!$A2063</f>
        <v>2700</v>
      </c>
      <c r="D2063" s="26">
        <v>38238</v>
      </c>
      <c r="E2063" s="27" t="s">
        <v>9</v>
      </c>
      <c r="F2063" s="27">
        <v>3</v>
      </c>
      <c r="G2063" s="27">
        <v>9</v>
      </c>
      <c r="H2063" s="27">
        <v>2004</v>
      </c>
      <c r="I2063" s="27" t="s">
        <v>47</v>
      </c>
      <c r="J2063" s="25">
        <v>118</v>
      </c>
      <c r="K2063" s="25">
        <f>Sales!$B2063-Sales!$J2063</f>
        <v>-18</v>
      </c>
      <c r="L2063" s="28">
        <f>(Sales!$J2063-Sales!$B2063)/Sales!$J2063</f>
        <v>0.15254237288135594</v>
      </c>
      <c r="M2063" s="28" t="s">
        <v>132</v>
      </c>
      <c r="N2063" s="27" t="s">
        <v>11</v>
      </c>
      <c r="O2063" s="27" t="s">
        <v>12</v>
      </c>
      <c r="P2063" s="27" t="s">
        <v>13</v>
      </c>
      <c r="Q2063" s="27" t="s">
        <v>19</v>
      </c>
    </row>
    <row r="2064" spans="1:17" x14ac:dyDescent="0.3">
      <c r="A2064" s="22">
        <v>36</v>
      </c>
      <c r="B2064" s="19">
        <v>100</v>
      </c>
      <c r="C2064" s="20">
        <f>Sales!$B2064*Sales!$A2064</f>
        <v>3600</v>
      </c>
      <c r="D2064" s="21">
        <v>38273</v>
      </c>
      <c r="E2064" s="22" t="s">
        <v>9</v>
      </c>
      <c r="F2064" s="22">
        <v>4</v>
      </c>
      <c r="G2064" s="22">
        <v>10</v>
      </c>
      <c r="H2064" s="22">
        <v>2004</v>
      </c>
      <c r="I2064" s="22" t="s">
        <v>47</v>
      </c>
      <c r="J2064" s="20">
        <v>118</v>
      </c>
      <c r="K2064" s="20">
        <f>Sales!$B2064-Sales!$J2064</f>
        <v>-18</v>
      </c>
      <c r="L2064" s="23">
        <f>(Sales!$J2064-Sales!$B2064)/Sales!$J2064</f>
        <v>0.15254237288135594</v>
      </c>
      <c r="M2064" s="23" t="s">
        <v>132</v>
      </c>
      <c r="N2064" s="22" t="s">
        <v>32</v>
      </c>
      <c r="O2064" s="22" t="s">
        <v>12</v>
      </c>
      <c r="P2064" s="22" t="s">
        <v>13</v>
      </c>
      <c r="Q2064" s="22" t="s">
        <v>19</v>
      </c>
    </row>
    <row r="2065" spans="1:17" x14ac:dyDescent="0.3">
      <c r="A2065" s="27">
        <v>38</v>
      </c>
      <c r="B2065" s="24">
        <v>100</v>
      </c>
      <c r="C2065" s="25">
        <f>Sales!$B2065*Sales!$A2065</f>
        <v>3800</v>
      </c>
      <c r="D2065" s="26">
        <v>38282</v>
      </c>
      <c r="E2065" s="27" t="s">
        <v>9</v>
      </c>
      <c r="F2065" s="27">
        <v>4</v>
      </c>
      <c r="G2065" s="27">
        <v>10</v>
      </c>
      <c r="H2065" s="27">
        <v>2004</v>
      </c>
      <c r="I2065" s="27" t="s">
        <v>47</v>
      </c>
      <c r="J2065" s="25">
        <v>118</v>
      </c>
      <c r="K2065" s="25">
        <f>Sales!$B2065-Sales!$J2065</f>
        <v>-18</v>
      </c>
      <c r="L2065" s="28">
        <f>(Sales!$J2065-Sales!$B2065)/Sales!$J2065</f>
        <v>0.15254237288135594</v>
      </c>
      <c r="M2065" s="28" t="s">
        <v>132</v>
      </c>
      <c r="N2065" s="27" t="s">
        <v>103</v>
      </c>
      <c r="O2065" s="27" t="s">
        <v>73</v>
      </c>
      <c r="P2065" s="27" t="s">
        <v>17</v>
      </c>
      <c r="Q2065" s="27" t="s">
        <v>19</v>
      </c>
    </row>
    <row r="2066" spans="1:17" x14ac:dyDescent="0.3">
      <c r="A2066" s="22">
        <v>44</v>
      </c>
      <c r="B2066" s="19">
        <v>100</v>
      </c>
      <c r="C2066" s="20">
        <f>Sales!$B2066*Sales!$A2066</f>
        <v>4400</v>
      </c>
      <c r="D2066" s="21">
        <v>38296</v>
      </c>
      <c r="E2066" s="22" t="s">
        <v>9</v>
      </c>
      <c r="F2066" s="22">
        <v>4</v>
      </c>
      <c r="G2066" s="22">
        <v>11</v>
      </c>
      <c r="H2066" s="22">
        <v>2004</v>
      </c>
      <c r="I2066" s="22" t="s">
        <v>47</v>
      </c>
      <c r="J2066" s="20">
        <v>118</v>
      </c>
      <c r="K2066" s="20">
        <f>Sales!$B2066-Sales!$J2066</f>
        <v>-18</v>
      </c>
      <c r="L2066" s="23">
        <f>(Sales!$J2066-Sales!$B2066)/Sales!$J2066</f>
        <v>0.15254237288135594</v>
      </c>
      <c r="M2066" s="23" t="s">
        <v>132</v>
      </c>
      <c r="N2066" s="22" t="s">
        <v>35</v>
      </c>
      <c r="O2066" s="22" t="s">
        <v>25</v>
      </c>
      <c r="P2066" s="22" t="s">
        <v>17</v>
      </c>
      <c r="Q2066" s="22" t="s">
        <v>19</v>
      </c>
    </row>
    <row r="2067" spans="1:17" x14ac:dyDescent="0.3">
      <c r="A2067" s="27">
        <v>31</v>
      </c>
      <c r="B2067" s="24">
        <v>100</v>
      </c>
      <c r="C2067" s="25">
        <f>Sales!$B2067*Sales!$A2067</f>
        <v>3100</v>
      </c>
      <c r="D2067" s="26">
        <v>38311</v>
      </c>
      <c r="E2067" s="27" t="s">
        <v>9</v>
      </c>
      <c r="F2067" s="27">
        <v>4</v>
      </c>
      <c r="G2067" s="27">
        <v>11</v>
      </c>
      <c r="H2067" s="27">
        <v>2004</v>
      </c>
      <c r="I2067" s="27" t="s">
        <v>47</v>
      </c>
      <c r="J2067" s="25">
        <v>118</v>
      </c>
      <c r="K2067" s="25">
        <f>Sales!$B2067-Sales!$J2067</f>
        <v>-18</v>
      </c>
      <c r="L2067" s="28">
        <f>(Sales!$J2067-Sales!$B2067)/Sales!$J2067</f>
        <v>0.15254237288135594</v>
      </c>
      <c r="M2067" s="28" t="s">
        <v>132</v>
      </c>
      <c r="N2067" s="27" t="s">
        <v>18</v>
      </c>
      <c r="O2067" s="27" t="s">
        <v>16</v>
      </c>
      <c r="P2067" s="27" t="s">
        <v>17</v>
      </c>
      <c r="Q2067" s="27" t="s">
        <v>19</v>
      </c>
    </row>
    <row r="2068" spans="1:17" x14ac:dyDescent="0.3">
      <c r="A2068" s="22">
        <v>23</v>
      </c>
      <c r="B2068" s="19">
        <v>100</v>
      </c>
      <c r="C2068" s="20">
        <f>Sales!$B2068*Sales!$A2068</f>
        <v>2300</v>
      </c>
      <c r="D2068" s="21">
        <v>38322</v>
      </c>
      <c r="E2068" s="22" t="s">
        <v>9</v>
      </c>
      <c r="F2068" s="22">
        <v>4</v>
      </c>
      <c r="G2068" s="22">
        <v>12</v>
      </c>
      <c r="H2068" s="22">
        <v>2004</v>
      </c>
      <c r="I2068" s="22" t="s">
        <v>47</v>
      </c>
      <c r="J2068" s="20">
        <v>118</v>
      </c>
      <c r="K2068" s="20">
        <f>Sales!$B2068-Sales!$J2068</f>
        <v>-18</v>
      </c>
      <c r="L2068" s="23">
        <f>(Sales!$J2068-Sales!$B2068)/Sales!$J2068</f>
        <v>0.15254237288135594</v>
      </c>
      <c r="M2068" s="23" t="s">
        <v>132</v>
      </c>
      <c r="N2068" s="22" t="s">
        <v>11</v>
      </c>
      <c r="O2068" s="22" t="s">
        <v>12</v>
      </c>
      <c r="P2068" s="22" t="s">
        <v>13</v>
      </c>
      <c r="Q2068" s="22" t="s">
        <v>19</v>
      </c>
    </row>
    <row r="2069" spans="1:17" x14ac:dyDescent="0.3">
      <c r="A2069" s="27">
        <v>22</v>
      </c>
      <c r="B2069" s="24">
        <v>100</v>
      </c>
      <c r="C2069" s="25">
        <f>Sales!$B2069*Sales!$A2069</f>
        <v>2200</v>
      </c>
      <c r="D2069" s="26">
        <v>38336</v>
      </c>
      <c r="E2069" s="27" t="s">
        <v>9</v>
      </c>
      <c r="F2069" s="27">
        <v>4</v>
      </c>
      <c r="G2069" s="27">
        <v>12</v>
      </c>
      <c r="H2069" s="27">
        <v>2004</v>
      </c>
      <c r="I2069" s="27" t="s">
        <v>47</v>
      </c>
      <c r="J2069" s="25">
        <v>118</v>
      </c>
      <c r="K2069" s="25">
        <f>Sales!$B2069-Sales!$J2069</f>
        <v>-18</v>
      </c>
      <c r="L2069" s="28">
        <f>(Sales!$J2069-Sales!$B2069)/Sales!$J2069</f>
        <v>0.15254237288135594</v>
      </c>
      <c r="M2069" s="28" t="s">
        <v>132</v>
      </c>
      <c r="N2069" s="27" t="s">
        <v>15</v>
      </c>
      <c r="O2069" s="27" t="s">
        <v>16</v>
      </c>
      <c r="P2069" s="27" t="s">
        <v>17</v>
      </c>
      <c r="Q2069" s="27" t="s">
        <v>14</v>
      </c>
    </row>
    <row r="2070" spans="1:17" x14ac:dyDescent="0.3">
      <c r="A2070" s="22">
        <v>28</v>
      </c>
      <c r="B2070" s="19">
        <v>50.32</v>
      </c>
      <c r="C2070" s="20">
        <f>Sales!$B2070*Sales!$A2070</f>
        <v>1408.96</v>
      </c>
      <c r="D2070" s="21">
        <v>38375</v>
      </c>
      <c r="E2070" s="22" t="s">
        <v>9</v>
      </c>
      <c r="F2070" s="22">
        <v>1</v>
      </c>
      <c r="G2070" s="22">
        <v>1</v>
      </c>
      <c r="H2070" s="22">
        <v>2005</v>
      </c>
      <c r="I2070" s="22" t="s">
        <v>47</v>
      </c>
      <c r="J2070" s="20">
        <v>118</v>
      </c>
      <c r="K2070" s="20">
        <f>Sales!$B2070-Sales!$J2070</f>
        <v>-67.680000000000007</v>
      </c>
      <c r="L2070" s="23">
        <f>(Sales!$J2070-Sales!$B2070)/Sales!$J2070</f>
        <v>0.57355932203389837</v>
      </c>
      <c r="M2070" s="23" t="str">
        <f t="shared" si="32"/>
        <v>+20%</v>
      </c>
      <c r="N2070" s="22" t="s">
        <v>64</v>
      </c>
      <c r="O2070" s="22" t="s">
        <v>12</v>
      </c>
      <c r="P2070" s="22" t="s">
        <v>13</v>
      </c>
      <c r="Q2070" s="22" t="s">
        <v>14</v>
      </c>
    </row>
    <row r="2071" spans="1:17" x14ac:dyDescent="0.3">
      <c r="A2071" s="27">
        <v>21</v>
      </c>
      <c r="B2071" s="24">
        <v>93.91</v>
      </c>
      <c r="C2071" s="25">
        <f>Sales!$B2071*Sales!$A2071</f>
        <v>1972.11</v>
      </c>
      <c r="D2071" s="26">
        <v>38405</v>
      </c>
      <c r="E2071" s="27" t="s">
        <v>9</v>
      </c>
      <c r="F2071" s="27">
        <v>1</v>
      </c>
      <c r="G2071" s="27">
        <v>2</v>
      </c>
      <c r="H2071" s="27">
        <v>2005</v>
      </c>
      <c r="I2071" s="27" t="s">
        <v>47</v>
      </c>
      <c r="J2071" s="25">
        <v>118</v>
      </c>
      <c r="K2071" s="25">
        <f>Sales!$B2071-Sales!$J2071</f>
        <v>-24.090000000000003</v>
      </c>
      <c r="L2071" s="28">
        <f>(Sales!$J2071-Sales!$B2071)/Sales!$J2071</f>
        <v>0.20415254237288138</v>
      </c>
      <c r="M2071" s="28" t="s">
        <v>133</v>
      </c>
      <c r="N2071" s="27" t="s">
        <v>45</v>
      </c>
      <c r="O2071" s="27" t="s">
        <v>46</v>
      </c>
      <c r="P2071" s="27" t="s">
        <v>17</v>
      </c>
      <c r="Q2071" s="27" t="s">
        <v>14</v>
      </c>
    </row>
    <row r="2072" spans="1:17" x14ac:dyDescent="0.3">
      <c r="A2072" s="22">
        <v>37</v>
      </c>
      <c r="B2072" s="19">
        <v>100</v>
      </c>
      <c r="C2072" s="20">
        <f>Sales!$B2072*Sales!$A2072</f>
        <v>3700</v>
      </c>
      <c r="D2072" s="21">
        <v>38426</v>
      </c>
      <c r="E2072" s="22" t="s">
        <v>9</v>
      </c>
      <c r="F2072" s="22">
        <v>1</v>
      </c>
      <c r="G2072" s="22">
        <v>3</v>
      </c>
      <c r="H2072" s="22">
        <v>2005</v>
      </c>
      <c r="I2072" s="22" t="s">
        <v>47</v>
      </c>
      <c r="J2072" s="20">
        <v>118</v>
      </c>
      <c r="K2072" s="20">
        <f>Sales!$B2072-Sales!$J2072</f>
        <v>-18</v>
      </c>
      <c r="L2072" s="23">
        <f>(Sales!$J2072-Sales!$B2072)/Sales!$J2072</f>
        <v>0.15254237288135594</v>
      </c>
      <c r="M2072" s="23" t="s">
        <v>132</v>
      </c>
      <c r="N2072" s="22" t="s">
        <v>45</v>
      </c>
      <c r="O2072" s="22" t="s">
        <v>46</v>
      </c>
      <c r="P2072" s="22" t="s">
        <v>17</v>
      </c>
      <c r="Q2072" s="22" t="s">
        <v>19</v>
      </c>
    </row>
    <row r="2073" spans="1:17" x14ac:dyDescent="0.3">
      <c r="A2073" s="27">
        <v>31</v>
      </c>
      <c r="B2073" s="24">
        <v>100</v>
      </c>
      <c r="C2073" s="25">
        <f>Sales!$B2073*Sales!$A2073</f>
        <v>3100</v>
      </c>
      <c r="D2073" s="26">
        <v>38475</v>
      </c>
      <c r="E2073" s="27" t="s">
        <v>9</v>
      </c>
      <c r="F2073" s="27">
        <v>2</v>
      </c>
      <c r="G2073" s="27">
        <v>5</v>
      </c>
      <c r="H2073" s="27">
        <v>2005</v>
      </c>
      <c r="I2073" s="27" t="s">
        <v>47</v>
      </c>
      <c r="J2073" s="25">
        <v>118</v>
      </c>
      <c r="K2073" s="25">
        <f>Sales!$B2073-Sales!$J2073</f>
        <v>-18</v>
      </c>
      <c r="L2073" s="28">
        <f>(Sales!$J2073-Sales!$B2073)/Sales!$J2073</f>
        <v>0.15254237288135594</v>
      </c>
      <c r="M2073" s="28" t="s">
        <v>132</v>
      </c>
      <c r="N2073" s="27" t="s">
        <v>45</v>
      </c>
      <c r="O2073" s="27" t="s">
        <v>46</v>
      </c>
      <c r="P2073" s="27" t="s">
        <v>17</v>
      </c>
      <c r="Q2073" s="27" t="s">
        <v>19</v>
      </c>
    </row>
    <row r="2074" spans="1:17" x14ac:dyDescent="0.3">
      <c r="A2074" s="22">
        <v>25</v>
      </c>
      <c r="B2074" s="19">
        <v>100</v>
      </c>
      <c r="C2074" s="20">
        <f>Sales!$B2074*Sales!$A2074</f>
        <v>2500</v>
      </c>
      <c r="D2074" s="21">
        <v>37650</v>
      </c>
      <c r="E2074" s="22" t="s">
        <v>9</v>
      </c>
      <c r="F2074" s="22">
        <v>1</v>
      </c>
      <c r="G2074" s="22">
        <v>1</v>
      </c>
      <c r="H2074" s="22">
        <v>2003</v>
      </c>
      <c r="I2074" s="22" t="s">
        <v>112</v>
      </c>
      <c r="J2074" s="20">
        <v>97</v>
      </c>
      <c r="K2074" s="20">
        <f>Sales!$B2074-Sales!$J2074</f>
        <v>3</v>
      </c>
      <c r="L2074" s="23">
        <f>(Sales!$J2074-Sales!$B2074)/Sales!$J2074</f>
        <v>-3.0927835051546393E-2</v>
      </c>
      <c r="M2074" s="23" t="str">
        <f t="shared" si="32"/>
        <v>Below 0%</v>
      </c>
      <c r="N2074" s="22" t="s">
        <v>35</v>
      </c>
      <c r="O2074" s="22" t="s">
        <v>25</v>
      </c>
      <c r="P2074" s="22" t="s">
        <v>17</v>
      </c>
      <c r="Q2074" s="22" t="s">
        <v>14</v>
      </c>
    </row>
    <row r="2075" spans="1:17" x14ac:dyDescent="0.3">
      <c r="A2075" s="27">
        <v>26</v>
      </c>
      <c r="B2075" s="24">
        <v>86.68</v>
      </c>
      <c r="C2075" s="25">
        <f>Sales!$B2075*Sales!$A2075</f>
        <v>2253.6800000000003</v>
      </c>
      <c r="D2075" s="26">
        <v>37705</v>
      </c>
      <c r="E2075" s="27" t="s">
        <v>9</v>
      </c>
      <c r="F2075" s="27">
        <v>1</v>
      </c>
      <c r="G2075" s="27">
        <v>3</v>
      </c>
      <c r="H2075" s="27">
        <v>2003</v>
      </c>
      <c r="I2075" s="27" t="s">
        <v>112</v>
      </c>
      <c r="J2075" s="25">
        <v>97</v>
      </c>
      <c r="K2075" s="25">
        <f>Sales!$B2075-Sales!$J2075</f>
        <v>-10.319999999999993</v>
      </c>
      <c r="L2075" s="28">
        <f>(Sales!$J2075-Sales!$B2075)/Sales!$J2075</f>
        <v>0.10639175257731952</v>
      </c>
      <c r="M2075" s="28" t="str">
        <f t="shared" si="32"/>
        <v>10%-15%</v>
      </c>
      <c r="N2075" s="27" t="s">
        <v>21</v>
      </c>
      <c r="O2075" s="27" t="s">
        <v>12</v>
      </c>
      <c r="P2075" s="27" t="s">
        <v>13</v>
      </c>
      <c r="Q2075" s="27" t="s">
        <v>14</v>
      </c>
    </row>
    <row r="2076" spans="1:17" x14ac:dyDescent="0.3">
      <c r="A2076" s="22">
        <v>34</v>
      </c>
      <c r="B2076" s="19">
        <v>100</v>
      </c>
      <c r="C2076" s="20">
        <f>Sales!$B2076*Sales!$A2076</f>
        <v>3400</v>
      </c>
      <c r="D2076" s="21">
        <v>37769</v>
      </c>
      <c r="E2076" s="22" t="s">
        <v>9</v>
      </c>
      <c r="F2076" s="22">
        <v>2</v>
      </c>
      <c r="G2076" s="22">
        <v>5</v>
      </c>
      <c r="H2076" s="22">
        <v>2003</v>
      </c>
      <c r="I2076" s="22" t="s">
        <v>112</v>
      </c>
      <c r="J2076" s="20">
        <v>97</v>
      </c>
      <c r="K2076" s="20">
        <f>Sales!$B2076-Sales!$J2076</f>
        <v>3</v>
      </c>
      <c r="L2076" s="23">
        <f>(Sales!$J2076-Sales!$B2076)/Sales!$J2076</f>
        <v>-3.0927835051546393E-2</v>
      </c>
      <c r="M2076" s="23" t="str">
        <f t="shared" si="32"/>
        <v>Below 0%</v>
      </c>
      <c r="N2076" s="22" t="s">
        <v>45</v>
      </c>
      <c r="O2076" s="22" t="s">
        <v>46</v>
      </c>
      <c r="P2076" s="22" t="s">
        <v>17</v>
      </c>
      <c r="Q2076" s="22" t="s">
        <v>19</v>
      </c>
    </row>
    <row r="2077" spans="1:17" x14ac:dyDescent="0.3">
      <c r="A2077" s="27">
        <v>29</v>
      </c>
      <c r="B2077" s="24">
        <v>100</v>
      </c>
      <c r="C2077" s="25">
        <f>Sales!$B2077*Sales!$A2077</f>
        <v>2900</v>
      </c>
      <c r="D2077" s="26">
        <v>37818</v>
      </c>
      <c r="E2077" s="27" t="s">
        <v>9</v>
      </c>
      <c r="F2077" s="27">
        <v>3</v>
      </c>
      <c r="G2077" s="27">
        <v>7</v>
      </c>
      <c r="H2077" s="27">
        <v>2003</v>
      </c>
      <c r="I2077" s="27" t="s">
        <v>112</v>
      </c>
      <c r="J2077" s="25">
        <v>97</v>
      </c>
      <c r="K2077" s="25">
        <f>Sales!$B2077-Sales!$J2077</f>
        <v>3</v>
      </c>
      <c r="L2077" s="28">
        <f>(Sales!$J2077-Sales!$B2077)/Sales!$J2077</f>
        <v>-3.0927835051546393E-2</v>
      </c>
      <c r="M2077" s="28" t="str">
        <f t="shared" si="32"/>
        <v>Below 0%</v>
      </c>
      <c r="N2077" s="27" t="s">
        <v>40</v>
      </c>
      <c r="O2077" s="27" t="s">
        <v>27</v>
      </c>
      <c r="P2077" s="27" t="s">
        <v>28</v>
      </c>
      <c r="Q2077" s="27" t="s">
        <v>19</v>
      </c>
    </row>
    <row r="2078" spans="1:17" x14ac:dyDescent="0.3">
      <c r="A2078" s="22">
        <v>20</v>
      </c>
      <c r="B2078" s="19">
        <v>90.57</v>
      </c>
      <c r="C2078" s="20">
        <f>Sales!$B2078*Sales!$A2078</f>
        <v>1811.3999999999999</v>
      </c>
      <c r="D2078" s="21">
        <v>37876</v>
      </c>
      <c r="E2078" s="22" t="s">
        <v>9</v>
      </c>
      <c r="F2078" s="22">
        <v>3</v>
      </c>
      <c r="G2078" s="22">
        <v>9</v>
      </c>
      <c r="H2078" s="22">
        <v>2003</v>
      </c>
      <c r="I2078" s="22" t="s">
        <v>112</v>
      </c>
      <c r="J2078" s="20">
        <v>97</v>
      </c>
      <c r="K2078" s="20">
        <f>Sales!$B2078-Sales!$J2078</f>
        <v>-6.4300000000000068</v>
      </c>
      <c r="L2078" s="23">
        <f>(Sales!$J2078-Sales!$B2078)/Sales!$J2078</f>
        <v>6.62886597938145E-2</v>
      </c>
      <c r="M2078" s="23" t="str">
        <f t="shared" si="32"/>
        <v>5%-10%</v>
      </c>
      <c r="N2078" s="22" t="s">
        <v>107</v>
      </c>
      <c r="O2078" s="22" t="s">
        <v>12</v>
      </c>
      <c r="P2078" s="22" t="s">
        <v>13</v>
      </c>
      <c r="Q2078" s="22" t="s">
        <v>14</v>
      </c>
    </row>
    <row r="2079" spans="1:17" x14ac:dyDescent="0.3">
      <c r="A2079" s="27">
        <v>42</v>
      </c>
      <c r="B2079" s="24">
        <v>91.55</v>
      </c>
      <c r="C2079" s="25">
        <f>Sales!$B2079*Sales!$A2079</f>
        <v>3845.1</v>
      </c>
      <c r="D2079" s="26">
        <v>37914</v>
      </c>
      <c r="E2079" s="27" t="s">
        <v>9</v>
      </c>
      <c r="F2079" s="27">
        <v>4</v>
      </c>
      <c r="G2079" s="27">
        <v>10</v>
      </c>
      <c r="H2079" s="27">
        <v>2003</v>
      </c>
      <c r="I2079" s="27" t="s">
        <v>112</v>
      </c>
      <c r="J2079" s="25">
        <v>97</v>
      </c>
      <c r="K2079" s="25">
        <f>Sales!$B2079-Sales!$J2079</f>
        <v>-5.4500000000000028</v>
      </c>
      <c r="L2079" s="28">
        <f>(Sales!$J2079-Sales!$B2079)/Sales!$J2079</f>
        <v>5.6185567010309308E-2</v>
      </c>
      <c r="M2079" s="28" t="str">
        <f t="shared" si="32"/>
        <v>5%-10%</v>
      </c>
      <c r="N2079" s="27" t="s">
        <v>11</v>
      </c>
      <c r="O2079" s="27" t="s">
        <v>12</v>
      </c>
      <c r="P2079" s="27" t="s">
        <v>13</v>
      </c>
      <c r="Q2079" s="27" t="s">
        <v>19</v>
      </c>
    </row>
    <row r="2080" spans="1:17" x14ac:dyDescent="0.3">
      <c r="A2080" s="22">
        <v>22</v>
      </c>
      <c r="B2080" s="19">
        <v>100</v>
      </c>
      <c r="C2080" s="20">
        <f>Sales!$B2080*Sales!$A2080</f>
        <v>2200</v>
      </c>
      <c r="D2080" s="21">
        <v>37930</v>
      </c>
      <c r="E2080" s="22" t="s">
        <v>9</v>
      </c>
      <c r="F2080" s="22">
        <v>4</v>
      </c>
      <c r="G2080" s="22">
        <v>11</v>
      </c>
      <c r="H2080" s="22">
        <v>2003</v>
      </c>
      <c r="I2080" s="22" t="s">
        <v>112</v>
      </c>
      <c r="J2080" s="20">
        <v>97</v>
      </c>
      <c r="K2080" s="20">
        <f>Sales!$B2080-Sales!$J2080</f>
        <v>3</v>
      </c>
      <c r="L2080" s="23">
        <f>(Sales!$J2080-Sales!$B2080)/Sales!$J2080</f>
        <v>-3.0927835051546393E-2</v>
      </c>
      <c r="M2080" s="23" t="str">
        <f t="shared" si="32"/>
        <v>Below 0%</v>
      </c>
      <c r="N2080" s="22" t="s">
        <v>113</v>
      </c>
      <c r="O2080" s="22" t="s">
        <v>61</v>
      </c>
      <c r="P2080" s="22" t="s">
        <v>17</v>
      </c>
      <c r="Q2080" s="22" t="s">
        <v>14</v>
      </c>
    </row>
    <row r="2081" spans="1:17" x14ac:dyDescent="0.3">
      <c r="A2081" s="27">
        <v>47</v>
      </c>
      <c r="B2081" s="24">
        <v>100</v>
      </c>
      <c r="C2081" s="25">
        <f>Sales!$B2081*Sales!$A2081</f>
        <v>4700</v>
      </c>
      <c r="D2081" s="26">
        <v>37938</v>
      </c>
      <c r="E2081" s="27" t="s">
        <v>9</v>
      </c>
      <c r="F2081" s="27">
        <v>4</v>
      </c>
      <c r="G2081" s="27">
        <v>11</v>
      </c>
      <c r="H2081" s="27">
        <v>2003</v>
      </c>
      <c r="I2081" s="27" t="s">
        <v>112</v>
      </c>
      <c r="J2081" s="25">
        <v>97</v>
      </c>
      <c r="K2081" s="25">
        <f>Sales!$B2081-Sales!$J2081</f>
        <v>3</v>
      </c>
      <c r="L2081" s="28">
        <f>(Sales!$J2081-Sales!$B2081)/Sales!$J2081</f>
        <v>-3.0927835051546393E-2</v>
      </c>
      <c r="M2081" s="28" t="str">
        <f t="shared" si="32"/>
        <v>Below 0%</v>
      </c>
      <c r="N2081" s="27" t="s">
        <v>53</v>
      </c>
      <c r="O2081" s="27" t="s">
        <v>12</v>
      </c>
      <c r="P2081" s="27" t="s">
        <v>13</v>
      </c>
      <c r="Q2081" s="27" t="s">
        <v>19</v>
      </c>
    </row>
    <row r="2082" spans="1:17" x14ac:dyDescent="0.3">
      <c r="A2082" s="22">
        <v>20</v>
      </c>
      <c r="B2082" s="19">
        <v>100</v>
      </c>
      <c r="C2082" s="20">
        <f>Sales!$B2082*Sales!$A2082</f>
        <v>2000</v>
      </c>
      <c r="D2082" s="21">
        <v>37946</v>
      </c>
      <c r="E2082" s="22" t="s">
        <v>9</v>
      </c>
      <c r="F2082" s="22">
        <v>4</v>
      </c>
      <c r="G2082" s="22">
        <v>11</v>
      </c>
      <c r="H2082" s="22">
        <v>2003</v>
      </c>
      <c r="I2082" s="22" t="s">
        <v>112</v>
      </c>
      <c r="J2082" s="20">
        <v>97</v>
      </c>
      <c r="K2082" s="20">
        <f>Sales!$B2082-Sales!$J2082</f>
        <v>3</v>
      </c>
      <c r="L2082" s="23">
        <f>(Sales!$J2082-Sales!$B2082)/Sales!$J2082</f>
        <v>-3.0927835051546393E-2</v>
      </c>
      <c r="M2082" s="23" t="str">
        <f t="shared" si="32"/>
        <v>Below 0%</v>
      </c>
      <c r="N2082" s="22" t="s">
        <v>114</v>
      </c>
      <c r="O2082" s="22" t="s">
        <v>27</v>
      </c>
      <c r="P2082" s="22" t="s">
        <v>28</v>
      </c>
      <c r="Q2082" s="22" t="s">
        <v>14</v>
      </c>
    </row>
    <row r="2083" spans="1:17" x14ac:dyDescent="0.3">
      <c r="A2083" s="27">
        <v>33</v>
      </c>
      <c r="B2083" s="24">
        <v>97.39</v>
      </c>
      <c r="C2083" s="25">
        <f>Sales!$B2083*Sales!$A2083</f>
        <v>3213.87</v>
      </c>
      <c r="D2083" s="26">
        <v>37960</v>
      </c>
      <c r="E2083" s="27" t="s">
        <v>9</v>
      </c>
      <c r="F2083" s="27">
        <v>4</v>
      </c>
      <c r="G2083" s="27">
        <v>12</v>
      </c>
      <c r="H2083" s="27">
        <v>2003</v>
      </c>
      <c r="I2083" s="27" t="s">
        <v>112</v>
      </c>
      <c r="J2083" s="25">
        <v>97</v>
      </c>
      <c r="K2083" s="25">
        <f>Sales!$B2083-Sales!$J2083</f>
        <v>0.39000000000000057</v>
      </c>
      <c r="L2083" s="28">
        <f>(Sales!$J2083-Sales!$B2083)/Sales!$J2083</f>
        <v>-4.0206185567010369E-3</v>
      </c>
      <c r="M2083" s="28" t="s">
        <v>130</v>
      </c>
      <c r="N2083" s="27" t="s">
        <v>55</v>
      </c>
      <c r="O2083" s="27" t="s">
        <v>56</v>
      </c>
      <c r="P2083" s="27" t="s">
        <v>13</v>
      </c>
      <c r="Q2083" s="27" t="s">
        <v>19</v>
      </c>
    </row>
    <row r="2084" spans="1:17" x14ac:dyDescent="0.3">
      <c r="A2084" s="22">
        <v>39</v>
      </c>
      <c r="B2084" s="19">
        <v>90.57</v>
      </c>
      <c r="C2084" s="20">
        <f>Sales!$B2084*Sales!$A2084</f>
        <v>3532.2299999999996</v>
      </c>
      <c r="D2084" s="21">
        <v>38015</v>
      </c>
      <c r="E2084" s="22" t="s">
        <v>9</v>
      </c>
      <c r="F2084" s="22">
        <v>1</v>
      </c>
      <c r="G2084" s="22">
        <v>1</v>
      </c>
      <c r="H2084" s="22">
        <v>2004</v>
      </c>
      <c r="I2084" s="22" t="s">
        <v>112</v>
      </c>
      <c r="J2084" s="20">
        <v>97</v>
      </c>
      <c r="K2084" s="20">
        <f>Sales!$B2084-Sales!$J2084</f>
        <v>-6.4300000000000068</v>
      </c>
      <c r="L2084" s="23">
        <f>(Sales!$J2084-Sales!$B2084)/Sales!$J2084</f>
        <v>6.62886597938145E-2</v>
      </c>
      <c r="M2084" s="23" t="str">
        <f t="shared" si="32"/>
        <v>5%-10%</v>
      </c>
      <c r="N2084" s="22" t="s">
        <v>57</v>
      </c>
      <c r="O2084" s="22" t="s">
        <v>12</v>
      </c>
      <c r="P2084" s="22" t="s">
        <v>13</v>
      </c>
      <c r="Q2084" s="22" t="s">
        <v>19</v>
      </c>
    </row>
    <row r="2085" spans="1:17" x14ac:dyDescent="0.3">
      <c r="A2085" s="27">
        <v>33</v>
      </c>
      <c r="B2085" s="24">
        <v>100</v>
      </c>
      <c r="C2085" s="25">
        <f>Sales!$B2085*Sales!$A2085</f>
        <v>3300</v>
      </c>
      <c r="D2085" s="26">
        <v>38056</v>
      </c>
      <c r="E2085" s="27" t="s">
        <v>9</v>
      </c>
      <c r="F2085" s="27">
        <v>1</v>
      </c>
      <c r="G2085" s="27">
        <v>3</v>
      </c>
      <c r="H2085" s="27">
        <v>2004</v>
      </c>
      <c r="I2085" s="27" t="s">
        <v>112</v>
      </c>
      <c r="J2085" s="25">
        <v>97</v>
      </c>
      <c r="K2085" s="25">
        <f>Sales!$B2085-Sales!$J2085</f>
        <v>3</v>
      </c>
      <c r="L2085" s="28">
        <f>(Sales!$J2085-Sales!$B2085)/Sales!$J2085</f>
        <v>-3.0927835051546393E-2</v>
      </c>
      <c r="M2085" s="28" t="str">
        <f t="shared" si="32"/>
        <v>Below 0%</v>
      </c>
      <c r="N2085" s="27" t="s">
        <v>32</v>
      </c>
      <c r="O2085" s="27" t="s">
        <v>12</v>
      </c>
      <c r="P2085" s="27" t="s">
        <v>13</v>
      </c>
      <c r="Q2085" s="27" t="s">
        <v>19</v>
      </c>
    </row>
    <row r="2086" spans="1:17" x14ac:dyDescent="0.3">
      <c r="A2086" s="22">
        <v>40</v>
      </c>
      <c r="B2086" s="19">
        <v>86.68</v>
      </c>
      <c r="C2086" s="20">
        <f>Sales!$B2086*Sales!$A2086</f>
        <v>3467.2000000000003</v>
      </c>
      <c r="D2086" s="21">
        <v>38106</v>
      </c>
      <c r="E2086" s="22" t="s">
        <v>9</v>
      </c>
      <c r="F2086" s="22">
        <v>2</v>
      </c>
      <c r="G2086" s="22">
        <v>4</v>
      </c>
      <c r="H2086" s="22">
        <v>2004</v>
      </c>
      <c r="I2086" s="22" t="s">
        <v>112</v>
      </c>
      <c r="J2086" s="20">
        <v>97</v>
      </c>
      <c r="K2086" s="20">
        <f>Sales!$B2086-Sales!$J2086</f>
        <v>-10.319999999999993</v>
      </c>
      <c r="L2086" s="23">
        <f>(Sales!$J2086-Sales!$B2086)/Sales!$J2086</f>
        <v>0.10639175257731952</v>
      </c>
      <c r="M2086" s="23" t="str">
        <f t="shared" si="32"/>
        <v>10%-15%</v>
      </c>
      <c r="N2086" s="22" t="s">
        <v>45</v>
      </c>
      <c r="O2086" s="22" t="s">
        <v>46</v>
      </c>
      <c r="P2086" s="22" t="s">
        <v>17</v>
      </c>
      <c r="Q2086" s="22" t="s">
        <v>19</v>
      </c>
    </row>
    <row r="2087" spans="1:17" x14ac:dyDescent="0.3">
      <c r="A2087" s="27">
        <v>46</v>
      </c>
      <c r="B2087" s="24">
        <v>78.89</v>
      </c>
      <c r="C2087" s="25">
        <f>Sales!$B2087*Sales!$A2087</f>
        <v>3628.94</v>
      </c>
      <c r="D2087" s="26">
        <v>38152</v>
      </c>
      <c r="E2087" s="27" t="s">
        <v>9</v>
      </c>
      <c r="F2087" s="27">
        <v>2</v>
      </c>
      <c r="G2087" s="27">
        <v>6</v>
      </c>
      <c r="H2087" s="27">
        <v>2004</v>
      </c>
      <c r="I2087" s="27" t="s">
        <v>112</v>
      </c>
      <c r="J2087" s="25">
        <v>97</v>
      </c>
      <c r="K2087" s="25">
        <f>Sales!$B2087-Sales!$J2087</f>
        <v>-18.11</v>
      </c>
      <c r="L2087" s="28">
        <f>(Sales!$J2087-Sales!$B2087)/Sales!$J2087</f>
        <v>0.18670103092783505</v>
      </c>
      <c r="M2087" s="28" t="str">
        <f t="shared" si="32"/>
        <v>15%-20%</v>
      </c>
      <c r="N2087" s="27" t="s">
        <v>86</v>
      </c>
      <c r="O2087" s="27" t="s">
        <v>12</v>
      </c>
      <c r="P2087" s="27" t="s">
        <v>13</v>
      </c>
      <c r="Q2087" s="27" t="s">
        <v>19</v>
      </c>
    </row>
    <row r="2088" spans="1:17" x14ac:dyDescent="0.3">
      <c r="A2088" s="22">
        <v>48</v>
      </c>
      <c r="B2088" s="19">
        <v>97.39</v>
      </c>
      <c r="C2088" s="20">
        <f>Sales!$B2088*Sales!$A2088</f>
        <v>4674.72</v>
      </c>
      <c r="D2088" s="21">
        <v>38184</v>
      </c>
      <c r="E2088" s="22" t="s">
        <v>9</v>
      </c>
      <c r="F2088" s="22">
        <v>3</v>
      </c>
      <c r="G2088" s="22">
        <v>7</v>
      </c>
      <c r="H2088" s="22">
        <v>2004</v>
      </c>
      <c r="I2088" s="22" t="s">
        <v>112</v>
      </c>
      <c r="J2088" s="20">
        <v>97</v>
      </c>
      <c r="K2088" s="20">
        <f>Sales!$B2088-Sales!$J2088</f>
        <v>0.39000000000000057</v>
      </c>
      <c r="L2088" s="23">
        <f>(Sales!$J2088-Sales!$B2088)/Sales!$J2088</f>
        <v>-4.0206185567010369E-3</v>
      </c>
      <c r="M2088" s="23" t="s">
        <v>130</v>
      </c>
      <c r="N2088" s="22" t="s">
        <v>37</v>
      </c>
      <c r="O2088" s="22" t="s">
        <v>38</v>
      </c>
      <c r="P2088" s="22" t="s">
        <v>17</v>
      </c>
      <c r="Q2088" s="22" t="s">
        <v>19</v>
      </c>
    </row>
    <row r="2089" spans="1:17" x14ac:dyDescent="0.3">
      <c r="A2089" s="27">
        <v>21</v>
      </c>
      <c r="B2089" s="24">
        <v>78.89</v>
      </c>
      <c r="C2089" s="25">
        <f>Sales!$B2089*Sales!$A2089</f>
        <v>1656.69</v>
      </c>
      <c r="D2089" s="26">
        <v>38216</v>
      </c>
      <c r="E2089" s="27" t="s">
        <v>9</v>
      </c>
      <c r="F2089" s="27">
        <v>3</v>
      </c>
      <c r="G2089" s="27">
        <v>8</v>
      </c>
      <c r="H2089" s="27">
        <v>2004</v>
      </c>
      <c r="I2089" s="27" t="s">
        <v>112</v>
      </c>
      <c r="J2089" s="25">
        <v>97</v>
      </c>
      <c r="K2089" s="25">
        <f>Sales!$B2089-Sales!$J2089</f>
        <v>-18.11</v>
      </c>
      <c r="L2089" s="28">
        <f>(Sales!$J2089-Sales!$B2089)/Sales!$J2089</f>
        <v>0.18670103092783505</v>
      </c>
      <c r="M2089" s="28" t="str">
        <f t="shared" si="32"/>
        <v>15%-20%</v>
      </c>
      <c r="N2089" s="27" t="s">
        <v>60</v>
      </c>
      <c r="O2089" s="27" t="s">
        <v>61</v>
      </c>
      <c r="P2089" s="27" t="s">
        <v>17</v>
      </c>
      <c r="Q2089" s="27" t="s">
        <v>14</v>
      </c>
    </row>
    <row r="2090" spans="1:17" x14ac:dyDescent="0.3">
      <c r="A2090" s="22">
        <v>45</v>
      </c>
      <c r="B2090" s="19">
        <v>100</v>
      </c>
      <c r="C2090" s="20">
        <f>Sales!$B2090*Sales!$A2090</f>
        <v>4500</v>
      </c>
      <c r="D2090" s="21">
        <v>38237</v>
      </c>
      <c r="E2090" s="22" t="s">
        <v>9</v>
      </c>
      <c r="F2090" s="22">
        <v>3</v>
      </c>
      <c r="G2090" s="22">
        <v>9</v>
      </c>
      <c r="H2090" s="22">
        <v>2004</v>
      </c>
      <c r="I2090" s="22" t="s">
        <v>112</v>
      </c>
      <c r="J2090" s="20">
        <v>97</v>
      </c>
      <c r="K2090" s="20">
        <f>Sales!$B2090-Sales!$J2090</f>
        <v>3</v>
      </c>
      <c r="L2090" s="23">
        <f>(Sales!$J2090-Sales!$B2090)/Sales!$J2090</f>
        <v>-3.0927835051546393E-2</v>
      </c>
      <c r="M2090" s="23" t="str">
        <f t="shared" si="32"/>
        <v>Below 0%</v>
      </c>
      <c r="N2090" s="22" t="s">
        <v>66</v>
      </c>
      <c r="O2090" s="22" t="s">
        <v>12</v>
      </c>
      <c r="P2090" s="22" t="s">
        <v>13</v>
      </c>
      <c r="Q2090" s="22" t="s">
        <v>19</v>
      </c>
    </row>
    <row r="2091" spans="1:17" x14ac:dyDescent="0.3">
      <c r="A2091" s="27">
        <v>33</v>
      </c>
      <c r="B2091" s="24">
        <v>100</v>
      </c>
      <c r="C2091" s="25">
        <f>Sales!$B2091*Sales!$A2091</f>
        <v>3300</v>
      </c>
      <c r="D2091" s="26">
        <v>38271</v>
      </c>
      <c r="E2091" s="27" t="s">
        <v>9</v>
      </c>
      <c r="F2091" s="27">
        <v>4</v>
      </c>
      <c r="G2091" s="27">
        <v>10</v>
      </c>
      <c r="H2091" s="27">
        <v>2004</v>
      </c>
      <c r="I2091" s="27" t="s">
        <v>112</v>
      </c>
      <c r="J2091" s="25">
        <v>97</v>
      </c>
      <c r="K2091" s="25">
        <f>Sales!$B2091-Sales!$J2091</f>
        <v>3</v>
      </c>
      <c r="L2091" s="28">
        <f>(Sales!$J2091-Sales!$B2091)/Sales!$J2091</f>
        <v>-3.0927835051546393E-2</v>
      </c>
      <c r="M2091" s="28" t="str">
        <f t="shared" si="32"/>
        <v>Below 0%</v>
      </c>
      <c r="N2091" s="27" t="s">
        <v>63</v>
      </c>
      <c r="O2091" s="27" t="s">
        <v>16</v>
      </c>
      <c r="P2091" s="27" t="s">
        <v>17</v>
      </c>
      <c r="Q2091" s="27" t="s">
        <v>19</v>
      </c>
    </row>
    <row r="2092" spans="1:17" x14ac:dyDescent="0.3">
      <c r="A2092" s="22">
        <v>44</v>
      </c>
      <c r="B2092" s="19">
        <v>100</v>
      </c>
      <c r="C2092" s="20">
        <f>Sales!$B2092*Sales!$A2092</f>
        <v>4400</v>
      </c>
      <c r="D2092" s="21">
        <v>38281</v>
      </c>
      <c r="E2092" s="22" t="s">
        <v>9</v>
      </c>
      <c r="F2092" s="22">
        <v>4</v>
      </c>
      <c r="G2092" s="22">
        <v>10</v>
      </c>
      <c r="H2092" s="22">
        <v>2004</v>
      </c>
      <c r="I2092" s="22" t="s">
        <v>112</v>
      </c>
      <c r="J2092" s="20">
        <v>97</v>
      </c>
      <c r="K2092" s="20">
        <f>Sales!$B2092-Sales!$J2092</f>
        <v>3</v>
      </c>
      <c r="L2092" s="23">
        <f>(Sales!$J2092-Sales!$B2092)/Sales!$J2092</f>
        <v>-3.0927835051546393E-2</v>
      </c>
      <c r="M2092" s="23" t="str">
        <f t="shared" si="32"/>
        <v>Below 0%</v>
      </c>
      <c r="N2092" s="22" t="s">
        <v>64</v>
      </c>
      <c r="O2092" s="22" t="s">
        <v>12</v>
      </c>
      <c r="P2092" s="22" t="s">
        <v>13</v>
      </c>
      <c r="Q2092" s="22" t="s">
        <v>19</v>
      </c>
    </row>
    <row r="2093" spans="1:17" x14ac:dyDescent="0.3">
      <c r="A2093" s="27">
        <v>33</v>
      </c>
      <c r="B2093" s="24">
        <v>100</v>
      </c>
      <c r="C2093" s="25">
        <f>Sales!$B2093*Sales!$A2093</f>
        <v>3300</v>
      </c>
      <c r="D2093" s="26">
        <v>38296</v>
      </c>
      <c r="E2093" s="27" t="s">
        <v>9</v>
      </c>
      <c r="F2093" s="27">
        <v>4</v>
      </c>
      <c r="G2093" s="27">
        <v>11</v>
      </c>
      <c r="H2093" s="27">
        <v>2004</v>
      </c>
      <c r="I2093" s="27" t="s">
        <v>112</v>
      </c>
      <c r="J2093" s="25">
        <v>97</v>
      </c>
      <c r="K2093" s="25">
        <f>Sales!$B2093-Sales!$J2093</f>
        <v>3</v>
      </c>
      <c r="L2093" s="28">
        <f>(Sales!$J2093-Sales!$B2093)/Sales!$J2093</f>
        <v>-3.0927835051546393E-2</v>
      </c>
      <c r="M2093" s="28" t="str">
        <f t="shared" si="32"/>
        <v>Below 0%</v>
      </c>
      <c r="N2093" s="27" t="s">
        <v>11</v>
      </c>
      <c r="O2093" s="27" t="s">
        <v>12</v>
      </c>
      <c r="P2093" s="27" t="s">
        <v>13</v>
      </c>
      <c r="Q2093" s="27" t="s">
        <v>19</v>
      </c>
    </row>
    <row r="2094" spans="1:17" x14ac:dyDescent="0.3">
      <c r="A2094" s="22">
        <v>39</v>
      </c>
      <c r="B2094" s="19">
        <v>100</v>
      </c>
      <c r="C2094" s="20">
        <f>Sales!$B2094*Sales!$A2094</f>
        <v>3900</v>
      </c>
      <c r="D2094" s="21">
        <v>38309</v>
      </c>
      <c r="E2094" s="22" t="s">
        <v>9</v>
      </c>
      <c r="F2094" s="22">
        <v>4</v>
      </c>
      <c r="G2094" s="22">
        <v>11</v>
      </c>
      <c r="H2094" s="22">
        <v>2004</v>
      </c>
      <c r="I2094" s="22" t="s">
        <v>112</v>
      </c>
      <c r="J2094" s="20">
        <v>97</v>
      </c>
      <c r="K2094" s="20">
        <f>Sales!$B2094-Sales!$J2094</f>
        <v>3</v>
      </c>
      <c r="L2094" s="23">
        <f>(Sales!$J2094-Sales!$B2094)/Sales!$J2094</f>
        <v>-3.0927835051546393E-2</v>
      </c>
      <c r="M2094" s="23" t="str">
        <f t="shared" si="32"/>
        <v>Below 0%</v>
      </c>
      <c r="N2094" s="22" t="s">
        <v>21</v>
      </c>
      <c r="O2094" s="22" t="s">
        <v>12</v>
      </c>
      <c r="P2094" s="22" t="s">
        <v>13</v>
      </c>
      <c r="Q2094" s="22" t="s">
        <v>19</v>
      </c>
    </row>
    <row r="2095" spans="1:17" x14ac:dyDescent="0.3">
      <c r="A2095" s="27">
        <v>39</v>
      </c>
      <c r="B2095" s="24">
        <v>50.31</v>
      </c>
      <c r="C2095" s="25">
        <f>Sales!$B2095*Sales!$A2095</f>
        <v>1962.0900000000001</v>
      </c>
      <c r="D2095" s="26">
        <v>38292</v>
      </c>
      <c r="E2095" s="27" t="s">
        <v>9</v>
      </c>
      <c r="F2095" s="27">
        <v>4</v>
      </c>
      <c r="G2095" s="27">
        <v>11</v>
      </c>
      <c r="H2095" s="27">
        <v>2004</v>
      </c>
      <c r="I2095" s="27" t="s">
        <v>112</v>
      </c>
      <c r="J2095" s="25">
        <v>97</v>
      </c>
      <c r="K2095" s="25">
        <f>Sales!$B2095-Sales!$J2095</f>
        <v>-46.69</v>
      </c>
      <c r="L2095" s="28">
        <f>(Sales!$J2095-Sales!$B2095)/Sales!$J2095</f>
        <v>0.481340206185567</v>
      </c>
      <c r="M2095" s="28" t="str">
        <f t="shared" si="32"/>
        <v>+20%</v>
      </c>
      <c r="N2095" s="27" t="s">
        <v>45</v>
      </c>
      <c r="O2095" s="27" t="s">
        <v>46</v>
      </c>
      <c r="P2095" s="27" t="s">
        <v>17</v>
      </c>
      <c r="Q2095" s="27" t="s">
        <v>14</v>
      </c>
    </row>
    <row r="2096" spans="1:17" x14ac:dyDescent="0.3">
      <c r="A2096" s="22">
        <v>41</v>
      </c>
      <c r="B2096" s="19">
        <v>100</v>
      </c>
      <c r="C2096" s="20">
        <f>Sales!$B2096*Sales!$A2096</f>
        <v>4100</v>
      </c>
      <c r="D2096" s="21">
        <v>38331</v>
      </c>
      <c r="E2096" s="22" t="s">
        <v>9</v>
      </c>
      <c r="F2096" s="22">
        <v>4</v>
      </c>
      <c r="G2096" s="22">
        <v>12</v>
      </c>
      <c r="H2096" s="22">
        <v>2004</v>
      </c>
      <c r="I2096" s="22" t="s">
        <v>112</v>
      </c>
      <c r="J2096" s="20">
        <v>97</v>
      </c>
      <c r="K2096" s="20">
        <f>Sales!$B2096-Sales!$J2096</f>
        <v>3</v>
      </c>
      <c r="L2096" s="23">
        <f>(Sales!$J2096-Sales!$B2096)/Sales!$J2096</f>
        <v>-3.0927835051546393E-2</v>
      </c>
      <c r="M2096" s="23" t="str">
        <f t="shared" si="32"/>
        <v>Below 0%</v>
      </c>
      <c r="N2096" s="22" t="s">
        <v>45</v>
      </c>
      <c r="O2096" s="22" t="s">
        <v>46</v>
      </c>
      <c r="P2096" s="22" t="s">
        <v>17</v>
      </c>
      <c r="Q2096" s="22" t="s">
        <v>19</v>
      </c>
    </row>
    <row r="2097" spans="1:17" x14ac:dyDescent="0.3">
      <c r="A2097" s="27">
        <v>40</v>
      </c>
      <c r="B2097" s="24">
        <v>86.92</v>
      </c>
      <c r="C2097" s="25">
        <f>Sales!$B2097*Sales!$A2097</f>
        <v>3476.8</v>
      </c>
      <c r="D2097" s="26">
        <v>38372</v>
      </c>
      <c r="E2097" s="27" t="s">
        <v>9</v>
      </c>
      <c r="F2097" s="27">
        <v>1</v>
      </c>
      <c r="G2097" s="27">
        <v>1</v>
      </c>
      <c r="H2097" s="27">
        <v>2005</v>
      </c>
      <c r="I2097" s="27" t="s">
        <v>112</v>
      </c>
      <c r="J2097" s="25">
        <v>97</v>
      </c>
      <c r="K2097" s="25">
        <f>Sales!$B2097-Sales!$J2097</f>
        <v>-10.079999999999998</v>
      </c>
      <c r="L2097" s="28">
        <f>(Sales!$J2097-Sales!$B2097)/Sales!$J2097</f>
        <v>0.10391752577319587</v>
      </c>
      <c r="M2097" s="28" t="s">
        <v>134</v>
      </c>
      <c r="N2097" s="27" t="s">
        <v>66</v>
      </c>
      <c r="O2097" s="27" t="s">
        <v>12</v>
      </c>
      <c r="P2097" s="27" t="s">
        <v>13</v>
      </c>
      <c r="Q2097" s="27" t="s">
        <v>19</v>
      </c>
    </row>
    <row r="2098" spans="1:17" x14ac:dyDescent="0.3">
      <c r="A2098" s="22">
        <v>33</v>
      </c>
      <c r="B2098" s="19">
        <v>100</v>
      </c>
      <c r="C2098" s="20">
        <f>Sales!$B2098*Sales!$A2098</f>
        <v>3300</v>
      </c>
      <c r="D2098" s="21">
        <v>38400</v>
      </c>
      <c r="E2098" s="22" t="s">
        <v>9</v>
      </c>
      <c r="F2098" s="22">
        <v>1</v>
      </c>
      <c r="G2098" s="22">
        <v>2</v>
      </c>
      <c r="H2098" s="22">
        <v>2005</v>
      </c>
      <c r="I2098" s="22" t="s">
        <v>112</v>
      </c>
      <c r="J2098" s="20">
        <v>97</v>
      </c>
      <c r="K2098" s="20">
        <f>Sales!$B2098-Sales!$J2098</f>
        <v>3</v>
      </c>
      <c r="L2098" s="23">
        <f>(Sales!$J2098-Sales!$B2098)/Sales!$J2098</f>
        <v>-3.0927835051546393E-2</v>
      </c>
      <c r="M2098" s="23" t="str">
        <f t="shared" si="32"/>
        <v>Below 0%</v>
      </c>
      <c r="N2098" s="22" t="s">
        <v>64</v>
      </c>
      <c r="O2098" s="22" t="s">
        <v>12</v>
      </c>
      <c r="P2098" s="22" t="s">
        <v>13</v>
      </c>
      <c r="Q2098" s="22" t="s">
        <v>19</v>
      </c>
    </row>
    <row r="2099" spans="1:17" x14ac:dyDescent="0.3">
      <c r="A2099" s="27">
        <v>28</v>
      </c>
      <c r="B2099" s="24">
        <v>78.89</v>
      </c>
      <c r="C2099" s="25">
        <f>Sales!$B2099*Sales!$A2099</f>
        <v>2208.92</v>
      </c>
      <c r="D2099" s="26">
        <v>38502</v>
      </c>
      <c r="E2099" s="27" t="s">
        <v>69</v>
      </c>
      <c r="F2099" s="27">
        <v>2</v>
      </c>
      <c r="G2099" s="27">
        <v>5</v>
      </c>
      <c r="H2099" s="27">
        <v>2005</v>
      </c>
      <c r="I2099" s="27" t="s">
        <v>112</v>
      </c>
      <c r="J2099" s="25">
        <v>97</v>
      </c>
      <c r="K2099" s="25">
        <f>Sales!$B2099-Sales!$J2099</f>
        <v>-18.11</v>
      </c>
      <c r="L2099" s="28">
        <f>(Sales!$J2099-Sales!$B2099)/Sales!$J2099</f>
        <v>0.18670103092783505</v>
      </c>
      <c r="M2099" s="28" t="str">
        <f t="shared" si="32"/>
        <v>15%-20%</v>
      </c>
      <c r="N2099" s="27" t="s">
        <v>80</v>
      </c>
      <c r="O2099" s="27" t="s">
        <v>81</v>
      </c>
      <c r="P2099" s="27" t="s">
        <v>17</v>
      </c>
      <c r="Q2099" s="27" t="s">
        <v>14</v>
      </c>
    </row>
    <row r="2100" spans="1:17" x14ac:dyDescent="0.3">
      <c r="A2100" s="22">
        <v>26</v>
      </c>
      <c r="B2100" s="19">
        <v>63.76</v>
      </c>
      <c r="C2100" s="20">
        <f>Sales!$B2100*Sales!$A2100</f>
        <v>1657.76</v>
      </c>
      <c r="D2100" s="21">
        <v>37669</v>
      </c>
      <c r="E2100" s="22" t="s">
        <v>9</v>
      </c>
      <c r="F2100" s="22">
        <v>1</v>
      </c>
      <c r="G2100" s="22">
        <v>2</v>
      </c>
      <c r="H2100" s="22">
        <v>2003</v>
      </c>
      <c r="I2100" s="22" t="s">
        <v>115</v>
      </c>
      <c r="J2100" s="20">
        <v>72</v>
      </c>
      <c r="K2100" s="20">
        <f>Sales!$B2100-Sales!$J2100</f>
        <v>-8.240000000000002</v>
      </c>
      <c r="L2100" s="23">
        <f>(Sales!$J2100-Sales!$B2100)/Sales!$J2100</f>
        <v>0.11444444444444447</v>
      </c>
      <c r="M2100" s="23" t="str">
        <f t="shared" si="32"/>
        <v>10%-15%</v>
      </c>
      <c r="N2100" s="22" t="s">
        <v>113</v>
      </c>
      <c r="O2100" s="22" t="s">
        <v>61</v>
      </c>
      <c r="P2100" s="22" t="s">
        <v>17</v>
      </c>
      <c r="Q2100" s="22" t="s">
        <v>14</v>
      </c>
    </row>
    <row r="2101" spans="1:17" x14ac:dyDescent="0.3">
      <c r="A2101" s="27">
        <v>29</v>
      </c>
      <c r="B2101" s="24">
        <v>85.49</v>
      </c>
      <c r="C2101" s="25">
        <f>Sales!$B2101*Sales!$A2101</f>
        <v>2479.21</v>
      </c>
      <c r="D2101" s="26">
        <v>37740</v>
      </c>
      <c r="E2101" s="27" t="s">
        <v>9</v>
      </c>
      <c r="F2101" s="27">
        <v>2</v>
      </c>
      <c r="G2101" s="27">
        <v>4</v>
      </c>
      <c r="H2101" s="27">
        <v>2003</v>
      </c>
      <c r="I2101" s="27" t="s">
        <v>115</v>
      </c>
      <c r="J2101" s="25">
        <v>72</v>
      </c>
      <c r="K2101" s="25">
        <f>Sales!$B2101-Sales!$J2101</f>
        <v>13.489999999999995</v>
      </c>
      <c r="L2101" s="28">
        <f>(Sales!$J2101-Sales!$B2101)/Sales!$J2101</f>
        <v>-0.18736111111111103</v>
      </c>
      <c r="M2101" s="28" t="str">
        <f t="shared" si="32"/>
        <v>Below 0%</v>
      </c>
      <c r="N2101" s="27" t="s">
        <v>26</v>
      </c>
      <c r="O2101" s="27" t="s">
        <v>27</v>
      </c>
      <c r="P2101" s="27" t="s">
        <v>28</v>
      </c>
      <c r="Q2101" s="27" t="s">
        <v>14</v>
      </c>
    </row>
    <row r="2102" spans="1:17" x14ac:dyDescent="0.3">
      <c r="A2102" s="22">
        <v>46</v>
      </c>
      <c r="B2102" s="19">
        <v>77.52</v>
      </c>
      <c r="C2102" s="20">
        <f>Sales!$B2102*Sales!$A2102</f>
        <v>3565.9199999999996</v>
      </c>
      <c r="D2102" s="21">
        <v>37799</v>
      </c>
      <c r="E2102" s="22" t="s">
        <v>9</v>
      </c>
      <c r="F2102" s="22">
        <v>2</v>
      </c>
      <c r="G2102" s="22">
        <v>6</v>
      </c>
      <c r="H2102" s="22">
        <v>2003</v>
      </c>
      <c r="I2102" s="22" t="s">
        <v>115</v>
      </c>
      <c r="J2102" s="20">
        <v>72</v>
      </c>
      <c r="K2102" s="20">
        <f>Sales!$B2102-Sales!$J2102</f>
        <v>5.519999999999996</v>
      </c>
      <c r="L2102" s="23">
        <f>(Sales!$J2102-Sales!$B2102)/Sales!$J2102</f>
        <v>-7.6666666666666605E-2</v>
      </c>
      <c r="M2102" s="23" t="str">
        <f t="shared" si="32"/>
        <v>Below 0%</v>
      </c>
      <c r="N2102" s="22" t="s">
        <v>45</v>
      </c>
      <c r="O2102" s="22" t="s">
        <v>46</v>
      </c>
      <c r="P2102" s="22" t="s">
        <v>17</v>
      </c>
      <c r="Q2102" s="22" t="s">
        <v>19</v>
      </c>
    </row>
    <row r="2103" spans="1:17" x14ac:dyDescent="0.3">
      <c r="A2103" s="27">
        <v>33</v>
      </c>
      <c r="B2103" s="24">
        <v>84.77</v>
      </c>
      <c r="C2103" s="25">
        <f>Sales!$B2103*Sales!$A2103</f>
        <v>2797.41</v>
      </c>
      <c r="D2103" s="26">
        <v>37858</v>
      </c>
      <c r="E2103" s="27" t="s">
        <v>9</v>
      </c>
      <c r="F2103" s="27">
        <v>3</v>
      </c>
      <c r="G2103" s="27">
        <v>8</v>
      </c>
      <c r="H2103" s="27">
        <v>2003</v>
      </c>
      <c r="I2103" s="27" t="s">
        <v>115</v>
      </c>
      <c r="J2103" s="25">
        <v>72</v>
      </c>
      <c r="K2103" s="25">
        <f>Sales!$B2103-Sales!$J2103</f>
        <v>12.769999999999996</v>
      </c>
      <c r="L2103" s="28">
        <f>(Sales!$J2103-Sales!$B2103)/Sales!$J2103</f>
        <v>-0.17736111111111105</v>
      </c>
      <c r="M2103" s="28" t="str">
        <f t="shared" si="32"/>
        <v>Below 0%</v>
      </c>
      <c r="N2103" s="27" t="s">
        <v>20</v>
      </c>
      <c r="O2103" s="27" t="s">
        <v>12</v>
      </c>
      <c r="P2103" s="27" t="s">
        <v>13</v>
      </c>
      <c r="Q2103" s="27" t="s">
        <v>14</v>
      </c>
    </row>
    <row r="2104" spans="1:17" x14ac:dyDescent="0.3">
      <c r="A2104" s="22">
        <v>48</v>
      </c>
      <c r="B2104" s="19">
        <v>78.25</v>
      </c>
      <c r="C2104" s="20">
        <f>Sales!$B2104*Sales!$A2104</f>
        <v>3756</v>
      </c>
      <c r="D2104" s="21">
        <v>37922</v>
      </c>
      <c r="E2104" s="22" t="s">
        <v>9</v>
      </c>
      <c r="F2104" s="22">
        <v>4</v>
      </c>
      <c r="G2104" s="22">
        <v>10</v>
      </c>
      <c r="H2104" s="22">
        <v>2003</v>
      </c>
      <c r="I2104" s="22" t="s">
        <v>115</v>
      </c>
      <c r="J2104" s="20">
        <v>72</v>
      </c>
      <c r="K2104" s="20">
        <f>Sales!$B2104-Sales!$J2104</f>
        <v>6.25</v>
      </c>
      <c r="L2104" s="23">
        <f>(Sales!$J2104-Sales!$B2104)/Sales!$J2104</f>
        <v>-8.6805555555555552E-2</v>
      </c>
      <c r="M2104" s="23" t="str">
        <f t="shared" si="32"/>
        <v>Below 0%</v>
      </c>
      <c r="N2104" s="22" t="s">
        <v>22</v>
      </c>
      <c r="O2104" s="22" t="s">
        <v>12</v>
      </c>
      <c r="P2104" s="22" t="s">
        <v>13</v>
      </c>
      <c r="Q2104" s="22" t="s">
        <v>19</v>
      </c>
    </row>
    <row r="2105" spans="1:17" x14ac:dyDescent="0.3">
      <c r="A2105" s="27">
        <v>40</v>
      </c>
      <c r="B2105" s="24">
        <v>71</v>
      </c>
      <c r="C2105" s="25">
        <f>Sales!$B2105*Sales!$A2105</f>
        <v>2840</v>
      </c>
      <c r="D2105" s="26">
        <v>37998</v>
      </c>
      <c r="E2105" s="27" t="s">
        <v>9</v>
      </c>
      <c r="F2105" s="27">
        <v>1</v>
      </c>
      <c r="G2105" s="27">
        <v>1</v>
      </c>
      <c r="H2105" s="27">
        <v>2004</v>
      </c>
      <c r="I2105" s="27" t="s">
        <v>115</v>
      </c>
      <c r="J2105" s="25">
        <v>72</v>
      </c>
      <c r="K2105" s="25">
        <f>Sales!$B2105-Sales!$J2105</f>
        <v>-1</v>
      </c>
      <c r="L2105" s="28">
        <f>(Sales!$J2105-Sales!$B2105)/Sales!$J2105</f>
        <v>1.3888888888888888E-2</v>
      </c>
      <c r="M2105" s="28" t="str">
        <f t="shared" si="32"/>
        <v>0%-5%</v>
      </c>
      <c r="N2105" s="27" t="s">
        <v>70</v>
      </c>
      <c r="O2105" s="27" t="s">
        <v>51</v>
      </c>
      <c r="P2105" s="27" t="s">
        <v>51</v>
      </c>
      <c r="Q2105" s="27" t="s">
        <v>14</v>
      </c>
    </row>
    <row r="2106" spans="1:17" x14ac:dyDescent="0.3">
      <c r="A2106" s="22">
        <v>23</v>
      </c>
      <c r="B2106" s="19">
        <v>74.62</v>
      </c>
      <c r="C2106" s="20">
        <f>Sales!$B2106*Sales!$A2106</f>
        <v>1716.2600000000002</v>
      </c>
      <c r="D2106" s="21">
        <v>38037</v>
      </c>
      <c r="E2106" s="22" t="s">
        <v>9</v>
      </c>
      <c r="F2106" s="22">
        <v>1</v>
      </c>
      <c r="G2106" s="22">
        <v>2</v>
      </c>
      <c r="H2106" s="22">
        <v>2004</v>
      </c>
      <c r="I2106" s="22" t="s">
        <v>115</v>
      </c>
      <c r="J2106" s="20">
        <v>72</v>
      </c>
      <c r="K2106" s="20">
        <f>Sales!$B2106-Sales!$J2106</f>
        <v>2.6200000000000045</v>
      </c>
      <c r="L2106" s="23">
        <f>(Sales!$J2106-Sales!$B2106)/Sales!$J2106</f>
        <v>-3.638888888888895E-2</v>
      </c>
      <c r="M2106" s="23" t="str">
        <f t="shared" si="32"/>
        <v>Below 0%</v>
      </c>
      <c r="N2106" s="22" t="s">
        <v>26</v>
      </c>
      <c r="O2106" s="22" t="s">
        <v>27</v>
      </c>
      <c r="P2106" s="22" t="s">
        <v>28</v>
      </c>
      <c r="Q2106" s="22" t="s">
        <v>14</v>
      </c>
    </row>
    <row r="2107" spans="1:17" x14ac:dyDescent="0.3">
      <c r="A2107" s="27">
        <v>40</v>
      </c>
      <c r="B2107" s="24">
        <v>81.14</v>
      </c>
      <c r="C2107" s="25">
        <f>Sales!$B2107*Sales!$A2107</f>
        <v>3245.6</v>
      </c>
      <c r="D2107" s="26">
        <v>38079</v>
      </c>
      <c r="E2107" s="27" t="s">
        <v>9</v>
      </c>
      <c r="F2107" s="27">
        <v>2</v>
      </c>
      <c r="G2107" s="27">
        <v>4</v>
      </c>
      <c r="H2107" s="27">
        <v>2004</v>
      </c>
      <c r="I2107" s="27" t="s">
        <v>115</v>
      </c>
      <c r="J2107" s="25">
        <v>72</v>
      </c>
      <c r="K2107" s="25">
        <f>Sales!$B2107-Sales!$J2107</f>
        <v>9.14</v>
      </c>
      <c r="L2107" s="28">
        <f>(Sales!$J2107-Sales!$B2107)/Sales!$J2107</f>
        <v>-0.12694444444444444</v>
      </c>
      <c r="M2107" s="28" t="str">
        <f t="shared" si="32"/>
        <v>Below 0%</v>
      </c>
      <c r="N2107" s="27" t="s">
        <v>82</v>
      </c>
      <c r="O2107" s="27" t="s">
        <v>56</v>
      </c>
      <c r="P2107" s="27" t="s">
        <v>13</v>
      </c>
      <c r="Q2107" s="27" t="s">
        <v>19</v>
      </c>
    </row>
    <row r="2108" spans="1:17" x14ac:dyDescent="0.3">
      <c r="A2108" s="22">
        <v>37</v>
      </c>
      <c r="B2108" s="19">
        <v>74.62</v>
      </c>
      <c r="C2108" s="20">
        <f>Sales!$B2108*Sales!$A2108</f>
        <v>2760.94</v>
      </c>
      <c r="D2108" s="21">
        <v>38118</v>
      </c>
      <c r="E2108" s="22" t="s">
        <v>9</v>
      </c>
      <c r="F2108" s="22">
        <v>2</v>
      </c>
      <c r="G2108" s="22">
        <v>5</v>
      </c>
      <c r="H2108" s="22">
        <v>2004</v>
      </c>
      <c r="I2108" s="22" t="s">
        <v>115</v>
      </c>
      <c r="J2108" s="20">
        <v>72</v>
      </c>
      <c r="K2108" s="20">
        <f>Sales!$B2108-Sales!$J2108</f>
        <v>2.6200000000000045</v>
      </c>
      <c r="L2108" s="23">
        <f>(Sales!$J2108-Sales!$B2108)/Sales!$J2108</f>
        <v>-3.638888888888895E-2</v>
      </c>
      <c r="M2108" s="23" t="str">
        <f t="shared" si="32"/>
        <v>Below 0%</v>
      </c>
      <c r="N2108" s="22" t="s">
        <v>86</v>
      </c>
      <c r="O2108" s="22" t="s">
        <v>12</v>
      </c>
      <c r="P2108" s="22" t="s">
        <v>13</v>
      </c>
      <c r="Q2108" s="22" t="s">
        <v>14</v>
      </c>
    </row>
    <row r="2109" spans="1:17" x14ac:dyDescent="0.3">
      <c r="A2109" s="27">
        <v>24</v>
      </c>
      <c r="B2109" s="24">
        <v>75.349999999999994</v>
      </c>
      <c r="C2109" s="25">
        <f>Sales!$B2109*Sales!$A2109</f>
        <v>1808.3999999999999</v>
      </c>
      <c r="D2109" s="26">
        <v>38166</v>
      </c>
      <c r="E2109" s="27" t="s">
        <v>9</v>
      </c>
      <c r="F2109" s="27">
        <v>2</v>
      </c>
      <c r="G2109" s="27">
        <v>6</v>
      </c>
      <c r="H2109" s="27">
        <v>2004</v>
      </c>
      <c r="I2109" s="27" t="s">
        <v>115</v>
      </c>
      <c r="J2109" s="25">
        <v>72</v>
      </c>
      <c r="K2109" s="25">
        <f>Sales!$B2109-Sales!$J2109</f>
        <v>3.3499999999999943</v>
      </c>
      <c r="L2109" s="28">
        <f>(Sales!$J2109-Sales!$B2109)/Sales!$J2109</f>
        <v>-4.6527777777777696E-2</v>
      </c>
      <c r="M2109" s="28" t="str">
        <f t="shared" si="32"/>
        <v>Below 0%</v>
      </c>
      <c r="N2109" s="27" t="s">
        <v>30</v>
      </c>
      <c r="O2109" s="27" t="s">
        <v>12</v>
      </c>
      <c r="P2109" s="27" t="s">
        <v>13</v>
      </c>
      <c r="Q2109" s="27" t="s">
        <v>14</v>
      </c>
    </row>
    <row r="2110" spans="1:17" x14ac:dyDescent="0.3">
      <c r="A2110" s="22">
        <v>27</v>
      </c>
      <c r="B2110" s="19">
        <v>62.31</v>
      </c>
      <c r="C2110" s="20">
        <f>Sales!$B2110*Sales!$A2110</f>
        <v>1682.3700000000001</v>
      </c>
      <c r="D2110" s="21">
        <v>38191</v>
      </c>
      <c r="E2110" s="22" t="s">
        <v>9</v>
      </c>
      <c r="F2110" s="22">
        <v>3</v>
      </c>
      <c r="G2110" s="22">
        <v>7</v>
      </c>
      <c r="H2110" s="22">
        <v>2004</v>
      </c>
      <c r="I2110" s="22" t="s">
        <v>115</v>
      </c>
      <c r="J2110" s="20">
        <v>72</v>
      </c>
      <c r="K2110" s="20">
        <f>Sales!$B2110-Sales!$J2110</f>
        <v>-9.6899999999999977</v>
      </c>
      <c r="L2110" s="23">
        <f>(Sales!$J2110-Sales!$B2110)/Sales!$J2110</f>
        <v>0.1345833333333333</v>
      </c>
      <c r="M2110" s="23" t="str">
        <f t="shared" si="32"/>
        <v>10%-15%</v>
      </c>
      <c r="N2110" s="22" t="s">
        <v>31</v>
      </c>
      <c r="O2110" s="22" t="s">
        <v>16</v>
      </c>
      <c r="P2110" s="22" t="s">
        <v>17</v>
      </c>
      <c r="Q2110" s="22" t="s">
        <v>14</v>
      </c>
    </row>
    <row r="2111" spans="1:17" x14ac:dyDescent="0.3">
      <c r="A2111" s="27">
        <v>21</v>
      </c>
      <c r="B2111" s="24">
        <v>71</v>
      </c>
      <c r="C2111" s="25">
        <f>Sales!$B2111*Sales!$A2111</f>
        <v>1491</v>
      </c>
      <c r="D2111" s="26">
        <v>38220</v>
      </c>
      <c r="E2111" s="27" t="s">
        <v>9</v>
      </c>
      <c r="F2111" s="27">
        <v>3</v>
      </c>
      <c r="G2111" s="27">
        <v>8</v>
      </c>
      <c r="H2111" s="27">
        <v>2004</v>
      </c>
      <c r="I2111" s="27" t="s">
        <v>115</v>
      </c>
      <c r="J2111" s="25">
        <v>72</v>
      </c>
      <c r="K2111" s="25">
        <f>Sales!$B2111-Sales!$J2111</f>
        <v>-1</v>
      </c>
      <c r="L2111" s="28">
        <f>(Sales!$J2111-Sales!$B2111)/Sales!$J2111</f>
        <v>1.3888888888888888E-2</v>
      </c>
      <c r="M2111" s="28" t="str">
        <f t="shared" si="32"/>
        <v>0%-5%</v>
      </c>
      <c r="N2111" s="27" t="s">
        <v>110</v>
      </c>
      <c r="O2111" s="27" t="s">
        <v>25</v>
      </c>
      <c r="P2111" s="27" t="s">
        <v>17</v>
      </c>
      <c r="Q2111" s="27" t="s">
        <v>14</v>
      </c>
    </row>
    <row r="2112" spans="1:17" x14ac:dyDescent="0.3">
      <c r="A2112" s="22">
        <v>23</v>
      </c>
      <c r="B2112" s="19">
        <v>72.45</v>
      </c>
      <c r="C2112" s="20">
        <f>Sales!$B2112*Sales!$A2112</f>
        <v>1666.3500000000001</v>
      </c>
      <c r="D2112" s="21">
        <v>38246</v>
      </c>
      <c r="E2112" s="22" t="s">
        <v>9</v>
      </c>
      <c r="F2112" s="22">
        <v>3</v>
      </c>
      <c r="G2112" s="22">
        <v>9</v>
      </c>
      <c r="H2112" s="22">
        <v>2004</v>
      </c>
      <c r="I2112" s="22" t="s">
        <v>115</v>
      </c>
      <c r="J2112" s="20">
        <v>72</v>
      </c>
      <c r="K2112" s="20">
        <f>Sales!$B2112-Sales!$J2112</f>
        <v>0.45000000000000284</v>
      </c>
      <c r="L2112" s="23">
        <f>(Sales!$J2112-Sales!$B2112)/Sales!$J2112</f>
        <v>-6.2500000000000394E-3</v>
      </c>
      <c r="M2112" s="23" t="str">
        <f t="shared" si="32"/>
        <v>Below 0%</v>
      </c>
      <c r="N2112" s="22" t="s">
        <v>100</v>
      </c>
      <c r="O2112" s="22" t="s">
        <v>101</v>
      </c>
      <c r="P2112" s="22" t="s">
        <v>17</v>
      </c>
      <c r="Q2112" s="22" t="s">
        <v>14</v>
      </c>
    </row>
    <row r="2113" spans="1:17" x14ac:dyDescent="0.3">
      <c r="A2113" s="27">
        <v>44</v>
      </c>
      <c r="B2113" s="24">
        <v>83.32</v>
      </c>
      <c r="C2113" s="25">
        <f>Sales!$B2113*Sales!$A2113</f>
        <v>3666.08</v>
      </c>
      <c r="D2113" s="26">
        <v>38275</v>
      </c>
      <c r="E2113" s="27" t="s">
        <v>9</v>
      </c>
      <c r="F2113" s="27">
        <v>4</v>
      </c>
      <c r="G2113" s="27">
        <v>10</v>
      </c>
      <c r="H2113" s="27">
        <v>2004</v>
      </c>
      <c r="I2113" s="27" t="s">
        <v>115</v>
      </c>
      <c r="J2113" s="25">
        <v>72</v>
      </c>
      <c r="K2113" s="25">
        <f>Sales!$B2113-Sales!$J2113</f>
        <v>11.319999999999993</v>
      </c>
      <c r="L2113" s="28">
        <f>(Sales!$J2113-Sales!$B2113)/Sales!$J2113</f>
        <v>-0.15722222222222212</v>
      </c>
      <c r="M2113" s="28" t="str">
        <f t="shared" si="32"/>
        <v>Below 0%</v>
      </c>
      <c r="N2113" s="27" t="s">
        <v>71</v>
      </c>
      <c r="O2113" s="27" t="s">
        <v>12</v>
      </c>
      <c r="P2113" s="27" t="s">
        <v>13</v>
      </c>
      <c r="Q2113" s="27" t="s">
        <v>19</v>
      </c>
    </row>
    <row r="2114" spans="1:17" x14ac:dyDescent="0.3">
      <c r="A2114" s="22">
        <v>35</v>
      </c>
      <c r="B2114" s="19">
        <v>83.32</v>
      </c>
      <c r="C2114" s="20">
        <f>Sales!$B2114*Sales!$A2114</f>
        <v>2916.2</v>
      </c>
      <c r="D2114" s="21">
        <v>38293</v>
      </c>
      <c r="E2114" s="22" t="s">
        <v>9</v>
      </c>
      <c r="F2114" s="22">
        <v>4</v>
      </c>
      <c r="G2114" s="22">
        <v>11</v>
      </c>
      <c r="H2114" s="22">
        <v>2004</v>
      </c>
      <c r="I2114" s="22" t="s">
        <v>115</v>
      </c>
      <c r="J2114" s="20">
        <v>72</v>
      </c>
      <c r="K2114" s="20">
        <f>Sales!$B2114-Sales!$J2114</f>
        <v>11.319999999999993</v>
      </c>
      <c r="L2114" s="23">
        <f>(Sales!$J2114-Sales!$B2114)/Sales!$J2114</f>
        <v>-0.15722222222222212</v>
      </c>
      <c r="M2114" s="23" t="str">
        <f t="shared" si="32"/>
        <v>Below 0%</v>
      </c>
      <c r="N2114" s="22" t="s">
        <v>22</v>
      </c>
      <c r="O2114" s="22" t="s">
        <v>12</v>
      </c>
      <c r="P2114" s="22" t="s">
        <v>13</v>
      </c>
      <c r="Q2114" s="22" t="s">
        <v>14</v>
      </c>
    </row>
    <row r="2115" spans="1:17" x14ac:dyDescent="0.3">
      <c r="A2115" s="27">
        <v>43</v>
      </c>
      <c r="B2115" s="24">
        <v>60.86</v>
      </c>
      <c r="C2115" s="25">
        <f>Sales!$B2115*Sales!$A2115</f>
        <v>2616.98</v>
      </c>
      <c r="D2115" s="26">
        <v>38303</v>
      </c>
      <c r="E2115" s="27" t="s">
        <v>9</v>
      </c>
      <c r="F2115" s="27">
        <v>4</v>
      </c>
      <c r="G2115" s="27">
        <v>11</v>
      </c>
      <c r="H2115" s="27">
        <v>2004</v>
      </c>
      <c r="I2115" s="27" t="s">
        <v>115</v>
      </c>
      <c r="J2115" s="25">
        <v>72</v>
      </c>
      <c r="K2115" s="25">
        <f>Sales!$B2115-Sales!$J2115</f>
        <v>-11.14</v>
      </c>
      <c r="L2115" s="28">
        <f>(Sales!$J2115-Sales!$B2115)/Sales!$J2115</f>
        <v>0.15472222222222223</v>
      </c>
      <c r="M2115" s="28" t="s">
        <v>132</v>
      </c>
      <c r="N2115" s="27" t="s">
        <v>113</v>
      </c>
      <c r="O2115" s="27" t="s">
        <v>61</v>
      </c>
      <c r="P2115" s="27" t="s">
        <v>17</v>
      </c>
      <c r="Q2115" s="27" t="s">
        <v>14</v>
      </c>
    </row>
    <row r="2116" spans="1:17" x14ac:dyDescent="0.3">
      <c r="A2116" s="22">
        <v>40</v>
      </c>
      <c r="B2116" s="19">
        <v>84.77</v>
      </c>
      <c r="C2116" s="20">
        <f>Sales!$B2116*Sales!$A2116</f>
        <v>3390.7999999999997</v>
      </c>
      <c r="D2116" s="21">
        <v>38315</v>
      </c>
      <c r="E2116" s="22" t="s">
        <v>9</v>
      </c>
      <c r="F2116" s="22">
        <v>4</v>
      </c>
      <c r="G2116" s="22">
        <v>11</v>
      </c>
      <c r="H2116" s="22">
        <v>2004</v>
      </c>
      <c r="I2116" s="22" t="s">
        <v>115</v>
      </c>
      <c r="J2116" s="20">
        <v>72</v>
      </c>
      <c r="K2116" s="20">
        <f>Sales!$B2116-Sales!$J2116</f>
        <v>12.769999999999996</v>
      </c>
      <c r="L2116" s="23">
        <f>(Sales!$J2116-Sales!$B2116)/Sales!$J2116</f>
        <v>-0.17736111111111105</v>
      </c>
      <c r="M2116" s="23" t="str">
        <f t="shared" ref="M2116:M2177" si="33">IF(L2116&lt;0%,"Below 0%",IF(L2116=0%,"0%",IF(AND(L2116&lt;=5%,L2116&gt;0%),"0%-5%",IF(AND(L2116&lt;=10%,L2116&gt;5%),"5%-10%",IF(AND(L2116&lt;=15%,L2116&gt;10%),"10%-15%",IF(AND(L2116&lt;=20%,L2116&gt;15%),"15%-20%","+20%"))))))</f>
        <v>Below 0%</v>
      </c>
      <c r="N2116" s="22" t="s">
        <v>77</v>
      </c>
      <c r="O2116" s="22" t="s">
        <v>46</v>
      </c>
      <c r="P2116" s="22" t="s">
        <v>17</v>
      </c>
      <c r="Q2116" s="22" t="s">
        <v>19</v>
      </c>
    </row>
    <row r="2117" spans="1:17" x14ac:dyDescent="0.3">
      <c r="A2117" s="27">
        <v>35</v>
      </c>
      <c r="B2117" s="24">
        <v>89.9</v>
      </c>
      <c r="C2117" s="25">
        <f>Sales!$B2117*Sales!$A2117</f>
        <v>3146.5</v>
      </c>
      <c r="D2117" s="26">
        <v>38325</v>
      </c>
      <c r="E2117" s="27" t="s">
        <v>9</v>
      </c>
      <c r="F2117" s="27">
        <v>4</v>
      </c>
      <c r="G2117" s="27">
        <v>12</v>
      </c>
      <c r="H2117" s="27">
        <v>2004</v>
      </c>
      <c r="I2117" s="27" t="s">
        <v>115</v>
      </c>
      <c r="J2117" s="25">
        <v>72</v>
      </c>
      <c r="K2117" s="25">
        <f>Sales!$B2117-Sales!$J2117</f>
        <v>17.900000000000006</v>
      </c>
      <c r="L2117" s="28">
        <f>(Sales!$J2117-Sales!$B2117)/Sales!$J2117</f>
        <v>-0.2486111111111112</v>
      </c>
      <c r="M2117" s="28" t="str">
        <f t="shared" si="33"/>
        <v>Below 0%</v>
      </c>
      <c r="N2117" s="27" t="s">
        <v>105</v>
      </c>
      <c r="O2117" s="27" t="s">
        <v>12</v>
      </c>
      <c r="P2117" s="27" t="s">
        <v>13</v>
      </c>
      <c r="Q2117" s="27" t="s">
        <v>19</v>
      </c>
    </row>
    <row r="2118" spans="1:17" x14ac:dyDescent="0.3">
      <c r="A2118" s="22">
        <v>25</v>
      </c>
      <c r="B2118" s="19">
        <v>62.46</v>
      </c>
      <c r="C2118" s="20">
        <f>Sales!$B2118*Sales!$A2118</f>
        <v>1561.5</v>
      </c>
      <c r="D2118" s="21">
        <v>38338</v>
      </c>
      <c r="E2118" s="22" t="s">
        <v>9</v>
      </c>
      <c r="F2118" s="22">
        <v>4</v>
      </c>
      <c r="G2118" s="22">
        <v>12</v>
      </c>
      <c r="H2118" s="22">
        <v>2004</v>
      </c>
      <c r="I2118" s="22" t="s">
        <v>115</v>
      </c>
      <c r="J2118" s="20">
        <v>72</v>
      </c>
      <c r="K2118" s="20">
        <f>Sales!$B2118-Sales!$J2118</f>
        <v>-9.5399999999999991</v>
      </c>
      <c r="L2118" s="23">
        <f>(Sales!$J2118-Sales!$B2118)/Sales!$J2118</f>
        <v>0.13249999999999998</v>
      </c>
      <c r="M2118" s="23" t="str">
        <f t="shared" si="33"/>
        <v>10%-15%</v>
      </c>
      <c r="N2118" s="22" t="s">
        <v>40</v>
      </c>
      <c r="O2118" s="22" t="s">
        <v>27</v>
      </c>
      <c r="P2118" s="22" t="s">
        <v>28</v>
      </c>
      <c r="Q2118" s="22" t="s">
        <v>14</v>
      </c>
    </row>
    <row r="2119" spans="1:17" x14ac:dyDescent="0.3">
      <c r="A2119" s="27">
        <v>43</v>
      </c>
      <c r="B2119" s="24">
        <v>100</v>
      </c>
      <c r="C2119" s="25">
        <f>Sales!$B2119*Sales!$A2119</f>
        <v>4300</v>
      </c>
      <c r="D2119" s="26">
        <v>38386</v>
      </c>
      <c r="E2119" s="27" t="s">
        <v>9</v>
      </c>
      <c r="F2119" s="27">
        <v>1</v>
      </c>
      <c r="G2119" s="27">
        <v>2</v>
      </c>
      <c r="H2119" s="27">
        <v>2005</v>
      </c>
      <c r="I2119" s="27" t="s">
        <v>115</v>
      </c>
      <c r="J2119" s="25">
        <v>72</v>
      </c>
      <c r="K2119" s="25">
        <f>Sales!$B2119-Sales!$J2119</f>
        <v>28</v>
      </c>
      <c r="L2119" s="28">
        <f>(Sales!$J2119-Sales!$B2119)/Sales!$J2119</f>
        <v>-0.3888888888888889</v>
      </c>
      <c r="M2119" s="28" t="str">
        <f t="shared" si="33"/>
        <v>Below 0%</v>
      </c>
      <c r="N2119" s="27" t="s">
        <v>31</v>
      </c>
      <c r="O2119" s="27" t="s">
        <v>16</v>
      </c>
      <c r="P2119" s="27" t="s">
        <v>17</v>
      </c>
      <c r="Q2119" s="27" t="s">
        <v>39</v>
      </c>
    </row>
    <row r="2120" spans="1:17" x14ac:dyDescent="0.3">
      <c r="A2120" s="22">
        <v>50</v>
      </c>
      <c r="B2120" s="19">
        <v>63.34</v>
      </c>
      <c r="C2120" s="20">
        <f>Sales!$B2120*Sales!$A2120</f>
        <v>3167</v>
      </c>
      <c r="D2120" s="21">
        <v>38412</v>
      </c>
      <c r="E2120" s="22" t="s">
        <v>88</v>
      </c>
      <c r="F2120" s="22">
        <v>1</v>
      </c>
      <c r="G2120" s="22">
        <v>3</v>
      </c>
      <c r="H2120" s="22">
        <v>2005</v>
      </c>
      <c r="I2120" s="22" t="s">
        <v>115</v>
      </c>
      <c r="J2120" s="20">
        <v>72</v>
      </c>
      <c r="K2120" s="20">
        <f>Sales!$B2120-Sales!$J2120</f>
        <v>-8.6599999999999966</v>
      </c>
      <c r="L2120" s="23">
        <f>(Sales!$J2120-Sales!$B2120)/Sales!$J2120</f>
        <v>0.12027777777777773</v>
      </c>
      <c r="M2120" s="23" t="str">
        <f t="shared" si="33"/>
        <v>10%-15%</v>
      </c>
      <c r="N2120" s="22" t="s">
        <v>45</v>
      </c>
      <c r="O2120" s="22" t="s">
        <v>46</v>
      </c>
      <c r="P2120" s="22" t="s">
        <v>17</v>
      </c>
      <c r="Q2120" s="22" t="s">
        <v>19</v>
      </c>
    </row>
    <row r="2121" spans="1:17" x14ac:dyDescent="0.3">
      <c r="A2121" s="27">
        <v>45</v>
      </c>
      <c r="B2121" s="24">
        <v>78.25</v>
      </c>
      <c r="C2121" s="25">
        <f>Sales!$B2121*Sales!$A2121</f>
        <v>3521.25</v>
      </c>
      <c r="D2121" s="26">
        <v>38441</v>
      </c>
      <c r="E2121" s="27" t="s">
        <v>9</v>
      </c>
      <c r="F2121" s="27">
        <v>1</v>
      </c>
      <c r="G2121" s="27">
        <v>3</v>
      </c>
      <c r="H2121" s="27">
        <v>2005</v>
      </c>
      <c r="I2121" s="27" t="s">
        <v>115</v>
      </c>
      <c r="J2121" s="25">
        <v>72</v>
      </c>
      <c r="K2121" s="25">
        <f>Sales!$B2121-Sales!$J2121</f>
        <v>6.25</v>
      </c>
      <c r="L2121" s="28">
        <f>(Sales!$J2121-Sales!$B2121)/Sales!$J2121</f>
        <v>-8.6805555555555552E-2</v>
      </c>
      <c r="M2121" s="28" t="str">
        <f t="shared" si="33"/>
        <v>Below 0%</v>
      </c>
      <c r="N2121" s="27" t="s">
        <v>15</v>
      </c>
      <c r="O2121" s="27" t="s">
        <v>16</v>
      </c>
      <c r="P2121" s="27" t="s">
        <v>17</v>
      </c>
      <c r="Q2121" s="27" t="s">
        <v>19</v>
      </c>
    </row>
    <row r="2122" spans="1:17" x14ac:dyDescent="0.3">
      <c r="A2122" s="22">
        <v>52</v>
      </c>
      <c r="B2122" s="19">
        <v>81.14</v>
      </c>
      <c r="C2122" s="20">
        <f>Sales!$B2122*Sales!$A2122</f>
        <v>4219.28</v>
      </c>
      <c r="D2122" s="21">
        <v>38445</v>
      </c>
      <c r="E2122" s="22" t="s">
        <v>87</v>
      </c>
      <c r="F2122" s="22">
        <v>2</v>
      </c>
      <c r="G2122" s="22">
        <v>4</v>
      </c>
      <c r="H2122" s="22">
        <v>2005</v>
      </c>
      <c r="I2122" s="22" t="s">
        <v>115</v>
      </c>
      <c r="J2122" s="20">
        <v>72</v>
      </c>
      <c r="K2122" s="20">
        <f>Sales!$B2122-Sales!$J2122</f>
        <v>9.14</v>
      </c>
      <c r="L2122" s="23">
        <f>(Sales!$J2122-Sales!$B2122)/Sales!$J2122</f>
        <v>-0.12694444444444444</v>
      </c>
      <c r="M2122" s="23" t="str">
        <f t="shared" si="33"/>
        <v>Below 0%</v>
      </c>
      <c r="N2122" s="22" t="s">
        <v>29</v>
      </c>
      <c r="O2122" s="22" t="s">
        <v>12</v>
      </c>
      <c r="P2122" s="22" t="s">
        <v>13</v>
      </c>
      <c r="Q2122" s="22" t="s">
        <v>19</v>
      </c>
    </row>
    <row r="2123" spans="1:17" x14ac:dyDescent="0.3">
      <c r="A2123" s="27">
        <v>48</v>
      </c>
      <c r="B2123" s="24">
        <v>74.62</v>
      </c>
      <c r="C2123" s="25">
        <f>Sales!$B2123*Sales!$A2123</f>
        <v>3581.76</v>
      </c>
      <c r="D2123" s="26">
        <v>38482</v>
      </c>
      <c r="E2123" s="27" t="s">
        <v>9</v>
      </c>
      <c r="F2123" s="27">
        <v>2</v>
      </c>
      <c r="G2123" s="27">
        <v>5</v>
      </c>
      <c r="H2123" s="27">
        <v>2005</v>
      </c>
      <c r="I2123" s="27" t="s">
        <v>115</v>
      </c>
      <c r="J2123" s="25">
        <v>72</v>
      </c>
      <c r="K2123" s="25">
        <f>Sales!$B2123-Sales!$J2123</f>
        <v>2.6200000000000045</v>
      </c>
      <c r="L2123" s="28">
        <f>(Sales!$J2123-Sales!$B2123)/Sales!$J2123</f>
        <v>-3.638888888888895E-2</v>
      </c>
      <c r="M2123" s="28" t="str">
        <f t="shared" si="33"/>
        <v>Below 0%</v>
      </c>
      <c r="N2123" s="27" t="s">
        <v>97</v>
      </c>
      <c r="O2123" s="27" t="s">
        <v>61</v>
      </c>
      <c r="P2123" s="27" t="s">
        <v>17</v>
      </c>
      <c r="Q2123" s="27" t="s">
        <v>19</v>
      </c>
    </row>
    <row r="2124" spans="1:17" x14ac:dyDescent="0.3">
      <c r="A2124" s="22">
        <v>31</v>
      </c>
      <c r="B2124" s="19">
        <v>68.709999999999994</v>
      </c>
      <c r="C2124" s="20">
        <f>Sales!$B2124*Sales!$A2124</f>
        <v>2130.0099999999998</v>
      </c>
      <c r="D2124" s="21">
        <v>37683</v>
      </c>
      <c r="E2124" s="22" t="s">
        <v>9</v>
      </c>
      <c r="F2124" s="22">
        <v>1</v>
      </c>
      <c r="G2124" s="22">
        <v>3</v>
      </c>
      <c r="H2124" s="22">
        <v>2003</v>
      </c>
      <c r="I2124" s="22" t="s">
        <v>47</v>
      </c>
      <c r="J2124" s="20">
        <v>80</v>
      </c>
      <c r="K2124" s="20">
        <f>Sales!$B2124-Sales!$J2124</f>
        <v>-11.290000000000006</v>
      </c>
      <c r="L2124" s="23">
        <f>(Sales!$J2124-Sales!$B2124)/Sales!$J2124</f>
        <v>0.14112500000000008</v>
      </c>
      <c r="M2124" s="23" t="str">
        <f t="shared" si="33"/>
        <v>10%-15%</v>
      </c>
      <c r="N2124" s="22" t="s">
        <v>90</v>
      </c>
      <c r="O2124" s="22" t="s">
        <v>91</v>
      </c>
      <c r="P2124" s="22" t="s">
        <v>28</v>
      </c>
      <c r="Q2124" s="22" t="s">
        <v>14</v>
      </c>
    </row>
    <row r="2125" spans="1:17" x14ac:dyDescent="0.3">
      <c r="A2125" s="27">
        <v>29</v>
      </c>
      <c r="B2125" s="24">
        <v>71.14</v>
      </c>
      <c r="C2125" s="25">
        <f>Sales!$B2125*Sales!$A2125</f>
        <v>2063.06</v>
      </c>
      <c r="D2125" s="26">
        <v>37749</v>
      </c>
      <c r="E2125" s="27" t="s">
        <v>9</v>
      </c>
      <c r="F2125" s="27">
        <v>2</v>
      </c>
      <c r="G2125" s="27">
        <v>5</v>
      </c>
      <c r="H2125" s="27">
        <v>2003</v>
      </c>
      <c r="I2125" s="27" t="s">
        <v>47</v>
      </c>
      <c r="J2125" s="25">
        <v>80</v>
      </c>
      <c r="K2125" s="25">
        <f>Sales!$B2125-Sales!$J2125</f>
        <v>-8.86</v>
      </c>
      <c r="L2125" s="28">
        <f>(Sales!$J2125-Sales!$B2125)/Sales!$J2125</f>
        <v>0.11074999999999999</v>
      </c>
      <c r="M2125" s="28" t="str">
        <f t="shared" si="33"/>
        <v>10%-15%</v>
      </c>
      <c r="N2125" s="27" t="s">
        <v>92</v>
      </c>
      <c r="O2125" s="27" t="s">
        <v>16</v>
      </c>
      <c r="P2125" s="27" t="s">
        <v>17</v>
      </c>
      <c r="Q2125" s="27" t="s">
        <v>14</v>
      </c>
    </row>
    <row r="2126" spans="1:17" x14ac:dyDescent="0.3">
      <c r="A2126" s="22">
        <v>23</v>
      </c>
      <c r="B2126" s="19">
        <v>87.31</v>
      </c>
      <c r="C2126" s="20">
        <f>Sales!$B2126*Sales!$A2126</f>
        <v>2008.13</v>
      </c>
      <c r="D2126" s="21">
        <v>37804</v>
      </c>
      <c r="E2126" s="22" t="s">
        <v>9</v>
      </c>
      <c r="F2126" s="22">
        <v>3</v>
      </c>
      <c r="G2126" s="22">
        <v>7</v>
      </c>
      <c r="H2126" s="22">
        <v>2003</v>
      </c>
      <c r="I2126" s="22" t="s">
        <v>47</v>
      </c>
      <c r="J2126" s="20">
        <v>80</v>
      </c>
      <c r="K2126" s="20">
        <f>Sales!$B2126-Sales!$J2126</f>
        <v>7.3100000000000023</v>
      </c>
      <c r="L2126" s="23">
        <f>(Sales!$J2126-Sales!$B2126)/Sales!$J2126</f>
        <v>-9.1375000000000026E-2</v>
      </c>
      <c r="M2126" s="23" t="str">
        <f t="shared" si="33"/>
        <v>Below 0%</v>
      </c>
      <c r="N2126" s="22" t="s">
        <v>64</v>
      </c>
      <c r="O2126" s="22" t="s">
        <v>12</v>
      </c>
      <c r="P2126" s="22" t="s">
        <v>13</v>
      </c>
      <c r="Q2126" s="22" t="s">
        <v>14</v>
      </c>
    </row>
    <row r="2127" spans="1:17" x14ac:dyDescent="0.3">
      <c r="A2127" s="27">
        <v>31</v>
      </c>
      <c r="B2127" s="24">
        <v>64.67</v>
      </c>
      <c r="C2127" s="25">
        <f>Sales!$B2127*Sales!$A2127</f>
        <v>2004.77</v>
      </c>
      <c r="D2127" s="26">
        <v>37869</v>
      </c>
      <c r="E2127" s="27" t="s">
        <v>9</v>
      </c>
      <c r="F2127" s="27">
        <v>3</v>
      </c>
      <c r="G2127" s="27">
        <v>9</v>
      </c>
      <c r="H2127" s="27">
        <v>2003</v>
      </c>
      <c r="I2127" s="27" t="s">
        <v>47</v>
      </c>
      <c r="J2127" s="25">
        <v>80</v>
      </c>
      <c r="K2127" s="25">
        <f>Sales!$B2127-Sales!$J2127</f>
        <v>-15.329999999999998</v>
      </c>
      <c r="L2127" s="28">
        <f>(Sales!$J2127-Sales!$B2127)/Sales!$J2127</f>
        <v>0.19162499999999999</v>
      </c>
      <c r="M2127" s="28" t="str">
        <f t="shared" si="33"/>
        <v>15%-20%</v>
      </c>
      <c r="N2127" s="27" t="s">
        <v>66</v>
      </c>
      <c r="O2127" s="27" t="s">
        <v>12</v>
      </c>
      <c r="P2127" s="27" t="s">
        <v>13</v>
      </c>
      <c r="Q2127" s="27" t="s">
        <v>14</v>
      </c>
    </row>
    <row r="2128" spans="1:17" x14ac:dyDescent="0.3">
      <c r="A2128" s="22">
        <v>23</v>
      </c>
      <c r="B2128" s="19">
        <v>67.099999999999994</v>
      </c>
      <c r="C2128" s="20">
        <f>Sales!$B2128*Sales!$A2128</f>
        <v>1543.3</v>
      </c>
      <c r="D2128" s="21">
        <v>37904</v>
      </c>
      <c r="E2128" s="22" t="s">
        <v>9</v>
      </c>
      <c r="F2128" s="22">
        <v>4</v>
      </c>
      <c r="G2128" s="22">
        <v>10</v>
      </c>
      <c r="H2128" s="22">
        <v>2003</v>
      </c>
      <c r="I2128" s="22" t="s">
        <v>47</v>
      </c>
      <c r="J2128" s="20">
        <v>80</v>
      </c>
      <c r="K2128" s="20">
        <f>Sales!$B2128-Sales!$J2128</f>
        <v>-12.900000000000006</v>
      </c>
      <c r="L2128" s="23">
        <f>(Sales!$J2128-Sales!$B2128)/Sales!$J2128</f>
        <v>0.16125000000000006</v>
      </c>
      <c r="M2128" s="23" t="str">
        <f t="shared" si="33"/>
        <v>15%-20%</v>
      </c>
      <c r="N2128" s="22" t="s">
        <v>21</v>
      </c>
      <c r="O2128" s="22" t="s">
        <v>12</v>
      </c>
      <c r="P2128" s="22" t="s">
        <v>13</v>
      </c>
      <c r="Q2128" s="22" t="s">
        <v>14</v>
      </c>
    </row>
    <row r="2129" spans="1:17" x14ac:dyDescent="0.3">
      <c r="A2129" s="27">
        <v>24</v>
      </c>
      <c r="B2129" s="24">
        <v>94.58</v>
      </c>
      <c r="C2129" s="25">
        <f>Sales!$B2129*Sales!$A2129</f>
        <v>2269.92</v>
      </c>
      <c r="D2129" s="26">
        <v>37929</v>
      </c>
      <c r="E2129" s="27" t="s">
        <v>9</v>
      </c>
      <c r="F2129" s="27">
        <v>4</v>
      </c>
      <c r="G2129" s="27">
        <v>11</v>
      </c>
      <c r="H2129" s="27">
        <v>2003</v>
      </c>
      <c r="I2129" s="27" t="s">
        <v>47</v>
      </c>
      <c r="J2129" s="25">
        <v>80</v>
      </c>
      <c r="K2129" s="25">
        <f>Sales!$B2129-Sales!$J2129</f>
        <v>14.579999999999998</v>
      </c>
      <c r="L2129" s="28">
        <f>(Sales!$J2129-Sales!$B2129)/Sales!$J2129</f>
        <v>-0.18224999999999997</v>
      </c>
      <c r="M2129" s="28" t="str">
        <f t="shared" si="33"/>
        <v>Below 0%</v>
      </c>
      <c r="N2129" s="27" t="s">
        <v>67</v>
      </c>
      <c r="O2129" s="27" t="s">
        <v>27</v>
      </c>
      <c r="P2129" s="27" t="s">
        <v>28</v>
      </c>
      <c r="Q2129" s="27" t="s">
        <v>14</v>
      </c>
    </row>
    <row r="2130" spans="1:17" x14ac:dyDescent="0.3">
      <c r="A2130" s="22">
        <v>28</v>
      </c>
      <c r="B2130" s="19">
        <v>71.14</v>
      </c>
      <c r="C2130" s="20">
        <f>Sales!$B2130*Sales!$A2130</f>
        <v>1991.92</v>
      </c>
      <c r="D2130" s="21">
        <v>37936</v>
      </c>
      <c r="E2130" s="22" t="s">
        <v>9</v>
      </c>
      <c r="F2130" s="22">
        <v>4</v>
      </c>
      <c r="G2130" s="22">
        <v>11</v>
      </c>
      <c r="H2130" s="22">
        <v>2003</v>
      </c>
      <c r="I2130" s="22" t="s">
        <v>47</v>
      </c>
      <c r="J2130" s="20">
        <v>80</v>
      </c>
      <c r="K2130" s="20">
        <f>Sales!$B2130-Sales!$J2130</f>
        <v>-8.86</v>
      </c>
      <c r="L2130" s="23">
        <f>(Sales!$J2130-Sales!$B2130)/Sales!$J2130</f>
        <v>0.11074999999999999</v>
      </c>
      <c r="M2130" s="23" t="str">
        <f t="shared" si="33"/>
        <v>10%-15%</v>
      </c>
      <c r="N2130" s="22" t="s">
        <v>23</v>
      </c>
      <c r="O2130" s="22" t="s">
        <v>16</v>
      </c>
      <c r="P2130" s="22" t="s">
        <v>17</v>
      </c>
      <c r="Q2130" s="22" t="s">
        <v>14</v>
      </c>
    </row>
    <row r="2131" spans="1:17" x14ac:dyDescent="0.3">
      <c r="A2131" s="27">
        <v>44</v>
      </c>
      <c r="B2131" s="24">
        <v>66.290000000000006</v>
      </c>
      <c r="C2131" s="25">
        <f>Sales!$B2131*Sales!$A2131</f>
        <v>2916.76</v>
      </c>
      <c r="D2131" s="26">
        <v>37945</v>
      </c>
      <c r="E2131" s="27" t="s">
        <v>9</v>
      </c>
      <c r="F2131" s="27">
        <v>4</v>
      </c>
      <c r="G2131" s="27">
        <v>11</v>
      </c>
      <c r="H2131" s="27">
        <v>2003</v>
      </c>
      <c r="I2131" s="27" t="s">
        <v>47</v>
      </c>
      <c r="J2131" s="25">
        <v>80</v>
      </c>
      <c r="K2131" s="25">
        <f>Sales!$B2131-Sales!$J2131</f>
        <v>-13.709999999999994</v>
      </c>
      <c r="L2131" s="28">
        <f>(Sales!$J2131-Sales!$B2131)/Sales!$J2131</f>
        <v>0.17137499999999992</v>
      </c>
      <c r="M2131" s="28" t="str">
        <f t="shared" si="33"/>
        <v>15%-20%</v>
      </c>
      <c r="N2131" s="27" t="s">
        <v>93</v>
      </c>
      <c r="O2131" s="27" t="s">
        <v>94</v>
      </c>
      <c r="P2131" s="27" t="s">
        <v>17</v>
      </c>
      <c r="Q2131" s="27" t="s">
        <v>14</v>
      </c>
    </row>
    <row r="2132" spans="1:17" x14ac:dyDescent="0.3">
      <c r="A2132" s="22">
        <v>22</v>
      </c>
      <c r="B2132" s="19">
        <v>92.16</v>
      </c>
      <c r="C2132" s="20">
        <f>Sales!$B2132*Sales!$A2132</f>
        <v>2027.52</v>
      </c>
      <c r="D2132" s="21">
        <v>38001</v>
      </c>
      <c r="E2132" s="22" t="s">
        <v>9</v>
      </c>
      <c r="F2132" s="22">
        <v>1</v>
      </c>
      <c r="G2132" s="22">
        <v>1</v>
      </c>
      <c r="H2132" s="22">
        <v>2004</v>
      </c>
      <c r="I2132" s="22" t="s">
        <v>47</v>
      </c>
      <c r="J2132" s="20">
        <v>80</v>
      </c>
      <c r="K2132" s="20">
        <f>Sales!$B2132-Sales!$J2132</f>
        <v>12.159999999999997</v>
      </c>
      <c r="L2132" s="23">
        <f>(Sales!$J2132-Sales!$B2132)/Sales!$J2132</f>
        <v>-0.15199999999999997</v>
      </c>
      <c r="M2132" s="23" t="str">
        <f t="shared" si="33"/>
        <v>Below 0%</v>
      </c>
      <c r="N2132" s="22" t="s">
        <v>18</v>
      </c>
      <c r="O2132" s="22" t="s">
        <v>16</v>
      </c>
      <c r="P2132" s="22" t="s">
        <v>17</v>
      </c>
      <c r="Q2132" s="22" t="s">
        <v>14</v>
      </c>
    </row>
    <row r="2133" spans="1:17" x14ac:dyDescent="0.3">
      <c r="A2133" s="27">
        <v>46</v>
      </c>
      <c r="B2133" s="24">
        <v>70.33</v>
      </c>
      <c r="C2133" s="25">
        <f>Sales!$B2133*Sales!$A2133</f>
        <v>3235.18</v>
      </c>
      <c r="D2133" s="26">
        <v>38039</v>
      </c>
      <c r="E2133" s="27" t="s">
        <v>9</v>
      </c>
      <c r="F2133" s="27">
        <v>1</v>
      </c>
      <c r="G2133" s="27">
        <v>2</v>
      </c>
      <c r="H2133" s="27">
        <v>2004</v>
      </c>
      <c r="I2133" s="27" t="s">
        <v>47</v>
      </c>
      <c r="J2133" s="25">
        <v>80</v>
      </c>
      <c r="K2133" s="25">
        <f>Sales!$B2133-Sales!$J2133</f>
        <v>-9.6700000000000017</v>
      </c>
      <c r="L2133" s="28">
        <f>(Sales!$J2133-Sales!$B2133)/Sales!$J2133</f>
        <v>0.12087500000000002</v>
      </c>
      <c r="M2133" s="28" t="str">
        <f t="shared" si="33"/>
        <v>10%-15%</v>
      </c>
      <c r="N2133" s="27" t="s">
        <v>95</v>
      </c>
      <c r="O2133" s="27" t="s">
        <v>96</v>
      </c>
      <c r="P2133" s="27" t="s">
        <v>17</v>
      </c>
      <c r="Q2133" s="27" t="s">
        <v>19</v>
      </c>
    </row>
    <row r="2134" spans="1:17" x14ac:dyDescent="0.3">
      <c r="A2134" s="22">
        <v>22</v>
      </c>
      <c r="B2134" s="19">
        <v>93.77</v>
      </c>
      <c r="C2134" s="20">
        <f>Sales!$B2134*Sales!$A2134</f>
        <v>2062.94</v>
      </c>
      <c r="D2134" s="21">
        <v>38086</v>
      </c>
      <c r="E2134" s="22" t="s">
        <v>9</v>
      </c>
      <c r="F2134" s="22">
        <v>2</v>
      </c>
      <c r="G2134" s="22">
        <v>4</v>
      </c>
      <c r="H2134" s="22">
        <v>2004</v>
      </c>
      <c r="I2134" s="22" t="s">
        <v>47</v>
      </c>
      <c r="J2134" s="20">
        <v>80</v>
      </c>
      <c r="K2134" s="20">
        <f>Sales!$B2134-Sales!$J2134</f>
        <v>13.769999999999996</v>
      </c>
      <c r="L2134" s="23">
        <f>(Sales!$J2134-Sales!$B2134)/Sales!$J2134</f>
        <v>-0.17212499999999994</v>
      </c>
      <c r="M2134" s="23" t="str">
        <f t="shared" si="33"/>
        <v>Below 0%</v>
      </c>
      <c r="N2134" s="22" t="s">
        <v>72</v>
      </c>
      <c r="O2134" s="22" t="s">
        <v>73</v>
      </c>
      <c r="P2134" s="22" t="s">
        <v>17</v>
      </c>
      <c r="Q2134" s="22" t="s">
        <v>14</v>
      </c>
    </row>
    <row r="2135" spans="1:17" x14ac:dyDescent="0.3">
      <c r="A2135" s="27">
        <v>38</v>
      </c>
      <c r="B2135" s="24">
        <v>87.31</v>
      </c>
      <c r="C2135" s="25">
        <f>Sales!$B2135*Sales!$A2135</f>
        <v>3317.78</v>
      </c>
      <c r="D2135" s="26">
        <v>38133</v>
      </c>
      <c r="E2135" s="27" t="s">
        <v>9</v>
      </c>
      <c r="F2135" s="27">
        <v>2</v>
      </c>
      <c r="G2135" s="27">
        <v>5</v>
      </c>
      <c r="H2135" s="27">
        <v>2004</v>
      </c>
      <c r="I2135" s="27" t="s">
        <v>47</v>
      </c>
      <c r="J2135" s="25">
        <v>80</v>
      </c>
      <c r="K2135" s="25">
        <f>Sales!$B2135-Sales!$J2135</f>
        <v>7.3100000000000023</v>
      </c>
      <c r="L2135" s="28">
        <f>(Sales!$J2135-Sales!$B2135)/Sales!$J2135</f>
        <v>-9.1375000000000026E-2</v>
      </c>
      <c r="M2135" s="28" t="str">
        <f t="shared" si="33"/>
        <v>Below 0%</v>
      </c>
      <c r="N2135" s="27" t="s">
        <v>18</v>
      </c>
      <c r="O2135" s="27" t="s">
        <v>16</v>
      </c>
      <c r="P2135" s="27" t="s">
        <v>17</v>
      </c>
      <c r="Q2135" s="27" t="s">
        <v>19</v>
      </c>
    </row>
    <row r="2136" spans="1:17" x14ac:dyDescent="0.3">
      <c r="A2136" s="22">
        <v>47</v>
      </c>
      <c r="B2136" s="19">
        <v>83.27</v>
      </c>
      <c r="C2136" s="20">
        <f>Sales!$B2136*Sales!$A2136</f>
        <v>3913.6899999999996</v>
      </c>
      <c r="D2136" s="21">
        <v>38168</v>
      </c>
      <c r="E2136" s="22" t="s">
        <v>9</v>
      </c>
      <c r="F2136" s="22">
        <v>2</v>
      </c>
      <c r="G2136" s="22">
        <v>6</v>
      </c>
      <c r="H2136" s="22">
        <v>2004</v>
      </c>
      <c r="I2136" s="22" t="s">
        <v>47</v>
      </c>
      <c r="J2136" s="20">
        <v>80</v>
      </c>
      <c r="K2136" s="20">
        <f>Sales!$B2136-Sales!$J2136</f>
        <v>3.269999999999996</v>
      </c>
      <c r="L2136" s="23">
        <f>(Sales!$J2136-Sales!$B2136)/Sales!$J2136</f>
        <v>-4.0874999999999953E-2</v>
      </c>
      <c r="M2136" s="23" t="str">
        <f t="shared" si="33"/>
        <v>Below 0%</v>
      </c>
      <c r="N2136" s="22" t="s">
        <v>83</v>
      </c>
      <c r="O2136" s="22" t="s">
        <v>12</v>
      </c>
      <c r="P2136" s="22" t="s">
        <v>13</v>
      </c>
      <c r="Q2136" s="22" t="s">
        <v>19</v>
      </c>
    </row>
    <row r="2137" spans="1:17" x14ac:dyDescent="0.3">
      <c r="A2137" s="27">
        <v>48</v>
      </c>
      <c r="B2137" s="24">
        <v>75.180000000000007</v>
      </c>
      <c r="C2137" s="25">
        <f>Sales!$B2137*Sales!$A2137</f>
        <v>3608.6400000000003</v>
      </c>
      <c r="D2137" s="26">
        <v>38201</v>
      </c>
      <c r="E2137" s="27" t="s">
        <v>9</v>
      </c>
      <c r="F2137" s="27">
        <v>3</v>
      </c>
      <c r="G2137" s="27">
        <v>8</v>
      </c>
      <c r="H2137" s="27">
        <v>2004</v>
      </c>
      <c r="I2137" s="27" t="s">
        <v>47</v>
      </c>
      <c r="J2137" s="25">
        <v>80</v>
      </c>
      <c r="K2137" s="25">
        <f>Sales!$B2137-Sales!$J2137</f>
        <v>-4.8199999999999932</v>
      </c>
      <c r="L2137" s="28">
        <f>(Sales!$J2137-Sales!$B2137)/Sales!$J2137</f>
        <v>6.0249999999999915E-2</v>
      </c>
      <c r="M2137" s="28" t="str">
        <f t="shared" si="33"/>
        <v>5%-10%</v>
      </c>
      <c r="N2137" s="27" t="s">
        <v>66</v>
      </c>
      <c r="O2137" s="27" t="s">
        <v>12</v>
      </c>
      <c r="P2137" s="27" t="s">
        <v>13</v>
      </c>
      <c r="Q2137" s="27" t="s">
        <v>19</v>
      </c>
    </row>
    <row r="2138" spans="1:17" x14ac:dyDescent="0.3">
      <c r="A2138" s="22">
        <v>40</v>
      </c>
      <c r="B2138" s="19">
        <v>88.12</v>
      </c>
      <c r="C2138" s="20">
        <f>Sales!$B2138*Sales!$A2138</f>
        <v>3524.8</v>
      </c>
      <c r="D2138" s="21">
        <v>38229</v>
      </c>
      <c r="E2138" s="22" t="s">
        <v>9</v>
      </c>
      <c r="F2138" s="22">
        <v>3</v>
      </c>
      <c r="G2138" s="22">
        <v>8</v>
      </c>
      <c r="H2138" s="22">
        <v>2004</v>
      </c>
      <c r="I2138" s="22" t="s">
        <v>47</v>
      </c>
      <c r="J2138" s="20">
        <v>80</v>
      </c>
      <c r="K2138" s="20">
        <f>Sales!$B2138-Sales!$J2138</f>
        <v>8.1200000000000045</v>
      </c>
      <c r="L2138" s="23">
        <f>(Sales!$J2138-Sales!$B2138)/Sales!$J2138</f>
        <v>-0.10150000000000006</v>
      </c>
      <c r="M2138" s="23" t="str">
        <f t="shared" si="33"/>
        <v>Below 0%</v>
      </c>
      <c r="N2138" s="22" t="s">
        <v>95</v>
      </c>
      <c r="O2138" s="22" t="s">
        <v>96</v>
      </c>
      <c r="P2138" s="22" t="s">
        <v>17</v>
      </c>
      <c r="Q2138" s="22" t="s">
        <v>19</v>
      </c>
    </row>
    <row r="2139" spans="1:17" x14ac:dyDescent="0.3">
      <c r="A2139" s="27">
        <v>32</v>
      </c>
      <c r="B2139" s="24">
        <v>80.84</v>
      </c>
      <c r="C2139" s="25">
        <f>Sales!$B2139*Sales!$A2139</f>
        <v>2586.88</v>
      </c>
      <c r="D2139" s="26">
        <v>38260</v>
      </c>
      <c r="E2139" s="27" t="s">
        <v>9</v>
      </c>
      <c r="F2139" s="27">
        <v>3</v>
      </c>
      <c r="G2139" s="27">
        <v>9</v>
      </c>
      <c r="H2139" s="27">
        <v>2004</v>
      </c>
      <c r="I2139" s="27" t="s">
        <v>47</v>
      </c>
      <c r="J2139" s="25">
        <v>80</v>
      </c>
      <c r="K2139" s="25">
        <f>Sales!$B2139-Sales!$J2139</f>
        <v>0.84000000000000341</v>
      </c>
      <c r="L2139" s="28">
        <f>(Sales!$J2139-Sales!$B2139)/Sales!$J2139</f>
        <v>-1.0500000000000042E-2</v>
      </c>
      <c r="M2139" s="28" t="str">
        <f t="shared" si="33"/>
        <v>Below 0%</v>
      </c>
      <c r="N2139" s="27" t="s">
        <v>33</v>
      </c>
      <c r="O2139" s="27" t="s">
        <v>34</v>
      </c>
      <c r="P2139" s="27" t="s">
        <v>17</v>
      </c>
      <c r="Q2139" s="27" t="s">
        <v>14</v>
      </c>
    </row>
    <row r="2140" spans="1:17" x14ac:dyDescent="0.3">
      <c r="A2140" s="22">
        <v>49</v>
      </c>
      <c r="B2140" s="19">
        <v>97.01</v>
      </c>
      <c r="C2140" s="20">
        <f>Sales!$B2140*Sales!$A2140</f>
        <v>4753.4900000000007</v>
      </c>
      <c r="D2140" s="21">
        <v>38276</v>
      </c>
      <c r="E2140" s="22" t="s">
        <v>9</v>
      </c>
      <c r="F2140" s="22">
        <v>4</v>
      </c>
      <c r="G2140" s="22">
        <v>10</v>
      </c>
      <c r="H2140" s="22">
        <v>2004</v>
      </c>
      <c r="I2140" s="22" t="s">
        <v>47</v>
      </c>
      <c r="J2140" s="20">
        <v>80</v>
      </c>
      <c r="K2140" s="20">
        <f>Sales!$B2140-Sales!$J2140</f>
        <v>17.010000000000005</v>
      </c>
      <c r="L2140" s="23">
        <f>(Sales!$J2140-Sales!$B2140)/Sales!$J2140</f>
        <v>-0.21262500000000006</v>
      </c>
      <c r="M2140" s="23" t="str">
        <f t="shared" si="33"/>
        <v>Below 0%</v>
      </c>
      <c r="N2140" s="22" t="s">
        <v>93</v>
      </c>
      <c r="O2140" s="22" t="s">
        <v>94</v>
      </c>
      <c r="P2140" s="22" t="s">
        <v>17</v>
      </c>
      <c r="Q2140" s="22" t="s">
        <v>19</v>
      </c>
    </row>
    <row r="2141" spans="1:17" x14ac:dyDescent="0.3">
      <c r="A2141" s="27">
        <v>43</v>
      </c>
      <c r="B2141" s="24">
        <v>85.69</v>
      </c>
      <c r="C2141" s="25">
        <f>Sales!$B2141*Sales!$A2141</f>
        <v>3684.67</v>
      </c>
      <c r="D2141" s="26">
        <v>38294</v>
      </c>
      <c r="E2141" s="27" t="s">
        <v>9</v>
      </c>
      <c r="F2141" s="27">
        <v>4</v>
      </c>
      <c r="G2141" s="27">
        <v>11</v>
      </c>
      <c r="H2141" s="27">
        <v>2004</v>
      </c>
      <c r="I2141" s="27" t="s">
        <v>47</v>
      </c>
      <c r="J2141" s="25">
        <v>80</v>
      </c>
      <c r="K2141" s="25">
        <f>Sales!$B2141-Sales!$J2141</f>
        <v>5.6899999999999977</v>
      </c>
      <c r="L2141" s="28">
        <f>(Sales!$J2141-Sales!$B2141)/Sales!$J2141</f>
        <v>-7.1124999999999966E-2</v>
      </c>
      <c r="M2141" s="28" t="str">
        <f t="shared" si="33"/>
        <v>Below 0%</v>
      </c>
      <c r="N2141" s="27" t="s">
        <v>11</v>
      </c>
      <c r="O2141" s="27" t="s">
        <v>12</v>
      </c>
      <c r="P2141" s="27" t="s">
        <v>13</v>
      </c>
      <c r="Q2141" s="27" t="s">
        <v>19</v>
      </c>
    </row>
    <row r="2142" spans="1:17" x14ac:dyDescent="0.3">
      <c r="A2142" s="22">
        <v>41</v>
      </c>
      <c r="B2142" s="19">
        <v>100</v>
      </c>
      <c r="C2142" s="20">
        <f>Sales!$B2142*Sales!$A2142</f>
        <v>4100</v>
      </c>
      <c r="D2142" s="21">
        <v>38308</v>
      </c>
      <c r="E2142" s="22" t="s">
        <v>9</v>
      </c>
      <c r="F2142" s="22">
        <v>4</v>
      </c>
      <c r="G2142" s="22">
        <v>11</v>
      </c>
      <c r="H2142" s="22">
        <v>2004</v>
      </c>
      <c r="I2142" s="22" t="s">
        <v>47</v>
      </c>
      <c r="J2142" s="20">
        <v>80</v>
      </c>
      <c r="K2142" s="20">
        <f>Sales!$B2142-Sales!$J2142</f>
        <v>20</v>
      </c>
      <c r="L2142" s="23">
        <f>(Sales!$J2142-Sales!$B2142)/Sales!$J2142</f>
        <v>-0.25</v>
      </c>
      <c r="M2142" s="23" t="str">
        <f t="shared" si="33"/>
        <v>Below 0%</v>
      </c>
      <c r="N2142" s="22" t="s">
        <v>53</v>
      </c>
      <c r="O2142" s="22" t="s">
        <v>12</v>
      </c>
      <c r="P2142" s="22" t="s">
        <v>13</v>
      </c>
      <c r="Q2142" s="22" t="s">
        <v>19</v>
      </c>
    </row>
    <row r="2143" spans="1:17" x14ac:dyDescent="0.3">
      <c r="A2143" s="27">
        <v>30</v>
      </c>
      <c r="B2143" s="24">
        <v>100</v>
      </c>
      <c r="C2143" s="25">
        <f>Sales!$B2143*Sales!$A2143</f>
        <v>3000</v>
      </c>
      <c r="D2143" s="26">
        <v>38315</v>
      </c>
      <c r="E2143" s="27" t="s">
        <v>9</v>
      </c>
      <c r="F2143" s="27">
        <v>4</v>
      </c>
      <c r="G2143" s="27">
        <v>11</v>
      </c>
      <c r="H2143" s="27">
        <v>2004</v>
      </c>
      <c r="I2143" s="27" t="s">
        <v>47</v>
      </c>
      <c r="J2143" s="25">
        <v>80</v>
      </c>
      <c r="K2143" s="25">
        <f>Sales!$B2143-Sales!$J2143</f>
        <v>20</v>
      </c>
      <c r="L2143" s="28">
        <f>(Sales!$J2143-Sales!$B2143)/Sales!$J2143</f>
        <v>-0.25</v>
      </c>
      <c r="M2143" s="28" t="str">
        <f t="shared" si="33"/>
        <v>Below 0%</v>
      </c>
      <c r="N2143" s="27" t="s">
        <v>15</v>
      </c>
      <c r="O2143" s="27" t="s">
        <v>16</v>
      </c>
      <c r="P2143" s="27" t="s">
        <v>17</v>
      </c>
      <c r="Q2143" s="27" t="s">
        <v>19</v>
      </c>
    </row>
    <row r="2144" spans="1:17" x14ac:dyDescent="0.3">
      <c r="A2144" s="22">
        <v>28</v>
      </c>
      <c r="B2144" s="19">
        <v>95.39</v>
      </c>
      <c r="C2144" s="20">
        <f>Sales!$B2144*Sales!$A2144</f>
        <v>2670.92</v>
      </c>
      <c r="D2144" s="21">
        <v>38328</v>
      </c>
      <c r="E2144" s="22" t="s">
        <v>9</v>
      </c>
      <c r="F2144" s="22">
        <v>4</v>
      </c>
      <c r="G2144" s="22">
        <v>12</v>
      </c>
      <c r="H2144" s="22">
        <v>2004</v>
      </c>
      <c r="I2144" s="22" t="s">
        <v>47</v>
      </c>
      <c r="J2144" s="20">
        <v>80</v>
      </c>
      <c r="K2144" s="20">
        <f>Sales!$B2144-Sales!$J2144</f>
        <v>15.39</v>
      </c>
      <c r="L2144" s="23">
        <f>(Sales!$J2144-Sales!$B2144)/Sales!$J2144</f>
        <v>-0.19237500000000002</v>
      </c>
      <c r="M2144" s="23" t="str">
        <f t="shared" si="33"/>
        <v>Below 0%</v>
      </c>
      <c r="N2144" s="22" t="s">
        <v>45</v>
      </c>
      <c r="O2144" s="22" t="s">
        <v>46</v>
      </c>
      <c r="P2144" s="22" t="s">
        <v>17</v>
      </c>
      <c r="Q2144" s="22" t="s">
        <v>14</v>
      </c>
    </row>
    <row r="2145" spans="1:17" x14ac:dyDescent="0.3">
      <c r="A2145" s="27">
        <v>43</v>
      </c>
      <c r="B2145" s="24">
        <v>100</v>
      </c>
      <c r="C2145" s="25">
        <f>Sales!$B2145*Sales!$A2145</f>
        <v>4300</v>
      </c>
      <c r="D2145" s="26">
        <v>38358</v>
      </c>
      <c r="E2145" s="27" t="s">
        <v>9</v>
      </c>
      <c r="F2145" s="27">
        <v>1</v>
      </c>
      <c r="G2145" s="27">
        <v>1</v>
      </c>
      <c r="H2145" s="27">
        <v>2005</v>
      </c>
      <c r="I2145" s="27" t="s">
        <v>47</v>
      </c>
      <c r="J2145" s="25">
        <v>80</v>
      </c>
      <c r="K2145" s="25">
        <f>Sales!$B2145-Sales!$J2145</f>
        <v>20</v>
      </c>
      <c r="L2145" s="28">
        <f>(Sales!$J2145-Sales!$B2145)/Sales!$J2145</f>
        <v>-0.25</v>
      </c>
      <c r="M2145" s="28" t="str">
        <f t="shared" si="33"/>
        <v>Below 0%</v>
      </c>
      <c r="N2145" s="27" t="s">
        <v>99</v>
      </c>
      <c r="O2145" s="27" t="s">
        <v>34</v>
      </c>
      <c r="P2145" s="27" t="s">
        <v>17</v>
      </c>
      <c r="Q2145" s="27" t="s">
        <v>19</v>
      </c>
    </row>
    <row r="2146" spans="1:17" x14ac:dyDescent="0.3">
      <c r="A2146" s="22">
        <v>41</v>
      </c>
      <c r="B2146" s="19">
        <v>100</v>
      </c>
      <c r="C2146" s="20">
        <f>Sales!$B2146*Sales!$A2146</f>
        <v>4100</v>
      </c>
      <c r="D2146" s="21">
        <v>38393</v>
      </c>
      <c r="E2146" s="22" t="s">
        <v>9</v>
      </c>
      <c r="F2146" s="22">
        <v>1</v>
      </c>
      <c r="G2146" s="22">
        <v>2</v>
      </c>
      <c r="H2146" s="22">
        <v>2005</v>
      </c>
      <c r="I2146" s="22" t="s">
        <v>47</v>
      </c>
      <c r="J2146" s="20">
        <v>80</v>
      </c>
      <c r="K2146" s="20">
        <f>Sales!$B2146-Sales!$J2146</f>
        <v>20</v>
      </c>
      <c r="L2146" s="23">
        <f>(Sales!$J2146-Sales!$B2146)/Sales!$J2146</f>
        <v>-0.25</v>
      </c>
      <c r="M2146" s="23" t="str">
        <f t="shared" si="33"/>
        <v>Below 0%</v>
      </c>
      <c r="N2146" s="22" t="s">
        <v>45</v>
      </c>
      <c r="O2146" s="22" t="s">
        <v>46</v>
      </c>
      <c r="P2146" s="22" t="s">
        <v>17</v>
      </c>
      <c r="Q2146" s="22" t="s">
        <v>19</v>
      </c>
    </row>
    <row r="2147" spans="1:17" x14ac:dyDescent="0.3">
      <c r="A2147" s="27">
        <v>30</v>
      </c>
      <c r="B2147" s="24">
        <v>82.42</v>
      </c>
      <c r="C2147" s="25">
        <f>Sales!$B2147*Sales!$A2147</f>
        <v>2472.6</v>
      </c>
      <c r="D2147" s="26">
        <v>38415</v>
      </c>
      <c r="E2147" s="27" t="s">
        <v>9</v>
      </c>
      <c r="F2147" s="27">
        <v>1</v>
      </c>
      <c r="G2147" s="27">
        <v>3</v>
      </c>
      <c r="H2147" s="27">
        <v>2005</v>
      </c>
      <c r="I2147" s="27" t="s">
        <v>47</v>
      </c>
      <c r="J2147" s="25">
        <v>80</v>
      </c>
      <c r="K2147" s="25">
        <f>Sales!$B2147-Sales!$J2147</f>
        <v>2.4200000000000017</v>
      </c>
      <c r="L2147" s="28">
        <f>(Sales!$J2147-Sales!$B2147)/Sales!$J2147</f>
        <v>-3.025000000000002E-2</v>
      </c>
      <c r="M2147" s="28" t="str">
        <f t="shared" si="33"/>
        <v>Below 0%</v>
      </c>
      <c r="N2147" s="27" t="s">
        <v>64</v>
      </c>
      <c r="O2147" s="27" t="s">
        <v>12</v>
      </c>
      <c r="P2147" s="27" t="s">
        <v>13</v>
      </c>
      <c r="Q2147" s="27" t="s">
        <v>14</v>
      </c>
    </row>
    <row r="2148" spans="1:17" x14ac:dyDescent="0.3">
      <c r="A2148" s="22">
        <v>31</v>
      </c>
      <c r="B2148" s="19">
        <v>100</v>
      </c>
      <c r="C2148" s="20">
        <f>Sales!$B2148*Sales!$A2148</f>
        <v>3100</v>
      </c>
      <c r="D2148" s="21">
        <v>37650</v>
      </c>
      <c r="E2148" s="22" t="s">
        <v>9</v>
      </c>
      <c r="F2148" s="22">
        <v>1</v>
      </c>
      <c r="G2148" s="22">
        <v>1</v>
      </c>
      <c r="H2148" s="22">
        <v>2003</v>
      </c>
      <c r="I2148" s="22" t="s">
        <v>104</v>
      </c>
      <c r="J2148" s="20">
        <v>96</v>
      </c>
      <c r="K2148" s="20">
        <f>Sales!$B2148-Sales!$J2148</f>
        <v>4</v>
      </c>
      <c r="L2148" s="23">
        <f>(Sales!$J2148-Sales!$B2148)/Sales!$J2148</f>
        <v>-4.1666666666666664E-2</v>
      </c>
      <c r="M2148" s="23" t="str">
        <f t="shared" si="33"/>
        <v>Below 0%</v>
      </c>
      <c r="N2148" s="22" t="s">
        <v>35</v>
      </c>
      <c r="O2148" s="22" t="s">
        <v>25</v>
      </c>
      <c r="P2148" s="22" t="s">
        <v>17</v>
      </c>
      <c r="Q2148" s="22" t="s">
        <v>19</v>
      </c>
    </row>
    <row r="2149" spans="1:17" x14ac:dyDescent="0.3">
      <c r="A2149" s="27">
        <v>32</v>
      </c>
      <c r="B2149" s="24">
        <v>100</v>
      </c>
      <c r="C2149" s="25">
        <f>Sales!$B2149*Sales!$A2149</f>
        <v>3200</v>
      </c>
      <c r="D2149" s="26">
        <v>37712</v>
      </c>
      <c r="E2149" s="27" t="s">
        <v>9</v>
      </c>
      <c r="F2149" s="27">
        <v>2</v>
      </c>
      <c r="G2149" s="27">
        <v>4</v>
      </c>
      <c r="H2149" s="27">
        <v>2003</v>
      </c>
      <c r="I2149" s="27" t="s">
        <v>104</v>
      </c>
      <c r="J2149" s="25">
        <v>96</v>
      </c>
      <c r="K2149" s="25">
        <f>Sales!$B2149-Sales!$J2149</f>
        <v>4</v>
      </c>
      <c r="L2149" s="28">
        <f>(Sales!$J2149-Sales!$B2149)/Sales!$J2149</f>
        <v>-4.1666666666666664E-2</v>
      </c>
      <c r="M2149" s="28" t="str">
        <f t="shared" si="33"/>
        <v>Below 0%</v>
      </c>
      <c r="N2149" s="27" t="s">
        <v>18</v>
      </c>
      <c r="O2149" s="27" t="s">
        <v>16</v>
      </c>
      <c r="P2149" s="27" t="s">
        <v>17</v>
      </c>
      <c r="Q2149" s="27" t="s">
        <v>19</v>
      </c>
    </row>
    <row r="2150" spans="1:17" x14ac:dyDescent="0.3">
      <c r="A2150" s="22">
        <v>43</v>
      </c>
      <c r="B2150" s="19">
        <v>96.31</v>
      </c>
      <c r="C2150" s="20">
        <f>Sales!$B2150*Sales!$A2150</f>
        <v>4141.33</v>
      </c>
      <c r="D2150" s="21">
        <v>37769</v>
      </c>
      <c r="E2150" s="22" t="s">
        <v>9</v>
      </c>
      <c r="F2150" s="22">
        <v>2</v>
      </c>
      <c r="G2150" s="22">
        <v>5</v>
      </c>
      <c r="H2150" s="22">
        <v>2003</v>
      </c>
      <c r="I2150" s="22" t="s">
        <v>104</v>
      </c>
      <c r="J2150" s="20">
        <v>96</v>
      </c>
      <c r="K2150" s="20">
        <f>Sales!$B2150-Sales!$J2150</f>
        <v>0.31000000000000227</v>
      </c>
      <c r="L2150" s="23">
        <f>(Sales!$J2150-Sales!$B2150)/Sales!$J2150</f>
        <v>-3.2291666666666905E-3</v>
      </c>
      <c r="M2150" s="23" t="s">
        <v>130</v>
      </c>
      <c r="N2150" s="22" t="s">
        <v>45</v>
      </c>
      <c r="O2150" s="22" t="s">
        <v>46</v>
      </c>
      <c r="P2150" s="22" t="s">
        <v>17</v>
      </c>
      <c r="Q2150" s="22" t="s">
        <v>19</v>
      </c>
    </row>
    <row r="2151" spans="1:17" x14ac:dyDescent="0.3">
      <c r="A2151" s="27">
        <v>26</v>
      </c>
      <c r="B2151" s="24">
        <v>100</v>
      </c>
      <c r="C2151" s="25">
        <f>Sales!$B2151*Sales!$A2151</f>
        <v>2600</v>
      </c>
      <c r="D2151" s="26">
        <v>37826</v>
      </c>
      <c r="E2151" s="27" t="s">
        <v>9</v>
      </c>
      <c r="F2151" s="27">
        <v>3</v>
      </c>
      <c r="G2151" s="27">
        <v>7</v>
      </c>
      <c r="H2151" s="27">
        <v>2003</v>
      </c>
      <c r="I2151" s="27" t="s">
        <v>104</v>
      </c>
      <c r="J2151" s="25">
        <v>96</v>
      </c>
      <c r="K2151" s="25">
        <f>Sales!$B2151-Sales!$J2151</f>
        <v>4</v>
      </c>
      <c r="L2151" s="28">
        <f>(Sales!$J2151-Sales!$B2151)/Sales!$J2151</f>
        <v>-4.1666666666666664E-2</v>
      </c>
      <c r="M2151" s="28" t="str">
        <f t="shared" si="33"/>
        <v>Below 0%</v>
      </c>
      <c r="N2151" s="27" t="s">
        <v>22</v>
      </c>
      <c r="O2151" s="27" t="s">
        <v>12</v>
      </c>
      <c r="P2151" s="27" t="s">
        <v>13</v>
      </c>
      <c r="Q2151" s="27" t="s">
        <v>14</v>
      </c>
    </row>
    <row r="2152" spans="1:17" x14ac:dyDescent="0.3">
      <c r="A2152" s="22">
        <v>27</v>
      </c>
      <c r="B2152" s="19">
        <v>100</v>
      </c>
      <c r="C2152" s="20">
        <f>Sales!$B2152*Sales!$A2152</f>
        <v>2700</v>
      </c>
      <c r="D2152" s="21">
        <v>37885</v>
      </c>
      <c r="E2152" s="22" t="s">
        <v>9</v>
      </c>
      <c r="F2152" s="22">
        <v>3</v>
      </c>
      <c r="G2152" s="22">
        <v>9</v>
      </c>
      <c r="H2152" s="22">
        <v>2003</v>
      </c>
      <c r="I2152" s="22" t="s">
        <v>104</v>
      </c>
      <c r="J2152" s="20">
        <v>96</v>
      </c>
      <c r="K2152" s="20">
        <f>Sales!$B2152-Sales!$J2152</f>
        <v>4</v>
      </c>
      <c r="L2152" s="23">
        <f>(Sales!$J2152-Sales!$B2152)/Sales!$J2152</f>
        <v>-4.1666666666666664E-2</v>
      </c>
      <c r="M2152" s="23" t="str">
        <f t="shared" si="33"/>
        <v>Below 0%</v>
      </c>
      <c r="N2152" s="22" t="s">
        <v>85</v>
      </c>
      <c r="O2152" s="22" t="s">
        <v>34</v>
      </c>
      <c r="P2152" s="22" t="s">
        <v>17</v>
      </c>
      <c r="Q2152" s="22" t="s">
        <v>19</v>
      </c>
    </row>
    <row r="2153" spans="1:17" x14ac:dyDescent="0.3">
      <c r="A2153" s="27">
        <v>24</v>
      </c>
      <c r="B2153" s="24">
        <v>100</v>
      </c>
      <c r="C2153" s="25">
        <f>Sales!$B2153*Sales!$A2153</f>
        <v>2400</v>
      </c>
      <c r="D2153" s="26">
        <v>37915</v>
      </c>
      <c r="E2153" s="27" t="s">
        <v>88</v>
      </c>
      <c r="F2153" s="27">
        <v>4</v>
      </c>
      <c r="G2153" s="27">
        <v>10</v>
      </c>
      <c r="H2153" s="27">
        <v>2003</v>
      </c>
      <c r="I2153" s="27" t="s">
        <v>104</v>
      </c>
      <c r="J2153" s="25">
        <v>96</v>
      </c>
      <c r="K2153" s="25">
        <f>Sales!$B2153-Sales!$J2153</f>
        <v>4</v>
      </c>
      <c r="L2153" s="28">
        <f>(Sales!$J2153-Sales!$B2153)/Sales!$J2153</f>
        <v>-4.1666666666666664E-2</v>
      </c>
      <c r="M2153" s="28" t="str">
        <f t="shared" si="33"/>
        <v>Below 0%</v>
      </c>
      <c r="N2153" s="27" t="s">
        <v>89</v>
      </c>
      <c r="O2153" s="27" t="s">
        <v>38</v>
      </c>
      <c r="P2153" s="27" t="s">
        <v>17</v>
      </c>
      <c r="Q2153" s="27" t="s">
        <v>14</v>
      </c>
    </row>
    <row r="2154" spans="1:17" x14ac:dyDescent="0.3">
      <c r="A2154" s="22">
        <v>22</v>
      </c>
      <c r="B2154" s="19">
        <v>100</v>
      </c>
      <c r="C2154" s="20">
        <f>Sales!$B2154*Sales!$A2154</f>
        <v>2200</v>
      </c>
      <c r="D2154" s="21">
        <v>37931</v>
      </c>
      <c r="E2154" s="22" t="s">
        <v>9</v>
      </c>
      <c r="F2154" s="22">
        <v>4</v>
      </c>
      <c r="G2154" s="22">
        <v>11</v>
      </c>
      <c r="H2154" s="22">
        <v>2003</v>
      </c>
      <c r="I2154" s="22" t="s">
        <v>104</v>
      </c>
      <c r="J2154" s="20">
        <v>96</v>
      </c>
      <c r="K2154" s="20">
        <f>Sales!$B2154-Sales!$J2154</f>
        <v>4</v>
      </c>
      <c r="L2154" s="23">
        <f>(Sales!$J2154-Sales!$B2154)/Sales!$J2154</f>
        <v>-4.1666666666666664E-2</v>
      </c>
      <c r="M2154" s="23" t="str">
        <f t="shared" si="33"/>
        <v>Below 0%</v>
      </c>
      <c r="N2154" s="22" t="s">
        <v>74</v>
      </c>
      <c r="O2154" s="22" t="s">
        <v>43</v>
      </c>
      <c r="P2154" s="22" t="s">
        <v>17</v>
      </c>
      <c r="Q2154" s="22" t="s">
        <v>14</v>
      </c>
    </row>
    <row r="2155" spans="1:17" x14ac:dyDescent="0.3">
      <c r="A2155" s="27">
        <v>46</v>
      </c>
      <c r="B2155" s="24">
        <v>100</v>
      </c>
      <c r="C2155" s="25">
        <f>Sales!$B2155*Sales!$A2155</f>
        <v>4600</v>
      </c>
      <c r="D2155" s="26">
        <v>37939</v>
      </c>
      <c r="E2155" s="27" t="s">
        <v>9</v>
      </c>
      <c r="F2155" s="27">
        <v>4</v>
      </c>
      <c r="G2155" s="27">
        <v>11</v>
      </c>
      <c r="H2155" s="27">
        <v>2003</v>
      </c>
      <c r="I2155" s="27" t="s">
        <v>104</v>
      </c>
      <c r="J2155" s="25">
        <v>96</v>
      </c>
      <c r="K2155" s="25">
        <f>Sales!$B2155-Sales!$J2155</f>
        <v>4</v>
      </c>
      <c r="L2155" s="28">
        <f>(Sales!$J2155-Sales!$B2155)/Sales!$J2155</f>
        <v>-4.1666666666666664E-2</v>
      </c>
      <c r="M2155" s="28" t="str">
        <f t="shared" si="33"/>
        <v>Below 0%</v>
      </c>
      <c r="N2155" s="27" t="s">
        <v>106</v>
      </c>
      <c r="O2155" s="27" t="s">
        <v>46</v>
      </c>
      <c r="P2155" s="27" t="s">
        <v>17</v>
      </c>
      <c r="Q2155" s="27" t="s">
        <v>19</v>
      </c>
    </row>
    <row r="2156" spans="1:17" x14ac:dyDescent="0.3">
      <c r="A2156" s="22">
        <v>37</v>
      </c>
      <c r="B2156" s="19">
        <v>97.27</v>
      </c>
      <c r="C2156" s="20">
        <f>Sales!$B2156*Sales!$A2156</f>
        <v>3598.99</v>
      </c>
      <c r="D2156" s="21">
        <v>37950</v>
      </c>
      <c r="E2156" s="22" t="s">
        <v>9</v>
      </c>
      <c r="F2156" s="22">
        <v>4</v>
      </c>
      <c r="G2156" s="22">
        <v>11</v>
      </c>
      <c r="H2156" s="22">
        <v>2003</v>
      </c>
      <c r="I2156" s="22" t="s">
        <v>104</v>
      </c>
      <c r="J2156" s="20">
        <v>96</v>
      </c>
      <c r="K2156" s="20">
        <f>Sales!$B2156-Sales!$J2156</f>
        <v>1.269999999999996</v>
      </c>
      <c r="L2156" s="23">
        <f>(Sales!$J2156-Sales!$B2156)/Sales!$J2156</f>
        <v>-1.3229166666666625E-2</v>
      </c>
      <c r="M2156" s="23" t="str">
        <f t="shared" si="33"/>
        <v>Below 0%</v>
      </c>
      <c r="N2156" s="22" t="s">
        <v>54</v>
      </c>
      <c r="O2156" s="22" t="s">
        <v>16</v>
      </c>
      <c r="P2156" s="22" t="s">
        <v>17</v>
      </c>
      <c r="Q2156" s="22" t="s">
        <v>19</v>
      </c>
    </row>
    <row r="2157" spans="1:17" x14ac:dyDescent="0.3">
      <c r="A2157" s="27">
        <v>49</v>
      </c>
      <c r="B2157" s="24">
        <v>80.900000000000006</v>
      </c>
      <c r="C2157" s="25">
        <f>Sales!$B2157*Sales!$A2157</f>
        <v>3964.1000000000004</v>
      </c>
      <c r="D2157" s="26">
        <v>37964</v>
      </c>
      <c r="E2157" s="27" t="s">
        <v>9</v>
      </c>
      <c r="F2157" s="27">
        <v>4</v>
      </c>
      <c r="G2157" s="27">
        <v>12</v>
      </c>
      <c r="H2157" s="27">
        <v>2003</v>
      </c>
      <c r="I2157" s="27" t="s">
        <v>104</v>
      </c>
      <c r="J2157" s="25">
        <v>96</v>
      </c>
      <c r="K2157" s="25">
        <f>Sales!$B2157-Sales!$J2157</f>
        <v>-15.099999999999994</v>
      </c>
      <c r="L2157" s="28">
        <f>(Sales!$J2157-Sales!$B2157)/Sales!$J2157</f>
        <v>0.15729166666666661</v>
      </c>
      <c r="M2157" s="28" t="str">
        <f t="shared" si="33"/>
        <v>15%-20%</v>
      </c>
      <c r="N2157" s="27" t="s">
        <v>83</v>
      </c>
      <c r="O2157" s="27" t="s">
        <v>12</v>
      </c>
      <c r="P2157" s="27" t="s">
        <v>13</v>
      </c>
      <c r="Q2157" s="27" t="s">
        <v>19</v>
      </c>
    </row>
    <row r="2158" spans="1:17" x14ac:dyDescent="0.3">
      <c r="A2158" s="22">
        <v>21</v>
      </c>
      <c r="B2158" s="19">
        <v>100</v>
      </c>
      <c r="C2158" s="20">
        <f>Sales!$B2158*Sales!$A2158</f>
        <v>2100</v>
      </c>
      <c r="D2158" s="21">
        <v>38021</v>
      </c>
      <c r="E2158" s="22" t="s">
        <v>9</v>
      </c>
      <c r="F2158" s="22">
        <v>1</v>
      </c>
      <c r="G2158" s="22">
        <v>2</v>
      </c>
      <c r="H2158" s="22">
        <v>2004</v>
      </c>
      <c r="I2158" s="22" t="s">
        <v>104</v>
      </c>
      <c r="J2158" s="20">
        <v>96</v>
      </c>
      <c r="K2158" s="20">
        <f>Sales!$B2158-Sales!$J2158</f>
        <v>4</v>
      </c>
      <c r="L2158" s="23">
        <f>(Sales!$J2158-Sales!$B2158)/Sales!$J2158</f>
        <v>-4.1666666666666664E-2</v>
      </c>
      <c r="M2158" s="23" t="str">
        <f t="shared" si="33"/>
        <v>Below 0%</v>
      </c>
      <c r="N2158" s="22" t="s">
        <v>50</v>
      </c>
      <c r="O2158" s="22" t="s">
        <v>50</v>
      </c>
      <c r="P2158" s="22" t="s">
        <v>28</v>
      </c>
      <c r="Q2158" s="22" t="s">
        <v>14</v>
      </c>
    </row>
    <row r="2159" spans="1:17" x14ac:dyDescent="0.3">
      <c r="A2159" s="27">
        <v>25</v>
      </c>
      <c r="B2159" s="24">
        <v>100</v>
      </c>
      <c r="C2159" s="25">
        <f>Sales!$B2159*Sales!$A2159</f>
        <v>2500</v>
      </c>
      <c r="D2159" s="26">
        <v>38057</v>
      </c>
      <c r="E2159" s="27" t="s">
        <v>9</v>
      </c>
      <c r="F2159" s="27">
        <v>1</v>
      </c>
      <c r="G2159" s="27">
        <v>3</v>
      </c>
      <c r="H2159" s="27">
        <v>2004</v>
      </c>
      <c r="I2159" s="27" t="s">
        <v>104</v>
      </c>
      <c r="J2159" s="25">
        <v>96</v>
      </c>
      <c r="K2159" s="25">
        <f>Sales!$B2159-Sales!$J2159</f>
        <v>4</v>
      </c>
      <c r="L2159" s="28">
        <f>(Sales!$J2159-Sales!$B2159)/Sales!$J2159</f>
        <v>-4.1666666666666664E-2</v>
      </c>
      <c r="M2159" s="28" t="str">
        <f t="shared" si="33"/>
        <v>Below 0%</v>
      </c>
      <c r="N2159" s="27" t="s">
        <v>64</v>
      </c>
      <c r="O2159" s="27" t="s">
        <v>12</v>
      </c>
      <c r="P2159" s="27" t="s">
        <v>13</v>
      </c>
      <c r="Q2159" s="27" t="s">
        <v>14</v>
      </c>
    </row>
    <row r="2160" spans="1:17" x14ac:dyDescent="0.3">
      <c r="A2160" s="22">
        <v>37</v>
      </c>
      <c r="B2160" s="19">
        <v>100</v>
      </c>
      <c r="C2160" s="20">
        <f>Sales!$B2160*Sales!$A2160</f>
        <v>3700</v>
      </c>
      <c r="D2160" s="21">
        <v>38111</v>
      </c>
      <c r="E2160" s="22" t="s">
        <v>9</v>
      </c>
      <c r="F2160" s="22">
        <v>2</v>
      </c>
      <c r="G2160" s="22">
        <v>5</v>
      </c>
      <c r="H2160" s="22">
        <v>2004</v>
      </c>
      <c r="I2160" s="22" t="s">
        <v>104</v>
      </c>
      <c r="J2160" s="20">
        <v>96</v>
      </c>
      <c r="K2160" s="20">
        <f>Sales!$B2160-Sales!$J2160</f>
        <v>4</v>
      </c>
      <c r="L2160" s="23">
        <f>(Sales!$J2160-Sales!$B2160)/Sales!$J2160</f>
        <v>-4.1666666666666664E-2</v>
      </c>
      <c r="M2160" s="23" t="str">
        <f t="shared" si="33"/>
        <v>Below 0%</v>
      </c>
      <c r="N2160" s="22" t="s">
        <v>58</v>
      </c>
      <c r="O2160" s="22" t="s">
        <v>12</v>
      </c>
      <c r="P2160" s="22" t="s">
        <v>13</v>
      </c>
      <c r="Q2160" s="22" t="s">
        <v>19</v>
      </c>
    </row>
    <row r="2161" spans="1:17" x14ac:dyDescent="0.3">
      <c r="A2161" s="27">
        <v>45</v>
      </c>
      <c r="B2161" s="24">
        <v>86.68</v>
      </c>
      <c r="C2161" s="25">
        <f>Sales!$B2161*Sales!$A2161</f>
        <v>3900.6000000000004</v>
      </c>
      <c r="D2161" s="26">
        <v>38153</v>
      </c>
      <c r="E2161" s="27" t="s">
        <v>9</v>
      </c>
      <c r="F2161" s="27">
        <v>2</v>
      </c>
      <c r="G2161" s="27">
        <v>6</v>
      </c>
      <c r="H2161" s="27">
        <v>2004</v>
      </c>
      <c r="I2161" s="27" t="s">
        <v>104</v>
      </c>
      <c r="J2161" s="25">
        <v>96</v>
      </c>
      <c r="K2161" s="25">
        <f>Sales!$B2161-Sales!$J2161</f>
        <v>-9.3199999999999932</v>
      </c>
      <c r="L2161" s="28">
        <f>(Sales!$J2161-Sales!$B2161)/Sales!$J2161</f>
        <v>9.7083333333333258E-2</v>
      </c>
      <c r="M2161" s="28" t="str">
        <f t="shared" si="33"/>
        <v>5%-10%</v>
      </c>
      <c r="N2161" s="27" t="s">
        <v>50</v>
      </c>
      <c r="O2161" s="27" t="s">
        <v>50</v>
      </c>
      <c r="P2161" s="27" t="s">
        <v>28</v>
      </c>
      <c r="Q2161" s="27" t="s">
        <v>19</v>
      </c>
    </row>
    <row r="2162" spans="1:17" x14ac:dyDescent="0.3">
      <c r="A2162" s="22">
        <v>32</v>
      </c>
      <c r="B2162" s="19">
        <v>85.72</v>
      </c>
      <c r="C2162" s="20">
        <f>Sales!$B2162*Sales!$A2162</f>
        <v>2743.04</v>
      </c>
      <c r="D2162" s="21">
        <v>38187</v>
      </c>
      <c r="E2162" s="22" t="s">
        <v>9</v>
      </c>
      <c r="F2162" s="22">
        <v>3</v>
      </c>
      <c r="G2162" s="22">
        <v>7</v>
      </c>
      <c r="H2162" s="22">
        <v>2004</v>
      </c>
      <c r="I2162" s="22" t="s">
        <v>104</v>
      </c>
      <c r="J2162" s="20">
        <v>96</v>
      </c>
      <c r="K2162" s="20">
        <f>Sales!$B2162-Sales!$J2162</f>
        <v>-10.280000000000001</v>
      </c>
      <c r="L2162" s="23">
        <f>(Sales!$J2162-Sales!$B2162)/Sales!$J2162</f>
        <v>0.10708333333333335</v>
      </c>
      <c r="M2162" s="23" t="str">
        <f t="shared" si="33"/>
        <v>10%-15%</v>
      </c>
      <c r="N2162" s="22" t="s">
        <v>40</v>
      </c>
      <c r="O2162" s="22" t="s">
        <v>27</v>
      </c>
      <c r="P2162" s="22" t="s">
        <v>28</v>
      </c>
      <c r="Q2162" s="22" t="s">
        <v>14</v>
      </c>
    </row>
    <row r="2163" spans="1:17" x14ac:dyDescent="0.3">
      <c r="A2163" s="27">
        <v>29</v>
      </c>
      <c r="B2163" s="24">
        <v>82.83</v>
      </c>
      <c r="C2163" s="25">
        <f>Sales!$B2163*Sales!$A2163</f>
        <v>2402.0700000000002</v>
      </c>
      <c r="D2163" s="26">
        <v>38218</v>
      </c>
      <c r="E2163" s="27" t="s">
        <v>9</v>
      </c>
      <c r="F2163" s="27">
        <v>3</v>
      </c>
      <c r="G2163" s="27">
        <v>8</v>
      </c>
      <c r="H2163" s="27">
        <v>2004</v>
      </c>
      <c r="I2163" s="27" t="s">
        <v>104</v>
      </c>
      <c r="J2163" s="25">
        <v>96</v>
      </c>
      <c r="K2163" s="25">
        <f>Sales!$B2163-Sales!$J2163</f>
        <v>-13.170000000000002</v>
      </c>
      <c r="L2163" s="28">
        <f>(Sales!$J2163-Sales!$B2163)/Sales!$J2163</f>
        <v>0.13718750000000002</v>
      </c>
      <c r="M2163" s="28" t="str">
        <f t="shared" si="33"/>
        <v>10%-15%</v>
      </c>
      <c r="N2163" s="27" t="s">
        <v>36</v>
      </c>
      <c r="O2163" s="27" t="s">
        <v>12</v>
      </c>
      <c r="P2163" s="27" t="s">
        <v>13</v>
      </c>
      <c r="Q2163" s="27" t="s">
        <v>14</v>
      </c>
    </row>
    <row r="2164" spans="1:17" x14ac:dyDescent="0.3">
      <c r="A2164" s="22">
        <v>26</v>
      </c>
      <c r="B2164" s="19">
        <v>83.79</v>
      </c>
      <c r="C2164" s="20">
        <f>Sales!$B2164*Sales!$A2164</f>
        <v>2178.54</v>
      </c>
      <c r="D2164" s="21">
        <v>38238</v>
      </c>
      <c r="E2164" s="22" t="s">
        <v>9</v>
      </c>
      <c r="F2164" s="22">
        <v>3</v>
      </c>
      <c r="G2164" s="22">
        <v>9</v>
      </c>
      <c r="H2164" s="22">
        <v>2004</v>
      </c>
      <c r="I2164" s="22" t="s">
        <v>104</v>
      </c>
      <c r="J2164" s="20">
        <v>96</v>
      </c>
      <c r="K2164" s="20">
        <f>Sales!$B2164-Sales!$J2164</f>
        <v>-12.209999999999994</v>
      </c>
      <c r="L2164" s="23">
        <f>(Sales!$J2164-Sales!$B2164)/Sales!$J2164</f>
        <v>0.12718749999999993</v>
      </c>
      <c r="M2164" s="23" t="str">
        <f t="shared" si="33"/>
        <v>10%-15%</v>
      </c>
      <c r="N2164" s="22" t="s">
        <v>62</v>
      </c>
      <c r="O2164" s="22" t="s">
        <v>49</v>
      </c>
      <c r="P2164" s="22" t="s">
        <v>17</v>
      </c>
      <c r="Q2164" s="22" t="s">
        <v>14</v>
      </c>
    </row>
    <row r="2165" spans="1:17" x14ac:dyDescent="0.3">
      <c r="A2165" s="27">
        <v>28</v>
      </c>
      <c r="B2165" s="24">
        <v>100</v>
      </c>
      <c r="C2165" s="25">
        <f>Sales!$B2165*Sales!$A2165</f>
        <v>2800</v>
      </c>
      <c r="D2165" s="26">
        <v>38273</v>
      </c>
      <c r="E2165" s="27" t="s">
        <v>9</v>
      </c>
      <c r="F2165" s="27">
        <v>4</v>
      </c>
      <c r="G2165" s="27">
        <v>10</v>
      </c>
      <c r="H2165" s="27">
        <v>2004</v>
      </c>
      <c r="I2165" s="27" t="s">
        <v>104</v>
      </c>
      <c r="J2165" s="25">
        <v>96</v>
      </c>
      <c r="K2165" s="25">
        <f>Sales!$B2165-Sales!$J2165</f>
        <v>4</v>
      </c>
      <c r="L2165" s="28">
        <f>(Sales!$J2165-Sales!$B2165)/Sales!$J2165</f>
        <v>-4.1666666666666664E-2</v>
      </c>
      <c r="M2165" s="28" t="str">
        <f t="shared" si="33"/>
        <v>Below 0%</v>
      </c>
      <c r="N2165" s="27" t="s">
        <v>32</v>
      </c>
      <c r="O2165" s="27" t="s">
        <v>12</v>
      </c>
      <c r="P2165" s="27" t="s">
        <v>13</v>
      </c>
      <c r="Q2165" s="27" t="s">
        <v>19</v>
      </c>
    </row>
    <row r="2166" spans="1:17" x14ac:dyDescent="0.3">
      <c r="A2166" s="22">
        <v>27</v>
      </c>
      <c r="B2166" s="19">
        <v>87.64</v>
      </c>
      <c r="C2166" s="20">
        <f>Sales!$B2166*Sales!$A2166</f>
        <v>2366.2800000000002</v>
      </c>
      <c r="D2166" s="21">
        <v>38282</v>
      </c>
      <c r="E2166" s="22" t="s">
        <v>9</v>
      </c>
      <c r="F2166" s="22">
        <v>4</v>
      </c>
      <c r="G2166" s="22">
        <v>10</v>
      </c>
      <c r="H2166" s="22">
        <v>2004</v>
      </c>
      <c r="I2166" s="22" t="s">
        <v>104</v>
      </c>
      <c r="J2166" s="20">
        <v>96</v>
      </c>
      <c r="K2166" s="20">
        <f>Sales!$B2166-Sales!$J2166</f>
        <v>-8.36</v>
      </c>
      <c r="L2166" s="23">
        <f>(Sales!$J2166-Sales!$B2166)/Sales!$J2166</f>
        <v>8.7083333333333332E-2</v>
      </c>
      <c r="M2166" s="23" t="str">
        <f t="shared" si="33"/>
        <v>5%-10%</v>
      </c>
      <c r="N2166" s="22" t="s">
        <v>55</v>
      </c>
      <c r="O2166" s="22" t="s">
        <v>56</v>
      </c>
      <c r="P2166" s="22" t="s">
        <v>13</v>
      </c>
      <c r="Q2166" s="22" t="s">
        <v>14</v>
      </c>
    </row>
    <row r="2167" spans="1:17" x14ac:dyDescent="0.3">
      <c r="A2167" s="27">
        <v>20</v>
      </c>
      <c r="B2167" s="24">
        <v>98.18</v>
      </c>
      <c r="C2167" s="25">
        <f>Sales!$B2167*Sales!$A2167</f>
        <v>1963.6000000000001</v>
      </c>
      <c r="D2167" s="26">
        <v>38296</v>
      </c>
      <c r="E2167" s="27" t="s">
        <v>9</v>
      </c>
      <c r="F2167" s="27">
        <v>4</v>
      </c>
      <c r="G2167" s="27">
        <v>11</v>
      </c>
      <c r="H2167" s="27">
        <v>2004</v>
      </c>
      <c r="I2167" s="27" t="s">
        <v>104</v>
      </c>
      <c r="J2167" s="25">
        <v>96</v>
      </c>
      <c r="K2167" s="25">
        <f>Sales!$B2167-Sales!$J2167</f>
        <v>2.1800000000000068</v>
      </c>
      <c r="L2167" s="28">
        <f>(Sales!$J2167-Sales!$B2167)/Sales!$J2167</f>
        <v>-2.2708333333333403E-2</v>
      </c>
      <c r="M2167" s="28" t="str">
        <f t="shared" si="33"/>
        <v>Below 0%</v>
      </c>
      <c r="N2167" s="27" t="s">
        <v>11</v>
      </c>
      <c r="O2167" s="27" t="s">
        <v>12</v>
      </c>
      <c r="P2167" s="27" t="s">
        <v>13</v>
      </c>
      <c r="Q2167" s="27" t="s">
        <v>14</v>
      </c>
    </row>
    <row r="2168" spans="1:17" x14ac:dyDescent="0.3">
      <c r="A2168" s="22">
        <v>44</v>
      </c>
      <c r="B2168" s="19">
        <v>100</v>
      </c>
      <c r="C2168" s="20">
        <f>Sales!$B2168*Sales!$A2168</f>
        <v>4400</v>
      </c>
      <c r="D2168" s="21">
        <v>38310</v>
      </c>
      <c r="E2168" s="22" t="s">
        <v>9</v>
      </c>
      <c r="F2168" s="22">
        <v>4</v>
      </c>
      <c r="G2168" s="22">
        <v>11</v>
      </c>
      <c r="H2168" s="22">
        <v>2004</v>
      </c>
      <c r="I2168" s="22" t="s">
        <v>104</v>
      </c>
      <c r="J2168" s="20">
        <v>96</v>
      </c>
      <c r="K2168" s="20">
        <f>Sales!$B2168-Sales!$J2168</f>
        <v>4</v>
      </c>
      <c r="L2168" s="23">
        <f>(Sales!$J2168-Sales!$B2168)/Sales!$J2168</f>
        <v>-4.1666666666666664E-2</v>
      </c>
      <c r="M2168" s="23" t="str">
        <f t="shared" si="33"/>
        <v>Below 0%</v>
      </c>
      <c r="N2168" s="22" t="s">
        <v>64</v>
      </c>
      <c r="O2168" s="22" t="s">
        <v>12</v>
      </c>
      <c r="P2168" s="22" t="s">
        <v>13</v>
      </c>
      <c r="Q2168" s="22" t="s">
        <v>19</v>
      </c>
    </row>
    <row r="2169" spans="1:17" x14ac:dyDescent="0.3">
      <c r="A2169" s="27">
        <v>42</v>
      </c>
      <c r="B2169" s="24">
        <v>100</v>
      </c>
      <c r="C2169" s="25">
        <f>Sales!$B2169*Sales!$A2169</f>
        <v>4200</v>
      </c>
      <c r="D2169" s="26">
        <v>38292</v>
      </c>
      <c r="E2169" s="27" t="s">
        <v>9</v>
      </c>
      <c r="F2169" s="27">
        <v>4</v>
      </c>
      <c r="G2169" s="27">
        <v>11</v>
      </c>
      <c r="H2169" s="27">
        <v>2004</v>
      </c>
      <c r="I2169" s="27" t="s">
        <v>104</v>
      </c>
      <c r="J2169" s="25">
        <v>96</v>
      </c>
      <c r="K2169" s="25">
        <f>Sales!$B2169-Sales!$J2169</f>
        <v>4</v>
      </c>
      <c r="L2169" s="28">
        <f>(Sales!$J2169-Sales!$B2169)/Sales!$J2169</f>
        <v>-4.1666666666666664E-2</v>
      </c>
      <c r="M2169" s="28" t="str">
        <f t="shared" si="33"/>
        <v>Below 0%</v>
      </c>
      <c r="N2169" s="27" t="s">
        <v>45</v>
      </c>
      <c r="O2169" s="27" t="s">
        <v>46</v>
      </c>
      <c r="P2169" s="27" t="s">
        <v>17</v>
      </c>
      <c r="Q2169" s="27" t="s">
        <v>19</v>
      </c>
    </row>
    <row r="2170" spans="1:17" x14ac:dyDescent="0.3">
      <c r="A2170" s="22">
        <v>41</v>
      </c>
      <c r="B2170" s="19">
        <v>100</v>
      </c>
      <c r="C2170" s="20">
        <f>Sales!$B2170*Sales!$A2170</f>
        <v>4100</v>
      </c>
      <c r="D2170" s="21">
        <v>38331</v>
      </c>
      <c r="E2170" s="22" t="s">
        <v>9</v>
      </c>
      <c r="F2170" s="22">
        <v>4</v>
      </c>
      <c r="G2170" s="22">
        <v>12</v>
      </c>
      <c r="H2170" s="22">
        <v>2004</v>
      </c>
      <c r="I2170" s="22" t="s">
        <v>104</v>
      </c>
      <c r="J2170" s="20">
        <v>96</v>
      </c>
      <c r="K2170" s="20">
        <f>Sales!$B2170-Sales!$J2170</f>
        <v>4</v>
      </c>
      <c r="L2170" s="23">
        <f>(Sales!$J2170-Sales!$B2170)/Sales!$J2170</f>
        <v>-4.1666666666666664E-2</v>
      </c>
      <c r="M2170" s="23" t="str">
        <f t="shared" si="33"/>
        <v>Below 0%</v>
      </c>
      <c r="N2170" s="22" t="s">
        <v>45</v>
      </c>
      <c r="O2170" s="22" t="s">
        <v>46</v>
      </c>
      <c r="P2170" s="22" t="s">
        <v>17</v>
      </c>
      <c r="Q2170" s="22" t="s">
        <v>19</v>
      </c>
    </row>
    <row r="2171" spans="1:17" x14ac:dyDescent="0.3">
      <c r="A2171" s="27">
        <v>26</v>
      </c>
      <c r="B2171" s="24">
        <v>100</v>
      </c>
      <c r="C2171" s="25">
        <f>Sales!$B2171*Sales!$A2171</f>
        <v>2600</v>
      </c>
      <c r="D2171" s="26">
        <v>38375</v>
      </c>
      <c r="E2171" s="27" t="s">
        <v>9</v>
      </c>
      <c r="F2171" s="27">
        <v>1</v>
      </c>
      <c r="G2171" s="27">
        <v>1</v>
      </c>
      <c r="H2171" s="27">
        <v>2005</v>
      </c>
      <c r="I2171" s="27" t="s">
        <v>104</v>
      </c>
      <c r="J2171" s="25">
        <v>96</v>
      </c>
      <c r="K2171" s="25">
        <f>Sales!$B2171-Sales!$J2171</f>
        <v>4</v>
      </c>
      <c r="L2171" s="28">
        <f>(Sales!$J2171-Sales!$B2171)/Sales!$J2171</f>
        <v>-4.1666666666666664E-2</v>
      </c>
      <c r="M2171" s="28" t="str">
        <f t="shared" si="33"/>
        <v>Below 0%</v>
      </c>
      <c r="N2171" s="27" t="s">
        <v>64</v>
      </c>
      <c r="O2171" s="27" t="s">
        <v>12</v>
      </c>
      <c r="P2171" s="27" t="s">
        <v>13</v>
      </c>
      <c r="Q2171" s="27" t="s">
        <v>19</v>
      </c>
    </row>
    <row r="2172" spans="1:17" x14ac:dyDescent="0.3">
      <c r="A2172" s="22">
        <v>26</v>
      </c>
      <c r="B2172" s="19">
        <v>100</v>
      </c>
      <c r="C2172" s="20">
        <f>Sales!$B2172*Sales!$A2172</f>
        <v>2600</v>
      </c>
      <c r="D2172" s="21">
        <v>38400</v>
      </c>
      <c r="E2172" s="22" t="s">
        <v>9</v>
      </c>
      <c r="F2172" s="22">
        <v>1</v>
      </c>
      <c r="G2172" s="22">
        <v>2</v>
      </c>
      <c r="H2172" s="22">
        <v>2005</v>
      </c>
      <c r="I2172" s="22" t="s">
        <v>104</v>
      </c>
      <c r="J2172" s="20">
        <v>96</v>
      </c>
      <c r="K2172" s="20">
        <f>Sales!$B2172-Sales!$J2172</f>
        <v>4</v>
      </c>
      <c r="L2172" s="23">
        <f>(Sales!$J2172-Sales!$B2172)/Sales!$J2172</f>
        <v>-4.1666666666666664E-2</v>
      </c>
      <c r="M2172" s="23" t="str">
        <f t="shared" si="33"/>
        <v>Below 0%</v>
      </c>
      <c r="N2172" s="22" t="s">
        <v>64</v>
      </c>
      <c r="O2172" s="22" t="s">
        <v>12</v>
      </c>
      <c r="P2172" s="22" t="s">
        <v>13</v>
      </c>
      <c r="Q2172" s="22" t="s">
        <v>14</v>
      </c>
    </row>
    <row r="2173" spans="1:17" x14ac:dyDescent="0.3">
      <c r="A2173" s="27">
        <v>26</v>
      </c>
      <c r="B2173" s="24">
        <v>100</v>
      </c>
      <c r="C2173" s="25">
        <f>Sales!$B2173*Sales!$A2173</f>
        <v>2600</v>
      </c>
      <c r="D2173" s="26">
        <v>38473</v>
      </c>
      <c r="E2173" s="27" t="s">
        <v>9</v>
      </c>
      <c r="F2173" s="27">
        <v>2</v>
      </c>
      <c r="G2173" s="27">
        <v>5</v>
      </c>
      <c r="H2173" s="27">
        <v>2005</v>
      </c>
      <c r="I2173" s="27" t="s">
        <v>104</v>
      </c>
      <c r="J2173" s="25">
        <v>96</v>
      </c>
      <c r="K2173" s="25">
        <f>Sales!$B2173-Sales!$J2173</f>
        <v>4</v>
      </c>
      <c r="L2173" s="28">
        <f>(Sales!$J2173-Sales!$B2173)/Sales!$J2173</f>
        <v>-4.1666666666666664E-2</v>
      </c>
      <c r="M2173" s="28" t="str">
        <f t="shared" si="33"/>
        <v>Below 0%</v>
      </c>
      <c r="N2173" s="27" t="s">
        <v>68</v>
      </c>
      <c r="O2173" s="27" t="s">
        <v>56</v>
      </c>
      <c r="P2173" s="27" t="s">
        <v>13</v>
      </c>
      <c r="Q2173" s="27" t="s">
        <v>14</v>
      </c>
    </row>
    <row r="2174" spans="1:17" x14ac:dyDescent="0.3">
      <c r="A2174" s="22">
        <v>41</v>
      </c>
      <c r="B2174" s="19">
        <v>86.68</v>
      </c>
      <c r="C2174" s="20">
        <f>Sales!$B2174*Sales!$A2174</f>
        <v>3553.88</v>
      </c>
      <c r="D2174" s="21">
        <v>38503</v>
      </c>
      <c r="E2174" s="22" t="s">
        <v>69</v>
      </c>
      <c r="F2174" s="22">
        <v>2</v>
      </c>
      <c r="G2174" s="22">
        <v>5</v>
      </c>
      <c r="H2174" s="22">
        <v>2005</v>
      </c>
      <c r="I2174" s="22" t="s">
        <v>104</v>
      </c>
      <c r="J2174" s="20">
        <v>96</v>
      </c>
      <c r="K2174" s="20">
        <f>Sales!$B2174-Sales!$J2174</f>
        <v>-9.3199999999999932</v>
      </c>
      <c r="L2174" s="23">
        <f>(Sales!$J2174-Sales!$B2174)/Sales!$J2174</f>
        <v>9.7083333333333258E-2</v>
      </c>
      <c r="M2174" s="23" t="str">
        <f t="shared" si="33"/>
        <v>5%-10%</v>
      </c>
      <c r="N2174" s="22" t="s">
        <v>31</v>
      </c>
      <c r="O2174" s="22" t="s">
        <v>16</v>
      </c>
      <c r="P2174" s="22" t="s">
        <v>17</v>
      </c>
      <c r="Q2174" s="22" t="s">
        <v>19</v>
      </c>
    </row>
    <row r="2175" spans="1:17" x14ac:dyDescent="0.3">
      <c r="A2175" s="27">
        <v>20</v>
      </c>
      <c r="B2175" s="24">
        <v>92.9</v>
      </c>
      <c r="C2175" s="25">
        <f>Sales!$B2175*Sales!$A2175</f>
        <v>1858</v>
      </c>
      <c r="D2175" s="26">
        <v>37676</v>
      </c>
      <c r="E2175" s="27" t="s">
        <v>9</v>
      </c>
      <c r="F2175" s="27">
        <v>1</v>
      </c>
      <c r="G2175" s="27">
        <v>2</v>
      </c>
      <c r="H2175" s="27">
        <v>2003</v>
      </c>
      <c r="I2175" s="27" t="s">
        <v>10</v>
      </c>
      <c r="J2175" s="25">
        <v>99</v>
      </c>
      <c r="K2175" s="25">
        <f>Sales!$B2175-Sales!$J2175</f>
        <v>-6.0999999999999943</v>
      </c>
      <c r="L2175" s="28">
        <f>(Sales!$J2175-Sales!$B2175)/Sales!$J2175</f>
        <v>6.1616161616161562E-2</v>
      </c>
      <c r="M2175" s="28" t="str">
        <f t="shared" si="33"/>
        <v>5%-10%</v>
      </c>
      <c r="N2175" s="27" t="s">
        <v>11</v>
      </c>
      <c r="O2175" s="27" t="s">
        <v>12</v>
      </c>
      <c r="P2175" s="27" t="s">
        <v>13</v>
      </c>
      <c r="Q2175" s="27" t="s">
        <v>14</v>
      </c>
    </row>
    <row r="2176" spans="1:17" x14ac:dyDescent="0.3">
      <c r="A2176" s="22">
        <v>22</v>
      </c>
      <c r="B2176" s="19">
        <v>100</v>
      </c>
      <c r="C2176" s="20">
        <f>Sales!$B2176*Sales!$A2176</f>
        <v>2200</v>
      </c>
      <c r="D2176" s="21">
        <v>37740</v>
      </c>
      <c r="E2176" s="22" t="s">
        <v>9</v>
      </c>
      <c r="F2176" s="22">
        <v>2</v>
      </c>
      <c r="G2176" s="22">
        <v>4</v>
      </c>
      <c r="H2176" s="22">
        <v>2003</v>
      </c>
      <c r="I2176" s="22" t="s">
        <v>10</v>
      </c>
      <c r="J2176" s="20">
        <v>99</v>
      </c>
      <c r="K2176" s="20">
        <f>Sales!$B2176-Sales!$J2176</f>
        <v>1</v>
      </c>
      <c r="L2176" s="23">
        <f>(Sales!$J2176-Sales!$B2176)/Sales!$J2176</f>
        <v>-1.0101010101010102E-2</v>
      </c>
      <c r="M2176" s="23" t="str">
        <f t="shared" si="33"/>
        <v>Below 0%</v>
      </c>
      <c r="N2176" s="22" t="s">
        <v>26</v>
      </c>
      <c r="O2176" s="22" t="s">
        <v>27</v>
      </c>
      <c r="P2176" s="22" t="s">
        <v>28</v>
      </c>
      <c r="Q2176" s="22" t="s">
        <v>14</v>
      </c>
    </row>
    <row r="2177" spans="1:17" x14ac:dyDescent="0.3">
      <c r="A2177" s="27">
        <v>23</v>
      </c>
      <c r="B2177" s="24">
        <v>100</v>
      </c>
      <c r="C2177" s="25">
        <f>Sales!$B2177*Sales!$A2177</f>
        <v>2300</v>
      </c>
      <c r="D2177" s="26">
        <v>37799</v>
      </c>
      <c r="E2177" s="27" t="s">
        <v>9</v>
      </c>
      <c r="F2177" s="27">
        <v>2</v>
      </c>
      <c r="G2177" s="27">
        <v>6</v>
      </c>
      <c r="H2177" s="27">
        <v>2003</v>
      </c>
      <c r="I2177" s="27" t="s">
        <v>10</v>
      </c>
      <c r="J2177" s="25">
        <v>99</v>
      </c>
      <c r="K2177" s="25">
        <f>Sales!$B2177-Sales!$J2177</f>
        <v>1</v>
      </c>
      <c r="L2177" s="28">
        <f>(Sales!$J2177-Sales!$B2177)/Sales!$J2177</f>
        <v>-1.0101010101010102E-2</v>
      </c>
      <c r="M2177" s="28" t="str">
        <f t="shared" si="33"/>
        <v>Below 0%</v>
      </c>
      <c r="N2177" s="27" t="s">
        <v>45</v>
      </c>
      <c r="O2177" s="27" t="s">
        <v>46</v>
      </c>
      <c r="P2177" s="27" t="s">
        <v>17</v>
      </c>
      <c r="Q2177" s="27" t="s">
        <v>14</v>
      </c>
    </row>
    <row r="2178" spans="1:17" x14ac:dyDescent="0.3">
      <c r="A2178" s="22">
        <v>33</v>
      </c>
      <c r="B2178" s="19">
        <v>93.9</v>
      </c>
      <c r="C2178" s="20">
        <f>Sales!$B2178*Sales!$A2178</f>
        <v>3098.7000000000003</v>
      </c>
      <c r="D2178" s="21">
        <v>37858</v>
      </c>
      <c r="E2178" s="22" t="s">
        <v>9</v>
      </c>
      <c r="F2178" s="22">
        <v>3</v>
      </c>
      <c r="G2178" s="22">
        <v>8</v>
      </c>
      <c r="H2178" s="22">
        <v>2003</v>
      </c>
      <c r="I2178" s="22" t="s">
        <v>10</v>
      </c>
      <c r="J2178" s="20">
        <v>99</v>
      </c>
      <c r="K2178" s="20">
        <f>Sales!$B2178-Sales!$J2178</f>
        <v>-5.0999999999999943</v>
      </c>
      <c r="L2178" s="23">
        <f>(Sales!$J2178-Sales!$B2178)/Sales!$J2178</f>
        <v>5.1515151515151458E-2</v>
      </c>
      <c r="M2178" s="23" t="s">
        <v>131</v>
      </c>
      <c r="N2178" s="22" t="s">
        <v>20</v>
      </c>
      <c r="O2178" s="22" t="s">
        <v>12</v>
      </c>
      <c r="P2178" s="22" t="s">
        <v>13</v>
      </c>
      <c r="Q2178" s="22" t="s">
        <v>19</v>
      </c>
    </row>
    <row r="2179" spans="1:17" x14ac:dyDescent="0.3">
      <c r="A2179" s="27">
        <v>28</v>
      </c>
      <c r="B2179" s="24">
        <v>100</v>
      </c>
      <c r="C2179" s="25">
        <f>Sales!$B2179*Sales!$A2179</f>
        <v>2800</v>
      </c>
      <c r="D2179" s="26">
        <v>37922</v>
      </c>
      <c r="E2179" s="27" t="s">
        <v>9</v>
      </c>
      <c r="F2179" s="27">
        <v>4</v>
      </c>
      <c r="G2179" s="27">
        <v>10</v>
      </c>
      <c r="H2179" s="27">
        <v>2003</v>
      </c>
      <c r="I2179" s="27" t="s">
        <v>10</v>
      </c>
      <c r="J2179" s="25">
        <v>99</v>
      </c>
      <c r="K2179" s="25">
        <f>Sales!$B2179-Sales!$J2179</f>
        <v>1</v>
      </c>
      <c r="L2179" s="28">
        <f>(Sales!$J2179-Sales!$B2179)/Sales!$J2179</f>
        <v>-1.0101010101010102E-2</v>
      </c>
      <c r="M2179" s="28" t="str">
        <f t="shared" ref="M2179:M2242" si="34">IF(L2179&lt;0%,"Below 0%",IF(L2179=0%,"0%",IF(AND(L2179&lt;=5%,L2179&gt;0%),"0%-5%",IF(AND(L2179&lt;=10%,L2179&gt;5%),"5%-10%",IF(AND(L2179&lt;=15%,L2179&gt;10%),"10%-15%",IF(AND(L2179&lt;=20%,L2179&gt;15%),"15%-20%","+20%"))))))</f>
        <v>Below 0%</v>
      </c>
      <c r="N2179" s="27" t="s">
        <v>22</v>
      </c>
      <c r="O2179" s="27" t="s">
        <v>12</v>
      </c>
      <c r="P2179" s="27" t="s">
        <v>13</v>
      </c>
      <c r="Q2179" s="27" t="s">
        <v>19</v>
      </c>
    </row>
    <row r="2180" spans="1:17" x14ac:dyDescent="0.3">
      <c r="A2180" s="22">
        <v>44</v>
      </c>
      <c r="B2180" s="19">
        <v>98.89</v>
      </c>
      <c r="C2180" s="20">
        <f>Sales!$B2180*Sales!$A2180</f>
        <v>4351.16</v>
      </c>
      <c r="D2180" s="21">
        <v>37943</v>
      </c>
      <c r="E2180" s="22" t="s">
        <v>9</v>
      </c>
      <c r="F2180" s="22">
        <v>4</v>
      </c>
      <c r="G2180" s="22">
        <v>11</v>
      </c>
      <c r="H2180" s="22">
        <v>2003</v>
      </c>
      <c r="I2180" s="22" t="s">
        <v>10</v>
      </c>
      <c r="J2180" s="20">
        <v>99</v>
      </c>
      <c r="K2180" s="20">
        <f>Sales!$B2180-Sales!$J2180</f>
        <v>-0.10999999999999943</v>
      </c>
      <c r="L2180" s="23">
        <f>(Sales!$J2180-Sales!$B2180)/Sales!$J2180</f>
        <v>1.1111111111111055E-3</v>
      </c>
      <c r="M2180" s="23" t="s">
        <v>130</v>
      </c>
      <c r="N2180" s="22" t="s">
        <v>24</v>
      </c>
      <c r="O2180" s="22" t="s">
        <v>25</v>
      </c>
      <c r="P2180" s="22" t="s">
        <v>17</v>
      </c>
      <c r="Q2180" s="22" t="s">
        <v>19</v>
      </c>
    </row>
    <row r="2181" spans="1:17" x14ac:dyDescent="0.3">
      <c r="A2181" s="27">
        <v>46</v>
      </c>
      <c r="B2181" s="24">
        <v>79.91</v>
      </c>
      <c r="C2181" s="25">
        <f>Sales!$B2181*Sales!$A2181</f>
        <v>3675.8599999999997</v>
      </c>
      <c r="D2181" s="26">
        <v>37998</v>
      </c>
      <c r="E2181" s="27" t="s">
        <v>9</v>
      </c>
      <c r="F2181" s="27">
        <v>1</v>
      </c>
      <c r="G2181" s="27">
        <v>1</v>
      </c>
      <c r="H2181" s="27">
        <v>2004</v>
      </c>
      <c r="I2181" s="27" t="s">
        <v>10</v>
      </c>
      <c r="J2181" s="25">
        <v>99</v>
      </c>
      <c r="K2181" s="25">
        <f>Sales!$B2181-Sales!$J2181</f>
        <v>-19.090000000000003</v>
      </c>
      <c r="L2181" s="28">
        <f>(Sales!$J2181-Sales!$B2181)/Sales!$J2181</f>
        <v>0.19282828282828288</v>
      </c>
      <c r="M2181" s="28" t="str">
        <f t="shared" si="34"/>
        <v>15%-20%</v>
      </c>
      <c r="N2181" s="27" t="s">
        <v>70</v>
      </c>
      <c r="O2181" s="27" t="s">
        <v>51</v>
      </c>
      <c r="P2181" s="27" t="s">
        <v>51</v>
      </c>
      <c r="Q2181" s="27" t="s">
        <v>19</v>
      </c>
    </row>
    <row r="2182" spans="1:17" x14ac:dyDescent="0.3">
      <c r="A2182" s="22">
        <v>21</v>
      </c>
      <c r="B2182" s="19">
        <v>100</v>
      </c>
      <c r="C2182" s="20">
        <f>Sales!$B2182*Sales!$A2182</f>
        <v>2100</v>
      </c>
      <c r="D2182" s="21">
        <v>38037</v>
      </c>
      <c r="E2182" s="22" t="s">
        <v>9</v>
      </c>
      <c r="F2182" s="22">
        <v>1</v>
      </c>
      <c r="G2182" s="22">
        <v>2</v>
      </c>
      <c r="H2182" s="22">
        <v>2004</v>
      </c>
      <c r="I2182" s="22" t="s">
        <v>10</v>
      </c>
      <c r="J2182" s="20">
        <v>99</v>
      </c>
      <c r="K2182" s="20">
        <f>Sales!$B2182-Sales!$J2182</f>
        <v>1</v>
      </c>
      <c r="L2182" s="23">
        <f>(Sales!$J2182-Sales!$B2182)/Sales!$J2182</f>
        <v>-1.0101010101010102E-2</v>
      </c>
      <c r="M2182" s="23" t="str">
        <f t="shared" si="34"/>
        <v>Below 0%</v>
      </c>
      <c r="N2182" s="22" t="s">
        <v>26</v>
      </c>
      <c r="O2182" s="22" t="s">
        <v>27</v>
      </c>
      <c r="P2182" s="22" t="s">
        <v>28</v>
      </c>
      <c r="Q2182" s="22" t="s">
        <v>14</v>
      </c>
    </row>
    <row r="2183" spans="1:17" x14ac:dyDescent="0.3">
      <c r="A2183" s="27">
        <v>41</v>
      </c>
      <c r="B2183" s="24">
        <v>100</v>
      </c>
      <c r="C2183" s="25">
        <f>Sales!$B2183*Sales!$A2183</f>
        <v>4100</v>
      </c>
      <c r="D2183" s="26">
        <v>38079</v>
      </c>
      <c r="E2183" s="27" t="s">
        <v>9</v>
      </c>
      <c r="F2183" s="27">
        <v>2</v>
      </c>
      <c r="G2183" s="27">
        <v>4</v>
      </c>
      <c r="H2183" s="27">
        <v>2004</v>
      </c>
      <c r="I2183" s="27" t="s">
        <v>10</v>
      </c>
      <c r="J2183" s="25">
        <v>99</v>
      </c>
      <c r="K2183" s="25">
        <f>Sales!$B2183-Sales!$J2183</f>
        <v>1</v>
      </c>
      <c r="L2183" s="28">
        <f>(Sales!$J2183-Sales!$B2183)/Sales!$J2183</f>
        <v>-1.0101010101010102E-2</v>
      </c>
      <c r="M2183" s="28" t="str">
        <f t="shared" si="34"/>
        <v>Below 0%</v>
      </c>
      <c r="N2183" s="27" t="s">
        <v>82</v>
      </c>
      <c r="O2183" s="27" t="s">
        <v>56</v>
      </c>
      <c r="P2183" s="27" t="s">
        <v>13</v>
      </c>
      <c r="Q2183" s="27" t="s">
        <v>19</v>
      </c>
    </row>
    <row r="2184" spans="1:17" x14ac:dyDescent="0.3">
      <c r="A2184" s="22">
        <v>31</v>
      </c>
      <c r="B2184" s="19">
        <v>100</v>
      </c>
      <c r="C2184" s="20">
        <f>Sales!$B2184*Sales!$A2184</f>
        <v>3100</v>
      </c>
      <c r="D2184" s="21">
        <v>38118</v>
      </c>
      <c r="E2184" s="22" t="s">
        <v>9</v>
      </c>
      <c r="F2184" s="22">
        <v>2</v>
      </c>
      <c r="G2184" s="22">
        <v>5</v>
      </c>
      <c r="H2184" s="22">
        <v>2004</v>
      </c>
      <c r="I2184" s="22" t="s">
        <v>10</v>
      </c>
      <c r="J2184" s="20">
        <v>99</v>
      </c>
      <c r="K2184" s="20">
        <f>Sales!$B2184-Sales!$J2184</f>
        <v>1</v>
      </c>
      <c r="L2184" s="23">
        <f>(Sales!$J2184-Sales!$B2184)/Sales!$J2184</f>
        <v>-1.0101010101010102E-2</v>
      </c>
      <c r="M2184" s="23" t="str">
        <f t="shared" si="34"/>
        <v>Below 0%</v>
      </c>
      <c r="N2184" s="22" t="s">
        <v>86</v>
      </c>
      <c r="O2184" s="22" t="s">
        <v>12</v>
      </c>
      <c r="P2184" s="22" t="s">
        <v>13</v>
      </c>
      <c r="Q2184" s="22" t="s">
        <v>19</v>
      </c>
    </row>
    <row r="2185" spans="1:17" x14ac:dyDescent="0.3">
      <c r="A2185" s="27">
        <v>31</v>
      </c>
      <c r="B2185" s="24">
        <v>79.91</v>
      </c>
      <c r="C2185" s="25">
        <f>Sales!$B2185*Sales!$A2185</f>
        <v>2477.21</v>
      </c>
      <c r="D2185" s="26">
        <v>38166</v>
      </c>
      <c r="E2185" s="27" t="s">
        <v>9</v>
      </c>
      <c r="F2185" s="27">
        <v>2</v>
      </c>
      <c r="G2185" s="27">
        <v>6</v>
      </c>
      <c r="H2185" s="27">
        <v>2004</v>
      </c>
      <c r="I2185" s="27" t="s">
        <v>10</v>
      </c>
      <c r="J2185" s="25">
        <v>99</v>
      </c>
      <c r="K2185" s="25">
        <f>Sales!$B2185-Sales!$J2185</f>
        <v>-19.090000000000003</v>
      </c>
      <c r="L2185" s="28">
        <f>(Sales!$J2185-Sales!$B2185)/Sales!$J2185</f>
        <v>0.19282828282828288</v>
      </c>
      <c r="M2185" s="28" t="str">
        <f t="shared" si="34"/>
        <v>15%-20%</v>
      </c>
      <c r="N2185" s="27" t="s">
        <v>30</v>
      </c>
      <c r="O2185" s="27" t="s">
        <v>12</v>
      </c>
      <c r="P2185" s="27" t="s">
        <v>13</v>
      </c>
      <c r="Q2185" s="27" t="s">
        <v>14</v>
      </c>
    </row>
    <row r="2186" spans="1:17" x14ac:dyDescent="0.3">
      <c r="A2186" s="22">
        <v>23</v>
      </c>
      <c r="B2186" s="19">
        <v>81.91</v>
      </c>
      <c r="C2186" s="20">
        <f>Sales!$B2186*Sales!$A2186</f>
        <v>1883.9299999999998</v>
      </c>
      <c r="D2186" s="21">
        <v>38191</v>
      </c>
      <c r="E2186" s="22" t="s">
        <v>9</v>
      </c>
      <c r="F2186" s="22">
        <v>3</v>
      </c>
      <c r="G2186" s="22">
        <v>7</v>
      </c>
      <c r="H2186" s="22">
        <v>2004</v>
      </c>
      <c r="I2186" s="22" t="s">
        <v>10</v>
      </c>
      <c r="J2186" s="20">
        <v>99</v>
      </c>
      <c r="K2186" s="20">
        <f>Sales!$B2186-Sales!$J2186</f>
        <v>-17.090000000000003</v>
      </c>
      <c r="L2186" s="23">
        <f>(Sales!$J2186-Sales!$B2186)/Sales!$J2186</f>
        <v>0.17262626262626266</v>
      </c>
      <c r="M2186" s="23" t="str">
        <f t="shared" si="34"/>
        <v>15%-20%</v>
      </c>
      <c r="N2186" s="22" t="s">
        <v>31</v>
      </c>
      <c r="O2186" s="22" t="s">
        <v>16</v>
      </c>
      <c r="P2186" s="22" t="s">
        <v>17</v>
      </c>
      <c r="Q2186" s="22" t="s">
        <v>14</v>
      </c>
    </row>
    <row r="2187" spans="1:17" x14ac:dyDescent="0.3">
      <c r="A2187" s="27">
        <v>37</v>
      </c>
      <c r="B2187" s="24">
        <v>98.89</v>
      </c>
      <c r="C2187" s="25">
        <f>Sales!$B2187*Sales!$A2187</f>
        <v>3658.93</v>
      </c>
      <c r="D2187" s="26">
        <v>38226</v>
      </c>
      <c r="E2187" s="27" t="s">
        <v>9</v>
      </c>
      <c r="F2187" s="27">
        <v>3</v>
      </c>
      <c r="G2187" s="27">
        <v>8</v>
      </c>
      <c r="H2187" s="27">
        <v>2004</v>
      </c>
      <c r="I2187" s="27" t="s">
        <v>10</v>
      </c>
      <c r="J2187" s="25">
        <v>99</v>
      </c>
      <c r="K2187" s="25">
        <f>Sales!$B2187-Sales!$J2187</f>
        <v>-0.10999999999999943</v>
      </c>
      <c r="L2187" s="28">
        <f>(Sales!$J2187-Sales!$B2187)/Sales!$J2187</f>
        <v>1.1111111111111055E-3</v>
      </c>
      <c r="M2187" s="28" t="s">
        <v>130</v>
      </c>
      <c r="N2187" s="27" t="s">
        <v>32</v>
      </c>
      <c r="O2187" s="27" t="s">
        <v>12</v>
      </c>
      <c r="P2187" s="27" t="s">
        <v>13</v>
      </c>
      <c r="Q2187" s="27" t="s">
        <v>19</v>
      </c>
    </row>
    <row r="2188" spans="1:17" x14ac:dyDescent="0.3">
      <c r="A2188" s="22">
        <v>26</v>
      </c>
      <c r="B2188" s="19">
        <v>100</v>
      </c>
      <c r="C2188" s="20">
        <f>Sales!$B2188*Sales!$A2188</f>
        <v>2600</v>
      </c>
      <c r="D2188" s="21">
        <v>38246</v>
      </c>
      <c r="E2188" s="22" t="s">
        <v>9</v>
      </c>
      <c r="F2188" s="22">
        <v>3</v>
      </c>
      <c r="G2188" s="22">
        <v>9</v>
      </c>
      <c r="H2188" s="22">
        <v>2004</v>
      </c>
      <c r="I2188" s="22" t="s">
        <v>10</v>
      </c>
      <c r="J2188" s="20">
        <v>99</v>
      </c>
      <c r="K2188" s="20">
        <f>Sales!$B2188-Sales!$J2188</f>
        <v>1</v>
      </c>
      <c r="L2188" s="23">
        <f>(Sales!$J2188-Sales!$B2188)/Sales!$J2188</f>
        <v>-1.0101010101010102E-2</v>
      </c>
      <c r="M2188" s="23" t="str">
        <f t="shared" si="34"/>
        <v>Below 0%</v>
      </c>
      <c r="N2188" s="22" t="s">
        <v>100</v>
      </c>
      <c r="O2188" s="22" t="s">
        <v>101</v>
      </c>
      <c r="P2188" s="22" t="s">
        <v>17</v>
      </c>
      <c r="Q2188" s="22" t="s">
        <v>14</v>
      </c>
    </row>
    <row r="2189" spans="1:17" x14ac:dyDescent="0.3">
      <c r="A2189" s="27">
        <v>24</v>
      </c>
      <c r="B2189" s="24">
        <v>79.91</v>
      </c>
      <c r="C2189" s="25">
        <f>Sales!$B2189*Sales!$A2189</f>
        <v>1917.84</v>
      </c>
      <c r="D2189" s="26">
        <v>38275</v>
      </c>
      <c r="E2189" s="27" t="s">
        <v>9</v>
      </c>
      <c r="F2189" s="27">
        <v>4</v>
      </c>
      <c r="G2189" s="27">
        <v>10</v>
      </c>
      <c r="H2189" s="27">
        <v>2004</v>
      </c>
      <c r="I2189" s="27" t="s">
        <v>10</v>
      </c>
      <c r="J2189" s="25">
        <v>99</v>
      </c>
      <c r="K2189" s="25">
        <f>Sales!$B2189-Sales!$J2189</f>
        <v>-19.090000000000003</v>
      </c>
      <c r="L2189" s="28">
        <f>(Sales!$J2189-Sales!$B2189)/Sales!$J2189</f>
        <v>0.19282828282828288</v>
      </c>
      <c r="M2189" s="28" t="str">
        <f t="shared" si="34"/>
        <v>15%-20%</v>
      </c>
      <c r="N2189" s="27" t="s">
        <v>71</v>
      </c>
      <c r="O2189" s="27" t="s">
        <v>12</v>
      </c>
      <c r="P2189" s="27" t="s">
        <v>13</v>
      </c>
      <c r="Q2189" s="27" t="s">
        <v>14</v>
      </c>
    </row>
    <row r="2190" spans="1:17" x14ac:dyDescent="0.3">
      <c r="A2190" s="22">
        <v>47</v>
      </c>
      <c r="B2190" s="19">
        <v>100</v>
      </c>
      <c r="C2190" s="20">
        <f>Sales!$B2190*Sales!$A2190</f>
        <v>4700</v>
      </c>
      <c r="D2190" s="21">
        <v>38293</v>
      </c>
      <c r="E2190" s="22" t="s">
        <v>9</v>
      </c>
      <c r="F2190" s="22">
        <v>4</v>
      </c>
      <c r="G2190" s="22">
        <v>11</v>
      </c>
      <c r="H2190" s="22">
        <v>2004</v>
      </c>
      <c r="I2190" s="22" t="s">
        <v>10</v>
      </c>
      <c r="J2190" s="20">
        <v>99</v>
      </c>
      <c r="K2190" s="20">
        <f>Sales!$B2190-Sales!$J2190</f>
        <v>1</v>
      </c>
      <c r="L2190" s="23">
        <f>(Sales!$J2190-Sales!$B2190)/Sales!$J2190</f>
        <v>-1.0101010101010102E-2</v>
      </c>
      <c r="M2190" s="23" t="str">
        <f t="shared" si="34"/>
        <v>Below 0%</v>
      </c>
      <c r="N2190" s="22" t="s">
        <v>36</v>
      </c>
      <c r="O2190" s="22" t="s">
        <v>12</v>
      </c>
      <c r="P2190" s="22" t="s">
        <v>13</v>
      </c>
      <c r="Q2190" s="22" t="s">
        <v>19</v>
      </c>
    </row>
    <row r="2191" spans="1:17" x14ac:dyDescent="0.3">
      <c r="A2191" s="27">
        <v>45</v>
      </c>
      <c r="B2191" s="24">
        <v>63.91</v>
      </c>
      <c r="C2191" s="25">
        <f>Sales!$B2191*Sales!$A2191</f>
        <v>2875.95</v>
      </c>
      <c r="D2191" s="26">
        <v>38306</v>
      </c>
      <c r="E2191" s="27" t="s">
        <v>9</v>
      </c>
      <c r="F2191" s="27">
        <v>4</v>
      </c>
      <c r="G2191" s="27">
        <v>11</v>
      </c>
      <c r="H2191" s="27">
        <v>2004</v>
      </c>
      <c r="I2191" s="27" t="s">
        <v>10</v>
      </c>
      <c r="J2191" s="25">
        <v>99</v>
      </c>
      <c r="K2191" s="25">
        <f>Sales!$B2191-Sales!$J2191</f>
        <v>-35.090000000000003</v>
      </c>
      <c r="L2191" s="28">
        <f>(Sales!$J2191-Sales!$B2191)/Sales!$J2191</f>
        <v>0.35444444444444451</v>
      </c>
      <c r="M2191" s="28" t="str">
        <f t="shared" si="34"/>
        <v>+20%</v>
      </c>
      <c r="N2191" s="27" t="s">
        <v>11</v>
      </c>
      <c r="O2191" s="27" t="s">
        <v>12</v>
      </c>
      <c r="P2191" s="27" t="s">
        <v>13</v>
      </c>
      <c r="Q2191" s="27" t="s">
        <v>14</v>
      </c>
    </row>
    <row r="2192" spans="1:17" x14ac:dyDescent="0.3">
      <c r="A2192" s="22">
        <v>55</v>
      </c>
      <c r="B2192" s="19">
        <v>100</v>
      </c>
      <c r="C2192" s="20">
        <f>Sales!$B2192*Sales!$A2192</f>
        <v>5500</v>
      </c>
      <c r="D2192" s="21">
        <v>38315</v>
      </c>
      <c r="E2192" s="22" t="s">
        <v>9</v>
      </c>
      <c r="F2192" s="22">
        <v>4</v>
      </c>
      <c r="G2192" s="22">
        <v>11</v>
      </c>
      <c r="H2192" s="22">
        <v>2004</v>
      </c>
      <c r="I2192" s="22" t="s">
        <v>10</v>
      </c>
      <c r="J2192" s="20">
        <v>99</v>
      </c>
      <c r="K2192" s="20">
        <f>Sales!$B2192-Sales!$J2192</f>
        <v>1</v>
      </c>
      <c r="L2192" s="23">
        <f>(Sales!$J2192-Sales!$B2192)/Sales!$J2192</f>
        <v>-1.0101010101010102E-2</v>
      </c>
      <c r="M2192" s="23" t="str">
        <f t="shared" si="34"/>
        <v>Below 0%</v>
      </c>
      <c r="N2192" s="22" t="s">
        <v>77</v>
      </c>
      <c r="O2192" s="22" t="s">
        <v>46</v>
      </c>
      <c r="P2192" s="22" t="s">
        <v>17</v>
      </c>
      <c r="Q2192" s="22" t="s">
        <v>19</v>
      </c>
    </row>
    <row r="2193" spans="1:17" x14ac:dyDescent="0.3">
      <c r="A2193" s="27">
        <v>46</v>
      </c>
      <c r="B2193" s="24">
        <v>81.17</v>
      </c>
      <c r="C2193" s="25">
        <f>Sales!$B2193*Sales!$A2193</f>
        <v>3733.82</v>
      </c>
      <c r="D2193" s="26">
        <v>38325</v>
      </c>
      <c r="E2193" s="27" t="s">
        <v>9</v>
      </c>
      <c r="F2193" s="27">
        <v>4</v>
      </c>
      <c r="G2193" s="27">
        <v>12</v>
      </c>
      <c r="H2193" s="27">
        <v>2004</v>
      </c>
      <c r="I2193" s="27" t="s">
        <v>10</v>
      </c>
      <c r="J2193" s="25">
        <v>99</v>
      </c>
      <c r="K2193" s="25">
        <f>Sales!$B2193-Sales!$J2193</f>
        <v>-17.829999999999998</v>
      </c>
      <c r="L2193" s="28">
        <f>(Sales!$J2193-Sales!$B2193)/Sales!$J2193</f>
        <v>0.18010101010101009</v>
      </c>
      <c r="M2193" s="28" t="str">
        <f t="shared" si="34"/>
        <v>15%-20%</v>
      </c>
      <c r="N2193" s="27" t="s">
        <v>105</v>
      </c>
      <c r="O2193" s="27" t="s">
        <v>12</v>
      </c>
      <c r="P2193" s="27" t="s">
        <v>13</v>
      </c>
      <c r="Q2193" s="27" t="s">
        <v>19</v>
      </c>
    </row>
    <row r="2194" spans="1:17" x14ac:dyDescent="0.3">
      <c r="A2194" s="22">
        <v>50</v>
      </c>
      <c r="B2194" s="19">
        <v>100</v>
      </c>
      <c r="C2194" s="20">
        <f>Sales!$B2194*Sales!$A2194</f>
        <v>5000</v>
      </c>
      <c r="D2194" s="21">
        <v>38358</v>
      </c>
      <c r="E2194" s="22" t="s">
        <v>9</v>
      </c>
      <c r="F2194" s="22">
        <v>1</v>
      </c>
      <c r="G2194" s="22">
        <v>1</v>
      </c>
      <c r="H2194" s="22">
        <v>2005</v>
      </c>
      <c r="I2194" s="22" t="s">
        <v>10</v>
      </c>
      <c r="J2194" s="20">
        <v>99</v>
      </c>
      <c r="K2194" s="20">
        <f>Sales!$B2194-Sales!$J2194</f>
        <v>1</v>
      </c>
      <c r="L2194" s="23">
        <f>(Sales!$J2194-Sales!$B2194)/Sales!$J2194</f>
        <v>-1.0101010101010102E-2</v>
      </c>
      <c r="M2194" s="23" t="str">
        <f t="shared" si="34"/>
        <v>Below 0%</v>
      </c>
      <c r="N2194" s="22" t="s">
        <v>99</v>
      </c>
      <c r="O2194" s="22" t="s">
        <v>34</v>
      </c>
      <c r="P2194" s="22" t="s">
        <v>17</v>
      </c>
      <c r="Q2194" s="22" t="s">
        <v>19</v>
      </c>
    </row>
    <row r="2195" spans="1:17" x14ac:dyDescent="0.3">
      <c r="A2195" s="27">
        <v>37</v>
      </c>
      <c r="B2195" s="24">
        <v>100</v>
      </c>
      <c r="C2195" s="25">
        <f>Sales!$B2195*Sales!$A2195</f>
        <v>3700</v>
      </c>
      <c r="D2195" s="26">
        <v>38386</v>
      </c>
      <c r="E2195" s="27" t="s">
        <v>9</v>
      </c>
      <c r="F2195" s="27">
        <v>1</v>
      </c>
      <c r="G2195" s="27">
        <v>2</v>
      </c>
      <c r="H2195" s="27">
        <v>2005</v>
      </c>
      <c r="I2195" s="27" t="s">
        <v>10</v>
      </c>
      <c r="J2195" s="25">
        <v>99</v>
      </c>
      <c r="K2195" s="25">
        <f>Sales!$B2195-Sales!$J2195</f>
        <v>1</v>
      </c>
      <c r="L2195" s="28">
        <f>(Sales!$J2195-Sales!$B2195)/Sales!$J2195</f>
        <v>-1.0101010101010102E-2</v>
      </c>
      <c r="M2195" s="28" t="str">
        <f t="shared" si="34"/>
        <v>Below 0%</v>
      </c>
      <c r="N2195" s="27" t="s">
        <v>31</v>
      </c>
      <c r="O2195" s="27" t="s">
        <v>16</v>
      </c>
      <c r="P2195" s="27" t="s">
        <v>17</v>
      </c>
      <c r="Q2195" s="27" t="s">
        <v>19</v>
      </c>
    </row>
    <row r="2196" spans="1:17" x14ac:dyDescent="0.3">
      <c r="A2196" s="22">
        <v>44</v>
      </c>
      <c r="B2196" s="19">
        <v>94.9</v>
      </c>
      <c r="C2196" s="20">
        <f>Sales!$B2196*Sales!$A2196</f>
        <v>4175.6000000000004</v>
      </c>
      <c r="D2196" s="21">
        <v>38413</v>
      </c>
      <c r="E2196" s="22" t="s">
        <v>9</v>
      </c>
      <c r="F2196" s="22">
        <v>1</v>
      </c>
      <c r="G2196" s="22">
        <v>3</v>
      </c>
      <c r="H2196" s="22">
        <v>2005</v>
      </c>
      <c r="I2196" s="22" t="s">
        <v>10</v>
      </c>
      <c r="J2196" s="20">
        <v>99</v>
      </c>
      <c r="K2196" s="20">
        <f>Sales!$B2196-Sales!$J2196</f>
        <v>-4.0999999999999943</v>
      </c>
      <c r="L2196" s="23">
        <f>(Sales!$J2196-Sales!$B2196)/Sales!$J2196</f>
        <v>4.1414141414141355E-2</v>
      </c>
      <c r="M2196" s="23" t="str">
        <f t="shared" si="34"/>
        <v>0%-5%</v>
      </c>
      <c r="N2196" s="22" t="s">
        <v>50</v>
      </c>
      <c r="O2196" s="22" t="s">
        <v>50</v>
      </c>
      <c r="P2196" s="22" t="s">
        <v>28</v>
      </c>
      <c r="Q2196" s="22" t="s">
        <v>19</v>
      </c>
    </row>
    <row r="2197" spans="1:17" x14ac:dyDescent="0.3">
      <c r="A2197" s="27">
        <v>49</v>
      </c>
      <c r="B2197" s="24">
        <v>100</v>
      </c>
      <c r="C2197" s="25">
        <f>Sales!$B2197*Sales!$A2197</f>
        <v>4900</v>
      </c>
      <c r="D2197" s="26">
        <v>38445</v>
      </c>
      <c r="E2197" s="27" t="s">
        <v>87</v>
      </c>
      <c r="F2197" s="27">
        <v>2</v>
      </c>
      <c r="G2197" s="27">
        <v>4</v>
      </c>
      <c r="H2197" s="27">
        <v>2005</v>
      </c>
      <c r="I2197" s="27" t="s">
        <v>10</v>
      </c>
      <c r="J2197" s="25">
        <v>99</v>
      </c>
      <c r="K2197" s="25">
        <f>Sales!$B2197-Sales!$J2197</f>
        <v>1</v>
      </c>
      <c r="L2197" s="28">
        <f>(Sales!$J2197-Sales!$B2197)/Sales!$J2197</f>
        <v>-1.0101010101010102E-2</v>
      </c>
      <c r="M2197" s="28" t="str">
        <f t="shared" si="34"/>
        <v>Below 0%</v>
      </c>
      <c r="N2197" s="27" t="s">
        <v>29</v>
      </c>
      <c r="O2197" s="27" t="s">
        <v>12</v>
      </c>
      <c r="P2197" s="27" t="s">
        <v>13</v>
      </c>
      <c r="Q2197" s="27" t="s">
        <v>19</v>
      </c>
    </row>
    <row r="2198" spans="1:17" x14ac:dyDescent="0.3">
      <c r="A2198" s="22">
        <v>45</v>
      </c>
      <c r="B2198" s="19">
        <v>100</v>
      </c>
      <c r="C2198" s="20">
        <f>Sales!$B2198*Sales!$A2198</f>
        <v>4500</v>
      </c>
      <c r="D2198" s="21">
        <v>38482</v>
      </c>
      <c r="E2198" s="22" t="s">
        <v>9</v>
      </c>
      <c r="F2198" s="22">
        <v>2</v>
      </c>
      <c r="G2198" s="22">
        <v>5</v>
      </c>
      <c r="H2198" s="22">
        <v>2005</v>
      </c>
      <c r="I2198" s="22" t="s">
        <v>10</v>
      </c>
      <c r="J2198" s="20">
        <v>99</v>
      </c>
      <c r="K2198" s="20">
        <f>Sales!$B2198-Sales!$J2198</f>
        <v>1</v>
      </c>
      <c r="L2198" s="23">
        <f>(Sales!$J2198-Sales!$B2198)/Sales!$J2198</f>
        <v>-1.0101010101010102E-2</v>
      </c>
      <c r="M2198" s="23" t="str">
        <f t="shared" si="34"/>
        <v>Below 0%</v>
      </c>
      <c r="N2198" s="22" t="s">
        <v>97</v>
      </c>
      <c r="O2198" s="22" t="s">
        <v>61</v>
      </c>
      <c r="P2198" s="22" t="s">
        <v>17</v>
      </c>
      <c r="Q2198" s="22" t="s">
        <v>19</v>
      </c>
    </row>
    <row r="2199" spans="1:17" x14ac:dyDescent="0.3">
      <c r="A2199" s="27">
        <v>27</v>
      </c>
      <c r="B2199" s="24">
        <v>43.45</v>
      </c>
      <c r="C2199" s="25">
        <f>Sales!$B2199*Sales!$A2199</f>
        <v>1173.1500000000001</v>
      </c>
      <c r="D2199" s="26">
        <v>37683</v>
      </c>
      <c r="E2199" s="27" t="s">
        <v>9</v>
      </c>
      <c r="F2199" s="27">
        <v>1</v>
      </c>
      <c r="G2199" s="27">
        <v>3</v>
      </c>
      <c r="H2199" s="27">
        <v>2003</v>
      </c>
      <c r="I2199" s="27" t="s">
        <v>10</v>
      </c>
      <c r="J2199" s="25">
        <v>40</v>
      </c>
      <c r="K2199" s="25">
        <f>Sales!$B2199-Sales!$J2199</f>
        <v>3.4500000000000028</v>
      </c>
      <c r="L2199" s="28">
        <f>(Sales!$J2199-Sales!$B2199)/Sales!$J2199</f>
        <v>-8.6250000000000077E-2</v>
      </c>
      <c r="M2199" s="28" t="str">
        <f t="shared" si="34"/>
        <v>Below 0%</v>
      </c>
      <c r="N2199" s="27" t="s">
        <v>90</v>
      </c>
      <c r="O2199" s="27" t="s">
        <v>91</v>
      </c>
      <c r="P2199" s="27" t="s">
        <v>28</v>
      </c>
      <c r="Q2199" s="27" t="s">
        <v>14</v>
      </c>
    </row>
    <row r="2200" spans="1:17" x14ac:dyDescent="0.3">
      <c r="A2200" s="22">
        <v>31</v>
      </c>
      <c r="B2200" s="19">
        <v>44.66</v>
      </c>
      <c r="C2200" s="20">
        <f>Sales!$B2200*Sales!$A2200</f>
        <v>1384.4599999999998</v>
      </c>
      <c r="D2200" s="21">
        <v>37749</v>
      </c>
      <c r="E2200" s="22" t="s">
        <v>9</v>
      </c>
      <c r="F2200" s="22">
        <v>2</v>
      </c>
      <c r="G2200" s="22">
        <v>5</v>
      </c>
      <c r="H2200" s="22">
        <v>2003</v>
      </c>
      <c r="I2200" s="22" t="s">
        <v>10</v>
      </c>
      <c r="J2200" s="20">
        <v>40</v>
      </c>
      <c r="K2200" s="20">
        <f>Sales!$B2200-Sales!$J2200</f>
        <v>4.6599999999999966</v>
      </c>
      <c r="L2200" s="23">
        <f>(Sales!$J2200-Sales!$B2200)/Sales!$J2200</f>
        <v>-0.11649999999999991</v>
      </c>
      <c r="M2200" s="23" t="str">
        <f t="shared" si="34"/>
        <v>Below 0%</v>
      </c>
      <c r="N2200" s="22" t="s">
        <v>92</v>
      </c>
      <c r="O2200" s="22" t="s">
        <v>16</v>
      </c>
      <c r="P2200" s="22" t="s">
        <v>17</v>
      </c>
      <c r="Q2200" s="22" t="s">
        <v>14</v>
      </c>
    </row>
    <row r="2201" spans="1:17" x14ac:dyDescent="0.3">
      <c r="A2201" s="27">
        <v>33</v>
      </c>
      <c r="B2201" s="24">
        <v>40.229999999999997</v>
      </c>
      <c r="C2201" s="25">
        <f>Sales!$B2201*Sales!$A2201</f>
        <v>1327.59</v>
      </c>
      <c r="D2201" s="26">
        <v>37804</v>
      </c>
      <c r="E2201" s="27" t="s">
        <v>9</v>
      </c>
      <c r="F2201" s="27">
        <v>3</v>
      </c>
      <c r="G2201" s="27">
        <v>7</v>
      </c>
      <c r="H2201" s="27">
        <v>2003</v>
      </c>
      <c r="I2201" s="27" t="s">
        <v>10</v>
      </c>
      <c r="J2201" s="25">
        <v>40</v>
      </c>
      <c r="K2201" s="25">
        <f>Sales!$B2201-Sales!$J2201</f>
        <v>0.22999999999999687</v>
      </c>
      <c r="L2201" s="28">
        <f>(Sales!$J2201-Sales!$B2201)/Sales!$J2201</f>
        <v>-5.7499999999999218E-3</v>
      </c>
      <c r="M2201" s="28" t="str">
        <f t="shared" si="34"/>
        <v>Below 0%</v>
      </c>
      <c r="N2201" s="27" t="s">
        <v>64</v>
      </c>
      <c r="O2201" s="27" t="s">
        <v>12</v>
      </c>
      <c r="P2201" s="27" t="s">
        <v>13</v>
      </c>
      <c r="Q2201" s="27" t="s">
        <v>14</v>
      </c>
    </row>
    <row r="2202" spans="1:17" x14ac:dyDescent="0.3">
      <c r="A2202" s="22">
        <v>31</v>
      </c>
      <c r="B2202" s="19">
        <v>35.799999999999997</v>
      </c>
      <c r="C2202" s="20">
        <f>Sales!$B2202*Sales!$A2202</f>
        <v>1109.8</v>
      </c>
      <c r="D2202" s="21">
        <v>37858</v>
      </c>
      <c r="E2202" s="22" t="s">
        <v>9</v>
      </c>
      <c r="F2202" s="22">
        <v>3</v>
      </c>
      <c r="G2202" s="22">
        <v>8</v>
      </c>
      <c r="H2202" s="22">
        <v>2003</v>
      </c>
      <c r="I2202" s="22" t="s">
        <v>10</v>
      </c>
      <c r="J2202" s="20">
        <v>40</v>
      </c>
      <c r="K2202" s="20">
        <f>Sales!$B2202-Sales!$J2202</f>
        <v>-4.2000000000000028</v>
      </c>
      <c r="L2202" s="23">
        <f>(Sales!$J2202-Sales!$B2202)/Sales!$J2202</f>
        <v>0.10500000000000007</v>
      </c>
      <c r="M2202" s="23" t="str">
        <f t="shared" si="34"/>
        <v>10%-15%</v>
      </c>
      <c r="N2202" s="22" t="s">
        <v>20</v>
      </c>
      <c r="O2202" s="22" t="s">
        <v>12</v>
      </c>
      <c r="P2202" s="22" t="s">
        <v>13</v>
      </c>
      <c r="Q2202" s="22" t="s">
        <v>14</v>
      </c>
    </row>
    <row r="2203" spans="1:17" x14ac:dyDescent="0.3">
      <c r="A2203" s="27">
        <v>35</v>
      </c>
      <c r="B2203" s="24">
        <v>35.4</v>
      </c>
      <c r="C2203" s="25">
        <f>Sales!$B2203*Sales!$A2203</f>
        <v>1239</v>
      </c>
      <c r="D2203" s="26">
        <v>37904</v>
      </c>
      <c r="E2203" s="27" t="s">
        <v>9</v>
      </c>
      <c r="F2203" s="27">
        <v>4</v>
      </c>
      <c r="G2203" s="27">
        <v>10</v>
      </c>
      <c r="H2203" s="27">
        <v>2003</v>
      </c>
      <c r="I2203" s="27" t="s">
        <v>10</v>
      </c>
      <c r="J2203" s="25">
        <v>40</v>
      </c>
      <c r="K2203" s="25">
        <f>Sales!$B2203-Sales!$J2203</f>
        <v>-4.6000000000000014</v>
      </c>
      <c r="L2203" s="28">
        <f>(Sales!$J2203-Sales!$B2203)/Sales!$J2203</f>
        <v>0.11500000000000003</v>
      </c>
      <c r="M2203" s="28" t="str">
        <f t="shared" si="34"/>
        <v>10%-15%</v>
      </c>
      <c r="N2203" s="27" t="s">
        <v>21</v>
      </c>
      <c r="O2203" s="27" t="s">
        <v>12</v>
      </c>
      <c r="P2203" s="27" t="s">
        <v>13</v>
      </c>
      <c r="Q2203" s="27" t="s">
        <v>14</v>
      </c>
    </row>
    <row r="2204" spans="1:17" x14ac:dyDescent="0.3">
      <c r="A2204" s="22">
        <v>26</v>
      </c>
      <c r="B2204" s="19">
        <v>39.83</v>
      </c>
      <c r="C2204" s="20">
        <f>Sales!$B2204*Sales!$A2204</f>
        <v>1035.58</v>
      </c>
      <c r="D2204" s="21">
        <v>37929</v>
      </c>
      <c r="E2204" s="22" t="s">
        <v>9</v>
      </c>
      <c r="F2204" s="22">
        <v>4</v>
      </c>
      <c r="G2204" s="22">
        <v>11</v>
      </c>
      <c r="H2204" s="22">
        <v>2003</v>
      </c>
      <c r="I2204" s="22" t="s">
        <v>10</v>
      </c>
      <c r="J2204" s="20">
        <v>40</v>
      </c>
      <c r="K2204" s="20">
        <f>Sales!$B2204-Sales!$J2204</f>
        <v>-0.17000000000000171</v>
      </c>
      <c r="L2204" s="23">
        <f>(Sales!$J2204-Sales!$B2204)/Sales!$J2204</f>
        <v>4.2500000000000428E-3</v>
      </c>
      <c r="M2204" s="23" t="s">
        <v>130</v>
      </c>
      <c r="N2204" s="22" t="s">
        <v>67</v>
      </c>
      <c r="O2204" s="22" t="s">
        <v>27</v>
      </c>
      <c r="P2204" s="22" t="s">
        <v>28</v>
      </c>
      <c r="Q2204" s="22" t="s">
        <v>14</v>
      </c>
    </row>
    <row r="2205" spans="1:17" x14ac:dyDescent="0.3">
      <c r="A2205" s="27">
        <v>34</v>
      </c>
      <c r="B2205" s="24">
        <v>45.46</v>
      </c>
      <c r="C2205" s="25">
        <f>Sales!$B2205*Sales!$A2205</f>
        <v>1545.64</v>
      </c>
      <c r="D2205" s="26">
        <v>37936</v>
      </c>
      <c r="E2205" s="27" t="s">
        <v>9</v>
      </c>
      <c r="F2205" s="27">
        <v>4</v>
      </c>
      <c r="G2205" s="27">
        <v>11</v>
      </c>
      <c r="H2205" s="27">
        <v>2003</v>
      </c>
      <c r="I2205" s="27" t="s">
        <v>10</v>
      </c>
      <c r="J2205" s="25">
        <v>40</v>
      </c>
      <c r="K2205" s="25">
        <f>Sales!$B2205-Sales!$J2205</f>
        <v>5.4600000000000009</v>
      </c>
      <c r="L2205" s="28">
        <f>(Sales!$J2205-Sales!$B2205)/Sales!$J2205</f>
        <v>-0.13650000000000001</v>
      </c>
      <c r="M2205" s="28" t="str">
        <f t="shared" si="34"/>
        <v>Below 0%</v>
      </c>
      <c r="N2205" s="27" t="s">
        <v>23</v>
      </c>
      <c r="O2205" s="27" t="s">
        <v>16</v>
      </c>
      <c r="P2205" s="27" t="s">
        <v>17</v>
      </c>
      <c r="Q2205" s="27" t="s">
        <v>14</v>
      </c>
    </row>
    <row r="2206" spans="1:17" x14ac:dyDescent="0.3">
      <c r="A2206" s="22">
        <v>46</v>
      </c>
      <c r="B2206" s="19">
        <v>32.99</v>
      </c>
      <c r="C2206" s="20">
        <f>Sales!$B2206*Sales!$A2206</f>
        <v>1517.5400000000002</v>
      </c>
      <c r="D2206" s="21">
        <v>37944</v>
      </c>
      <c r="E2206" s="22" t="s">
        <v>9</v>
      </c>
      <c r="F2206" s="22">
        <v>4</v>
      </c>
      <c r="G2206" s="22">
        <v>11</v>
      </c>
      <c r="H2206" s="22">
        <v>2003</v>
      </c>
      <c r="I2206" s="22" t="s">
        <v>10</v>
      </c>
      <c r="J2206" s="20">
        <v>40</v>
      </c>
      <c r="K2206" s="20">
        <f>Sales!$B2206-Sales!$J2206</f>
        <v>-7.009999999999998</v>
      </c>
      <c r="L2206" s="23">
        <f>(Sales!$J2206-Sales!$B2206)/Sales!$J2206</f>
        <v>0.17524999999999996</v>
      </c>
      <c r="M2206" s="23" t="str">
        <f t="shared" si="34"/>
        <v>15%-20%</v>
      </c>
      <c r="N2206" s="22" t="s">
        <v>45</v>
      </c>
      <c r="O2206" s="22" t="s">
        <v>46</v>
      </c>
      <c r="P2206" s="22" t="s">
        <v>17</v>
      </c>
      <c r="Q2206" s="22" t="s">
        <v>14</v>
      </c>
    </row>
    <row r="2207" spans="1:17" x14ac:dyDescent="0.3">
      <c r="A2207" s="27">
        <v>41</v>
      </c>
      <c r="B2207" s="24">
        <v>42.24</v>
      </c>
      <c r="C2207" s="25">
        <f>Sales!$B2207*Sales!$A2207</f>
        <v>1731.8400000000001</v>
      </c>
      <c r="D2207" s="26">
        <v>38001</v>
      </c>
      <c r="E2207" s="27" t="s">
        <v>9</v>
      </c>
      <c r="F2207" s="27">
        <v>1</v>
      </c>
      <c r="G2207" s="27">
        <v>1</v>
      </c>
      <c r="H2207" s="27">
        <v>2004</v>
      </c>
      <c r="I2207" s="27" t="s">
        <v>10</v>
      </c>
      <c r="J2207" s="25">
        <v>40</v>
      </c>
      <c r="K2207" s="25">
        <f>Sales!$B2207-Sales!$J2207</f>
        <v>2.240000000000002</v>
      </c>
      <c r="L2207" s="28">
        <f>(Sales!$J2207-Sales!$B2207)/Sales!$J2207</f>
        <v>-5.600000000000005E-2</v>
      </c>
      <c r="M2207" s="28" t="str">
        <f t="shared" si="34"/>
        <v>Below 0%</v>
      </c>
      <c r="N2207" s="27" t="s">
        <v>18</v>
      </c>
      <c r="O2207" s="27" t="s">
        <v>16</v>
      </c>
      <c r="P2207" s="27" t="s">
        <v>17</v>
      </c>
      <c r="Q2207" s="27" t="s">
        <v>14</v>
      </c>
    </row>
    <row r="2208" spans="1:17" x14ac:dyDescent="0.3">
      <c r="A2208" s="22">
        <v>43</v>
      </c>
      <c r="B2208" s="19">
        <v>39.43</v>
      </c>
      <c r="C2208" s="20">
        <f>Sales!$B2208*Sales!$A2208</f>
        <v>1695.49</v>
      </c>
      <c r="D2208" s="21">
        <v>38038</v>
      </c>
      <c r="E2208" s="22" t="s">
        <v>9</v>
      </c>
      <c r="F2208" s="22">
        <v>1</v>
      </c>
      <c r="G2208" s="22">
        <v>2</v>
      </c>
      <c r="H2208" s="22">
        <v>2004</v>
      </c>
      <c r="I2208" s="22" t="s">
        <v>10</v>
      </c>
      <c r="J2208" s="20">
        <v>40</v>
      </c>
      <c r="K2208" s="20">
        <f>Sales!$B2208-Sales!$J2208</f>
        <v>-0.57000000000000028</v>
      </c>
      <c r="L2208" s="23">
        <f>(Sales!$J2208-Sales!$B2208)/Sales!$J2208</f>
        <v>1.4250000000000007E-2</v>
      </c>
      <c r="M2208" s="23" t="str">
        <f t="shared" si="34"/>
        <v>0%-5%</v>
      </c>
      <c r="N2208" s="22" t="s">
        <v>23</v>
      </c>
      <c r="O2208" s="22" t="s">
        <v>16</v>
      </c>
      <c r="P2208" s="22" t="s">
        <v>17</v>
      </c>
      <c r="Q2208" s="22" t="s">
        <v>14</v>
      </c>
    </row>
    <row r="2209" spans="1:17" x14ac:dyDescent="0.3">
      <c r="A2209" s="27">
        <v>26</v>
      </c>
      <c r="B2209" s="24">
        <v>40.229999999999997</v>
      </c>
      <c r="C2209" s="25">
        <f>Sales!$B2209*Sales!$A2209</f>
        <v>1045.98</v>
      </c>
      <c r="D2209" s="26">
        <v>38082</v>
      </c>
      <c r="E2209" s="27" t="s">
        <v>9</v>
      </c>
      <c r="F2209" s="27">
        <v>2</v>
      </c>
      <c r="G2209" s="27">
        <v>4</v>
      </c>
      <c r="H2209" s="27">
        <v>2004</v>
      </c>
      <c r="I2209" s="27" t="s">
        <v>10</v>
      </c>
      <c r="J2209" s="25">
        <v>40</v>
      </c>
      <c r="K2209" s="25">
        <f>Sales!$B2209-Sales!$J2209</f>
        <v>0.22999999999999687</v>
      </c>
      <c r="L2209" s="28">
        <f>(Sales!$J2209-Sales!$B2209)/Sales!$J2209</f>
        <v>-5.7499999999999218E-3</v>
      </c>
      <c r="M2209" s="28" t="str">
        <f t="shared" si="34"/>
        <v>Below 0%</v>
      </c>
      <c r="N2209" s="27" t="s">
        <v>11</v>
      </c>
      <c r="O2209" s="27" t="s">
        <v>12</v>
      </c>
      <c r="P2209" s="27" t="s">
        <v>13</v>
      </c>
      <c r="Q2209" s="27" t="s">
        <v>14</v>
      </c>
    </row>
    <row r="2210" spans="1:17" x14ac:dyDescent="0.3">
      <c r="A2210" s="22">
        <v>36</v>
      </c>
      <c r="B2210" s="19">
        <v>48.28</v>
      </c>
      <c r="C2210" s="20">
        <f>Sales!$B2210*Sales!$A2210</f>
        <v>1738.08</v>
      </c>
      <c r="D2210" s="21">
        <v>38133</v>
      </c>
      <c r="E2210" s="22" t="s">
        <v>9</v>
      </c>
      <c r="F2210" s="22">
        <v>2</v>
      </c>
      <c r="G2210" s="22">
        <v>5</v>
      </c>
      <c r="H2210" s="22">
        <v>2004</v>
      </c>
      <c r="I2210" s="22" t="s">
        <v>10</v>
      </c>
      <c r="J2210" s="20">
        <v>40</v>
      </c>
      <c r="K2210" s="20">
        <f>Sales!$B2210-Sales!$J2210</f>
        <v>8.2800000000000011</v>
      </c>
      <c r="L2210" s="23">
        <f>(Sales!$J2210-Sales!$B2210)/Sales!$J2210</f>
        <v>-0.20700000000000002</v>
      </c>
      <c r="M2210" s="23" t="str">
        <f t="shared" si="34"/>
        <v>Below 0%</v>
      </c>
      <c r="N2210" s="22" t="s">
        <v>18</v>
      </c>
      <c r="O2210" s="22" t="s">
        <v>16</v>
      </c>
      <c r="P2210" s="22" t="s">
        <v>17</v>
      </c>
      <c r="Q2210" s="22" t="s">
        <v>14</v>
      </c>
    </row>
    <row r="2211" spans="1:17" x14ac:dyDescent="0.3">
      <c r="A2211" s="27">
        <v>20</v>
      </c>
      <c r="B2211" s="24">
        <v>32.590000000000003</v>
      </c>
      <c r="C2211" s="25">
        <f>Sales!$B2211*Sales!$A2211</f>
        <v>651.80000000000007</v>
      </c>
      <c r="D2211" s="26">
        <v>38168</v>
      </c>
      <c r="E2211" s="27" t="s">
        <v>9</v>
      </c>
      <c r="F2211" s="27">
        <v>2</v>
      </c>
      <c r="G2211" s="27">
        <v>6</v>
      </c>
      <c r="H2211" s="27">
        <v>2004</v>
      </c>
      <c r="I2211" s="27" t="s">
        <v>10</v>
      </c>
      <c r="J2211" s="25">
        <v>40</v>
      </c>
      <c r="K2211" s="25">
        <f>Sales!$B2211-Sales!$J2211</f>
        <v>-7.4099999999999966</v>
      </c>
      <c r="L2211" s="28">
        <f>(Sales!$J2211-Sales!$B2211)/Sales!$J2211</f>
        <v>0.18524999999999991</v>
      </c>
      <c r="M2211" s="28" t="str">
        <f t="shared" si="34"/>
        <v>15%-20%</v>
      </c>
      <c r="N2211" s="27" t="s">
        <v>83</v>
      </c>
      <c r="O2211" s="27" t="s">
        <v>12</v>
      </c>
      <c r="P2211" s="27" t="s">
        <v>13</v>
      </c>
      <c r="Q2211" s="27" t="s">
        <v>14</v>
      </c>
    </row>
    <row r="2212" spans="1:17" x14ac:dyDescent="0.3">
      <c r="A2212" s="22">
        <v>27</v>
      </c>
      <c r="B2212" s="19">
        <v>36.61</v>
      </c>
      <c r="C2212" s="20">
        <f>Sales!$B2212*Sales!$A2212</f>
        <v>988.47</v>
      </c>
      <c r="D2212" s="21">
        <v>38201</v>
      </c>
      <c r="E2212" s="22" t="s">
        <v>9</v>
      </c>
      <c r="F2212" s="22">
        <v>3</v>
      </c>
      <c r="G2212" s="22">
        <v>8</v>
      </c>
      <c r="H2212" s="22">
        <v>2004</v>
      </c>
      <c r="I2212" s="22" t="s">
        <v>10</v>
      </c>
      <c r="J2212" s="20">
        <v>40</v>
      </c>
      <c r="K2212" s="20">
        <f>Sales!$B2212-Sales!$J2212</f>
        <v>-3.3900000000000006</v>
      </c>
      <c r="L2212" s="23">
        <f>(Sales!$J2212-Sales!$B2212)/Sales!$J2212</f>
        <v>8.475000000000002E-2</v>
      </c>
      <c r="M2212" s="23" t="str">
        <f t="shared" si="34"/>
        <v>5%-10%</v>
      </c>
      <c r="N2212" s="22" t="s">
        <v>66</v>
      </c>
      <c r="O2212" s="22" t="s">
        <v>12</v>
      </c>
      <c r="P2212" s="22" t="s">
        <v>13</v>
      </c>
      <c r="Q2212" s="22" t="s">
        <v>14</v>
      </c>
    </row>
    <row r="2213" spans="1:17" x14ac:dyDescent="0.3">
      <c r="A2213" s="27">
        <v>37</v>
      </c>
      <c r="B2213" s="24">
        <v>41.03</v>
      </c>
      <c r="C2213" s="25">
        <f>Sales!$B2213*Sales!$A2213</f>
        <v>1518.1100000000001</v>
      </c>
      <c r="D2213" s="26">
        <v>38226</v>
      </c>
      <c r="E2213" s="27" t="s">
        <v>9</v>
      </c>
      <c r="F2213" s="27">
        <v>3</v>
      </c>
      <c r="G2213" s="27">
        <v>8</v>
      </c>
      <c r="H2213" s="27">
        <v>2004</v>
      </c>
      <c r="I2213" s="27" t="s">
        <v>10</v>
      </c>
      <c r="J2213" s="25">
        <v>40</v>
      </c>
      <c r="K2213" s="25">
        <f>Sales!$B2213-Sales!$J2213</f>
        <v>1.0300000000000011</v>
      </c>
      <c r="L2213" s="28">
        <f>(Sales!$J2213-Sales!$B2213)/Sales!$J2213</f>
        <v>-2.575000000000003E-2</v>
      </c>
      <c r="M2213" s="28" t="str">
        <f t="shared" si="34"/>
        <v>Below 0%</v>
      </c>
      <c r="N2213" s="27" t="s">
        <v>32</v>
      </c>
      <c r="O2213" s="27" t="s">
        <v>12</v>
      </c>
      <c r="P2213" s="27" t="s">
        <v>13</v>
      </c>
      <c r="Q2213" s="27" t="s">
        <v>14</v>
      </c>
    </row>
    <row r="2214" spans="1:17" x14ac:dyDescent="0.3">
      <c r="A2214" s="22">
        <v>24</v>
      </c>
      <c r="B2214" s="19">
        <v>42.24</v>
      </c>
      <c r="C2214" s="20">
        <f>Sales!$B2214*Sales!$A2214</f>
        <v>1013.76</v>
      </c>
      <c r="D2214" s="21">
        <v>38260</v>
      </c>
      <c r="E2214" s="22" t="s">
        <v>9</v>
      </c>
      <c r="F2214" s="22">
        <v>3</v>
      </c>
      <c r="G2214" s="22">
        <v>9</v>
      </c>
      <c r="H2214" s="22">
        <v>2004</v>
      </c>
      <c r="I2214" s="22" t="s">
        <v>10</v>
      </c>
      <c r="J2214" s="20">
        <v>40</v>
      </c>
      <c r="K2214" s="20">
        <f>Sales!$B2214-Sales!$J2214</f>
        <v>2.240000000000002</v>
      </c>
      <c r="L2214" s="23">
        <f>(Sales!$J2214-Sales!$B2214)/Sales!$J2214</f>
        <v>-5.600000000000005E-2</v>
      </c>
      <c r="M2214" s="23" t="str">
        <f t="shared" si="34"/>
        <v>Below 0%</v>
      </c>
      <c r="N2214" s="22" t="s">
        <v>33</v>
      </c>
      <c r="O2214" s="22" t="s">
        <v>34</v>
      </c>
      <c r="P2214" s="22" t="s">
        <v>17</v>
      </c>
      <c r="Q2214" s="22" t="s">
        <v>14</v>
      </c>
    </row>
    <row r="2215" spans="1:17" x14ac:dyDescent="0.3">
      <c r="A2215" s="27">
        <v>36</v>
      </c>
      <c r="B2215" s="24">
        <v>43.05</v>
      </c>
      <c r="C2215" s="25">
        <f>Sales!$B2215*Sales!$A2215</f>
        <v>1549.8</v>
      </c>
      <c r="D2215" s="26">
        <v>38276</v>
      </c>
      <c r="E2215" s="27" t="s">
        <v>9</v>
      </c>
      <c r="F2215" s="27">
        <v>4</v>
      </c>
      <c r="G2215" s="27">
        <v>10</v>
      </c>
      <c r="H2215" s="27">
        <v>2004</v>
      </c>
      <c r="I2215" s="27" t="s">
        <v>10</v>
      </c>
      <c r="J2215" s="25">
        <v>40</v>
      </c>
      <c r="K2215" s="25">
        <f>Sales!$B2215-Sales!$J2215</f>
        <v>3.0499999999999972</v>
      </c>
      <c r="L2215" s="28">
        <f>(Sales!$J2215-Sales!$B2215)/Sales!$J2215</f>
        <v>-7.6249999999999929E-2</v>
      </c>
      <c r="M2215" s="28" t="str">
        <f t="shared" si="34"/>
        <v>Below 0%</v>
      </c>
      <c r="N2215" s="27" t="s">
        <v>93</v>
      </c>
      <c r="O2215" s="27" t="s">
        <v>94</v>
      </c>
      <c r="P2215" s="27" t="s">
        <v>17</v>
      </c>
      <c r="Q2215" s="27" t="s">
        <v>14</v>
      </c>
    </row>
    <row r="2216" spans="1:17" x14ac:dyDescent="0.3">
      <c r="A2216" s="22">
        <v>29</v>
      </c>
      <c r="B2216" s="19">
        <v>38.22</v>
      </c>
      <c r="C2216" s="20">
        <f>Sales!$B2216*Sales!$A2216</f>
        <v>1108.3799999999999</v>
      </c>
      <c r="D2216" s="21">
        <v>38294</v>
      </c>
      <c r="E2216" s="22" t="s">
        <v>9</v>
      </c>
      <c r="F2216" s="22">
        <v>4</v>
      </c>
      <c r="G2216" s="22">
        <v>11</v>
      </c>
      <c r="H2216" s="22">
        <v>2004</v>
      </c>
      <c r="I2216" s="22" t="s">
        <v>10</v>
      </c>
      <c r="J2216" s="20">
        <v>40</v>
      </c>
      <c r="K2216" s="20">
        <f>Sales!$B2216-Sales!$J2216</f>
        <v>-1.7800000000000011</v>
      </c>
      <c r="L2216" s="23">
        <f>(Sales!$J2216-Sales!$B2216)/Sales!$J2216</f>
        <v>4.4500000000000026E-2</v>
      </c>
      <c r="M2216" s="23" t="str">
        <f t="shared" si="34"/>
        <v>0%-5%</v>
      </c>
      <c r="N2216" s="22" t="s">
        <v>11</v>
      </c>
      <c r="O2216" s="22" t="s">
        <v>12</v>
      </c>
      <c r="P2216" s="22" t="s">
        <v>13</v>
      </c>
      <c r="Q2216" s="22" t="s">
        <v>14</v>
      </c>
    </row>
    <row r="2217" spans="1:17" x14ac:dyDescent="0.3">
      <c r="A2217" s="27">
        <v>28</v>
      </c>
      <c r="B2217" s="24">
        <v>100</v>
      </c>
      <c r="C2217" s="25">
        <f>Sales!$B2217*Sales!$A2217</f>
        <v>2800</v>
      </c>
      <c r="D2217" s="26">
        <v>38308</v>
      </c>
      <c r="E2217" s="27" t="s">
        <v>9</v>
      </c>
      <c r="F2217" s="27">
        <v>4</v>
      </c>
      <c r="G2217" s="27">
        <v>11</v>
      </c>
      <c r="H2217" s="27">
        <v>2004</v>
      </c>
      <c r="I2217" s="27" t="s">
        <v>10</v>
      </c>
      <c r="J2217" s="25">
        <v>40</v>
      </c>
      <c r="K2217" s="25">
        <f>Sales!$B2217-Sales!$J2217</f>
        <v>60</v>
      </c>
      <c r="L2217" s="28">
        <f>(Sales!$J2217-Sales!$B2217)/Sales!$J2217</f>
        <v>-1.5</v>
      </c>
      <c r="M2217" s="28" t="str">
        <f t="shared" si="34"/>
        <v>Below 0%</v>
      </c>
      <c r="N2217" s="27" t="s">
        <v>53</v>
      </c>
      <c r="O2217" s="27" t="s">
        <v>12</v>
      </c>
      <c r="P2217" s="27" t="s">
        <v>13</v>
      </c>
      <c r="Q2217" s="27" t="s">
        <v>19</v>
      </c>
    </row>
    <row r="2218" spans="1:17" x14ac:dyDescent="0.3">
      <c r="A2218" s="22">
        <v>29</v>
      </c>
      <c r="B2218" s="19">
        <v>100</v>
      </c>
      <c r="C2218" s="20">
        <f>Sales!$B2218*Sales!$A2218</f>
        <v>2900</v>
      </c>
      <c r="D2218" s="21">
        <v>38315</v>
      </c>
      <c r="E2218" s="22" t="s">
        <v>9</v>
      </c>
      <c r="F2218" s="22">
        <v>4</v>
      </c>
      <c r="G2218" s="22">
        <v>11</v>
      </c>
      <c r="H2218" s="22">
        <v>2004</v>
      </c>
      <c r="I2218" s="22" t="s">
        <v>10</v>
      </c>
      <c r="J2218" s="20">
        <v>40</v>
      </c>
      <c r="K2218" s="20">
        <f>Sales!$B2218-Sales!$J2218</f>
        <v>60</v>
      </c>
      <c r="L2218" s="23">
        <f>(Sales!$J2218-Sales!$B2218)/Sales!$J2218</f>
        <v>-1.5</v>
      </c>
      <c r="M2218" s="23" t="str">
        <f t="shared" si="34"/>
        <v>Below 0%</v>
      </c>
      <c r="N2218" s="22" t="s">
        <v>15</v>
      </c>
      <c r="O2218" s="22" t="s">
        <v>16</v>
      </c>
      <c r="P2218" s="22" t="s">
        <v>17</v>
      </c>
      <c r="Q2218" s="22" t="s">
        <v>19</v>
      </c>
    </row>
    <row r="2219" spans="1:17" x14ac:dyDescent="0.3">
      <c r="A2219" s="27">
        <v>38</v>
      </c>
      <c r="B2219" s="24">
        <v>39.83</v>
      </c>
      <c r="C2219" s="25">
        <f>Sales!$B2219*Sales!$A2219</f>
        <v>1513.54</v>
      </c>
      <c r="D2219" s="26">
        <v>38328</v>
      </c>
      <c r="E2219" s="27" t="s">
        <v>9</v>
      </c>
      <c r="F2219" s="27">
        <v>4</v>
      </c>
      <c r="G2219" s="27">
        <v>12</v>
      </c>
      <c r="H2219" s="27">
        <v>2004</v>
      </c>
      <c r="I2219" s="27" t="s">
        <v>10</v>
      </c>
      <c r="J2219" s="25">
        <v>40</v>
      </c>
      <c r="K2219" s="25">
        <f>Sales!$B2219-Sales!$J2219</f>
        <v>-0.17000000000000171</v>
      </c>
      <c r="L2219" s="28">
        <f>(Sales!$J2219-Sales!$B2219)/Sales!$J2219</f>
        <v>4.2500000000000428E-3</v>
      </c>
      <c r="M2219" s="28" t="s">
        <v>130</v>
      </c>
      <c r="N2219" s="27" t="s">
        <v>45</v>
      </c>
      <c r="O2219" s="27" t="s">
        <v>46</v>
      </c>
      <c r="P2219" s="27" t="s">
        <v>17</v>
      </c>
      <c r="Q2219" s="27" t="s">
        <v>14</v>
      </c>
    </row>
    <row r="2220" spans="1:17" x14ac:dyDescent="0.3">
      <c r="A2220" s="22">
        <v>48</v>
      </c>
      <c r="B2220" s="19">
        <v>48.28</v>
      </c>
      <c r="C2220" s="20">
        <f>Sales!$B2220*Sales!$A2220</f>
        <v>2317.44</v>
      </c>
      <c r="D2220" s="21">
        <v>38358</v>
      </c>
      <c r="E2220" s="22" t="s">
        <v>9</v>
      </c>
      <c r="F2220" s="22">
        <v>1</v>
      </c>
      <c r="G2220" s="22">
        <v>1</v>
      </c>
      <c r="H2220" s="22">
        <v>2005</v>
      </c>
      <c r="I2220" s="22" t="s">
        <v>10</v>
      </c>
      <c r="J2220" s="20">
        <v>40</v>
      </c>
      <c r="K2220" s="20">
        <f>Sales!$B2220-Sales!$J2220</f>
        <v>8.2800000000000011</v>
      </c>
      <c r="L2220" s="23">
        <f>(Sales!$J2220-Sales!$B2220)/Sales!$J2220</f>
        <v>-0.20700000000000002</v>
      </c>
      <c r="M2220" s="23" t="str">
        <f t="shared" si="34"/>
        <v>Below 0%</v>
      </c>
      <c r="N2220" s="22" t="s">
        <v>92</v>
      </c>
      <c r="O2220" s="22" t="s">
        <v>16</v>
      </c>
      <c r="P2220" s="22" t="s">
        <v>17</v>
      </c>
      <c r="Q2220" s="22" t="s">
        <v>14</v>
      </c>
    </row>
    <row r="2221" spans="1:17" x14ac:dyDescent="0.3">
      <c r="A2221" s="27">
        <v>40</v>
      </c>
      <c r="B2221" s="24">
        <v>82.46</v>
      </c>
      <c r="C2221" s="25">
        <f>Sales!$B2221*Sales!$A2221</f>
        <v>3298.3999999999996</v>
      </c>
      <c r="D2221" s="26">
        <v>38393</v>
      </c>
      <c r="E2221" s="27" t="s">
        <v>9</v>
      </c>
      <c r="F2221" s="27">
        <v>1</v>
      </c>
      <c r="G2221" s="27">
        <v>2</v>
      </c>
      <c r="H2221" s="27">
        <v>2005</v>
      </c>
      <c r="I2221" s="27" t="s">
        <v>10</v>
      </c>
      <c r="J2221" s="25">
        <v>40</v>
      </c>
      <c r="K2221" s="25">
        <f>Sales!$B2221-Sales!$J2221</f>
        <v>42.459999999999994</v>
      </c>
      <c r="L2221" s="28">
        <f>(Sales!$J2221-Sales!$B2221)/Sales!$J2221</f>
        <v>-1.0614999999999999</v>
      </c>
      <c r="M2221" s="28" t="str">
        <f t="shared" si="34"/>
        <v>Below 0%</v>
      </c>
      <c r="N2221" s="27" t="s">
        <v>45</v>
      </c>
      <c r="O2221" s="27" t="s">
        <v>46</v>
      </c>
      <c r="P2221" s="27" t="s">
        <v>17</v>
      </c>
      <c r="Q2221" s="27" t="s">
        <v>19</v>
      </c>
    </row>
    <row r="2222" spans="1:17" x14ac:dyDescent="0.3">
      <c r="A2222" s="22">
        <v>41</v>
      </c>
      <c r="B2222" s="19">
        <v>44.56</v>
      </c>
      <c r="C2222" s="20">
        <f>Sales!$B2222*Sales!$A2222</f>
        <v>1826.96</v>
      </c>
      <c r="D2222" s="21">
        <v>38415</v>
      </c>
      <c r="E2222" s="22" t="s">
        <v>9</v>
      </c>
      <c r="F2222" s="22">
        <v>1</v>
      </c>
      <c r="G2222" s="22">
        <v>3</v>
      </c>
      <c r="H2222" s="22">
        <v>2005</v>
      </c>
      <c r="I2222" s="22" t="s">
        <v>10</v>
      </c>
      <c r="J2222" s="20">
        <v>40</v>
      </c>
      <c r="K2222" s="20">
        <f>Sales!$B2222-Sales!$J2222</f>
        <v>4.5600000000000023</v>
      </c>
      <c r="L2222" s="23">
        <f>(Sales!$J2222-Sales!$B2222)/Sales!$J2222</f>
        <v>-0.11400000000000006</v>
      </c>
      <c r="M2222" s="23" t="str">
        <f t="shared" si="34"/>
        <v>Below 0%</v>
      </c>
      <c r="N2222" s="22" t="s">
        <v>64</v>
      </c>
      <c r="O2222" s="22" t="s">
        <v>12</v>
      </c>
      <c r="P2222" s="22" t="s">
        <v>13</v>
      </c>
      <c r="Q2222" s="22" t="s">
        <v>14</v>
      </c>
    </row>
    <row r="2223" spans="1:17" x14ac:dyDescent="0.3">
      <c r="A2223" s="27">
        <v>30</v>
      </c>
      <c r="B2223" s="24">
        <v>40.229999999999997</v>
      </c>
      <c r="C2223" s="25">
        <f>Sales!$B2223*Sales!$A2223</f>
        <v>1206.8999999999999</v>
      </c>
      <c r="D2223" s="26">
        <v>38450</v>
      </c>
      <c r="E2223" s="27" t="s">
        <v>9</v>
      </c>
      <c r="F2223" s="27">
        <v>2</v>
      </c>
      <c r="G2223" s="27">
        <v>4</v>
      </c>
      <c r="H2223" s="27">
        <v>2005</v>
      </c>
      <c r="I2223" s="27" t="s">
        <v>10</v>
      </c>
      <c r="J2223" s="25">
        <v>40</v>
      </c>
      <c r="K2223" s="25">
        <f>Sales!$B2223-Sales!$J2223</f>
        <v>0.22999999999999687</v>
      </c>
      <c r="L2223" s="28">
        <f>(Sales!$J2223-Sales!$B2223)/Sales!$J2223</f>
        <v>-5.7499999999999218E-3</v>
      </c>
      <c r="M2223" s="28" t="str">
        <f t="shared" si="34"/>
        <v>Below 0%</v>
      </c>
      <c r="N2223" s="27" t="s">
        <v>42</v>
      </c>
      <c r="O2223" s="27" t="s">
        <v>43</v>
      </c>
      <c r="P2223" s="27" t="s">
        <v>17</v>
      </c>
      <c r="Q2223" s="27" t="s">
        <v>14</v>
      </c>
    </row>
    <row r="2224" spans="1:17" x14ac:dyDescent="0.3">
      <c r="A2224" s="22">
        <v>35</v>
      </c>
      <c r="B2224" s="19">
        <v>47.62</v>
      </c>
      <c r="C2224" s="20">
        <f>Sales!$B2224*Sales!$A2224</f>
        <v>1666.6999999999998</v>
      </c>
      <c r="D2224" s="21">
        <v>37652</v>
      </c>
      <c r="E2224" s="22" t="s">
        <v>9</v>
      </c>
      <c r="F2224" s="22">
        <v>1</v>
      </c>
      <c r="G2224" s="22">
        <v>1</v>
      </c>
      <c r="H2224" s="22">
        <v>2003</v>
      </c>
      <c r="I2224" s="22" t="s">
        <v>104</v>
      </c>
      <c r="J2224" s="20">
        <v>54</v>
      </c>
      <c r="K2224" s="20">
        <f>Sales!$B2224-Sales!$J2224</f>
        <v>-6.3800000000000026</v>
      </c>
      <c r="L2224" s="23">
        <f>(Sales!$J2224-Sales!$B2224)/Sales!$J2224</f>
        <v>0.1181481481481482</v>
      </c>
      <c r="M2224" s="23" t="str">
        <f t="shared" si="34"/>
        <v>10%-15%</v>
      </c>
      <c r="N2224" s="22" t="s">
        <v>45</v>
      </c>
      <c r="O2224" s="22" t="s">
        <v>46</v>
      </c>
      <c r="P2224" s="22" t="s">
        <v>17</v>
      </c>
      <c r="Q2224" s="22" t="s">
        <v>14</v>
      </c>
    </row>
    <row r="2225" spans="1:17" x14ac:dyDescent="0.3">
      <c r="A2225" s="27">
        <v>28</v>
      </c>
      <c r="B2225" s="24">
        <v>55.73</v>
      </c>
      <c r="C2225" s="25">
        <f>Sales!$B2225*Sales!$A2225</f>
        <v>1560.4399999999998</v>
      </c>
      <c r="D2225" s="26">
        <v>37712</v>
      </c>
      <c r="E2225" s="27" t="s">
        <v>9</v>
      </c>
      <c r="F2225" s="27">
        <v>2</v>
      </c>
      <c r="G2225" s="27">
        <v>4</v>
      </c>
      <c r="H2225" s="27">
        <v>2003</v>
      </c>
      <c r="I2225" s="27" t="s">
        <v>104</v>
      </c>
      <c r="J2225" s="25">
        <v>54</v>
      </c>
      <c r="K2225" s="25">
        <f>Sales!$B2225-Sales!$J2225</f>
        <v>1.7299999999999969</v>
      </c>
      <c r="L2225" s="28">
        <f>(Sales!$J2225-Sales!$B2225)/Sales!$J2225</f>
        <v>-3.2037037037036982E-2</v>
      </c>
      <c r="M2225" s="28" t="str">
        <f t="shared" si="34"/>
        <v>Below 0%</v>
      </c>
      <c r="N2225" s="27" t="s">
        <v>18</v>
      </c>
      <c r="O2225" s="27" t="s">
        <v>16</v>
      </c>
      <c r="P2225" s="27" t="s">
        <v>17</v>
      </c>
      <c r="Q2225" s="27" t="s">
        <v>14</v>
      </c>
    </row>
    <row r="2226" spans="1:17" x14ac:dyDescent="0.3">
      <c r="A2226" s="22">
        <v>45</v>
      </c>
      <c r="B2226" s="19">
        <v>51.95</v>
      </c>
      <c r="C2226" s="20">
        <f>Sales!$B2226*Sales!$A2226</f>
        <v>2337.75</v>
      </c>
      <c r="D2226" s="21">
        <v>37775</v>
      </c>
      <c r="E2226" s="22" t="s">
        <v>9</v>
      </c>
      <c r="F2226" s="22">
        <v>2</v>
      </c>
      <c r="G2226" s="22">
        <v>6</v>
      </c>
      <c r="H2226" s="22">
        <v>2003</v>
      </c>
      <c r="I2226" s="22" t="s">
        <v>104</v>
      </c>
      <c r="J2226" s="20">
        <v>54</v>
      </c>
      <c r="K2226" s="20">
        <f>Sales!$B2226-Sales!$J2226</f>
        <v>-2.0499999999999972</v>
      </c>
      <c r="L2226" s="23">
        <f>(Sales!$J2226-Sales!$B2226)/Sales!$J2226</f>
        <v>3.7962962962962914E-2</v>
      </c>
      <c r="M2226" s="23" t="str">
        <f t="shared" si="34"/>
        <v>0%-5%</v>
      </c>
      <c r="N2226" s="22" t="s">
        <v>11</v>
      </c>
      <c r="O2226" s="22" t="s">
        <v>12</v>
      </c>
      <c r="P2226" s="22" t="s">
        <v>13</v>
      </c>
      <c r="Q2226" s="22" t="s">
        <v>14</v>
      </c>
    </row>
    <row r="2227" spans="1:17" x14ac:dyDescent="0.3">
      <c r="A2227" s="27">
        <v>24</v>
      </c>
      <c r="B2227" s="24">
        <v>45.99</v>
      </c>
      <c r="C2227" s="25">
        <f>Sales!$B2227*Sales!$A2227</f>
        <v>1103.76</v>
      </c>
      <c r="D2227" s="26">
        <v>37834</v>
      </c>
      <c r="E2227" s="27" t="s">
        <v>9</v>
      </c>
      <c r="F2227" s="27">
        <v>3</v>
      </c>
      <c r="G2227" s="27">
        <v>8</v>
      </c>
      <c r="H2227" s="27">
        <v>2003</v>
      </c>
      <c r="I2227" s="27" t="s">
        <v>104</v>
      </c>
      <c r="J2227" s="25">
        <v>54</v>
      </c>
      <c r="K2227" s="25">
        <f>Sales!$B2227-Sales!$J2227</f>
        <v>-8.009999999999998</v>
      </c>
      <c r="L2227" s="28">
        <f>(Sales!$J2227-Sales!$B2227)/Sales!$J2227</f>
        <v>0.14833333333333329</v>
      </c>
      <c r="M2227" s="28" t="str">
        <f t="shared" si="34"/>
        <v>10%-15%</v>
      </c>
      <c r="N2227" s="27" t="s">
        <v>99</v>
      </c>
      <c r="O2227" s="27" t="s">
        <v>34</v>
      </c>
      <c r="P2227" s="27" t="s">
        <v>17</v>
      </c>
      <c r="Q2227" s="27" t="s">
        <v>14</v>
      </c>
    </row>
    <row r="2228" spans="1:17" x14ac:dyDescent="0.3">
      <c r="A2228" s="22">
        <v>41</v>
      </c>
      <c r="B2228" s="19">
        <v>63.85</v>
      </c>
      <c r="C2228" s="20">
        <f>Sales!$B2228*Sales!$A2228</f>
        <v>2617.85</v>
      </c>
      <c r="D2228" s="21">
        <v>37885</v>
      </c>
      <c r="E2228" s="22" t="s">
        <v>9</v>
      </c>
      <c r="F2228" s="22">
        <v>3</v>
      </c>
      <c r="G2228" s="22">
        <v>9</v>
      </c>
      <c r="H2228" s="22">
        <v>2003</v>
      </c>
      <c r="I2228" s="22" t="s">
        <v>104</v>
      </c>
      <c r="J2228" s="20">
        <v>54</v>
      </c>
      <c r="K2228" s="20">
        <f>Sales!$B2228-Sales!$J2228</f>
        <v>9.8500000000000014</v>
      </c>
      <c r="L2228" s="23">
        <f>(Sales!$J2228-Sales!$B2228)/Sales!$J2228</f>
        <v>-0.18240740740740743</v>
      </c>
      <c r="M2228" s="23" t="str">
        <f t="shared" si="34"/>
        <v>Below 0%</v>
      </c>
      <c r="N2228" s="22" t="s">
        <v>85</v>
      </c>
      <c r="O2228" s="22" t="s">
        <v>34</v>
      </c>
      <c r="P2228" s="22" t="s">
        <v>17</v>
      </c>
      <c r="Q2228" s="22" t="s">
        <v>14</v>
      </c>
    </row>
    <row r="2229" spans="1:17" x14ac:dyDescent="0.3">
      <c r="A2229" s="27">
        <v>48</v>
      </c>
      <c r="B2229" s="24">
        <v>45.99</v>
      </c>
      <c r="C2229" s="25">
        <f>Sales!$B2229*Sales!$A2229</f>
        <v>2207.52</v>
      </c>
      <c r="D2229" s="26">
        <v>37916</v>
      </c>
      <c r="E2229" s="27" t="s">
        <v>9</v>
      </c>
      <c r="F2229" s="27">
        <v>4</v>
      </c>
      <c r="G2229" s="27">
        <v>10</v>
      </c>
      <c r="H2229" s="27">
        <v>2003</v>
      </c>
      <c r="I2229" s="27" t="s">
        <v>104</v>
      </c>
      <c r="J2229" s="25">
        <v>54</v>
      </c>
      <c r="K2229" s="25">
        <f>Sales!$B2229-Sales!$J2229</f>
        <v>-8.009999999999998</v>
      </c>
      <c r="L2229" s="28">
        <f>(Sales!$J2229-Sales!$B2229)/Sales!$J2229</f>
        <v>0.14833333333333329</v>
      </c>
      <c r="M2229" s="28" t="str">
        <f t="shared" si="34"/>
        <v>10%-15%</v>
      </c>
      <c r="N2229" s="27" t="s">
        <v>50</v>
      </c>
      <c r="O2229" s="27" t="s">
        <v>50</v>
      </c>
      <c r="P2229" s="27" t="s">
        <v>28</v>
      </c>
      <c r="Q2229" s="27" t="s">
        <v>14</v>
      </c>
    </row>
    <row r="2230" spans="1:17" x14ac:dyDescent="0.3">
      <c r="A2230" s="22">
        <v>50</v>
      </c>
      <c r="B2230" s="19">
        <v>63.31</v>
      </c>
      <c r="C2230" s="20">
        <f>Sales!$B2230*Sales!$A2230</f>
        <v>3165.5</v>
      </c>
      <c r="D2230" s="21">
        <v>37931</v>
      </c>
      <c r="E2230" s="22" t="s">
        <v>9</v>
      </c>
      <c r="F2230" s="22">
        <v>4</v>
      </c>
      <c r="G2230" s="22">
        <v>11</v>
      </c>
      <c r="H2230" s="22">
        <v>2003</v>
      </c>
      <c r="I2230" s="22" t="s">
        <v>104</v>
      </c>
      <c r="J2230" s="20">
        <v>54</v>
      </c>
      <c r="K2230" s="20">
        <f>Sales!$B2230-Sales!$J2230</f>
        <v>9.3100000000000023</v>
      </c>
      <c r="L2230" s="23">
        <f>(Sales!$J2230-Sales!$B2230)/Sales!$J2230</f>
        <v>-0.17240740740740745</v>
      </c>
      <c r="M2230" s="23" t="str">
        <f t="shared" si="34"/>
        <v>Below 0%</v>
      </c>
      <c r="N2230" s="22" t="s">
        <v>74</v>
      </c>
      <c r="O2230" s="22" t="s">
        <v>43</v>
      </c>
      <c r="P2230" s="22" t="s">
        <v>17</v>
      </c>
      <c r="Q2230" s="22" t="s">
        <v>19</v>
      </c>
    </row>
    <row r="2231" spans="1:17" x14ac:dyDescent="0.3">
      <c r="A2231" s="27">
        <v>33</v>
      </c>
      <c r="B2231" s="24">
        <v>62.77</v>
      </c>
      <c r="C2231" s="25">
        <f>Sales!$B2231*Sales!$A2231</f>
        <v>2071.4100000000003</v>
      </c>
      <c r="D2231" s="26">
        <v>37939</v>
      </c>
      <c r="E2231" s="27" t="s">
        <v>9</v>
      </c>
      <c r="F2231" s="27">
        <v>4</v>
      </c>
      <c r="G2231" s="27">
        <v>11</v>
      </c>
      <c r="H2231" s="27">
        <v>2003</v>
      </c>
      <c r="I2231" s="27" t="s">
        <v>104</v>
      </c>
      <c r="J2231" s="25">
        <v>54</v>
      </c>
      <c r="K2231" s="25">
        <f>Sales!$B2231-Sales!$J2231</f>
        <v>8.7700000000000031</v>
      </c>
      <c r="L2231" s="28">
        <f>(Sales!$J2231-Sales!$B2231)/Sales!$J2231</f>
        <v>-0.16240740740740747</v>
      </c>
      <c r="M2231" s="28" t="str">
        <f t="shared" si="34"/>
        <v>Below 0%</v>
      </c>
      <c r="N2231" s="27" t="s">
        <v>106</v>
      </c>
      <c r="O2231" s="27" t="s">
        <v>46</v>
      </c>
      <c r="P2231" s="27" t="s">
        <v>17</v>
      </c>
      <c r="Q2231" s="27" t="s">
        <v>14</v>
      </c>
    </row>
    <row r="2232" spans="1:17" x14ac:dyDescent="0.3">
      <c r="A2232" s="22">
        <v>32</v>
      </c>
      <c r="B2232" s="19">
        <v>43.29</v>
      </c>
      <c r="C2232" s="20">
        <f>Sales!$B2232*Sales!$A2232</f>
        <v>1385.28</v>
      </c>
      <c r="D2232" s="21">
        <v>37950</v>
      </c>
      <c r="E2232" s="22" t="s">
        <v>9</v>
      </c>
      <c r="F2232" s="22">
        <v>4</v>
      </c>
      <c r="G2232" s="22">
        <v>11</v>
      </c>
      <c r="H2232" s="22">
        <v>2003</v>
      </c>
      <c r="I2232" s="22" t="s">
        <v>104</v>
      </c>
      <c r="J2232" s="20">
        <v>54</v>
      </c>
      <c r="K2232" s="20">
        <f>Sales!$B2232-Sales!$J2232</f>
        <v>-10.71</v>
      </c>
      <c r="L2232" s="23">
        <f>(Sales!$J2232-Sales!$B2232)/Sales!$J2232</f>
        <v>0.19833333333333336</v>
      </c>
      <c r="M2232" s="23" t="str">
        <f t="shared" si="34"/>
        <v>15%-20%</v>
      </c>
      <c r="N2232" s="22" t="s">
        <v>71</v>
      </c>
      <c r="O2232" s="22" t="s">
        <v>12</v>
      </c>
      <c r="P2232" s="22" t="s">
        <v>13</v>
      </c>
      <c r="Q2232" s="22" t="s">
        <v>14</v>
      </c>
    </row>
    <row r="2233" spans="1:17" x14ac:dyDescent="0.3">
      <c r="A2233" s="27">
        <v>27</v>
      </c>
      <c r="B2233" s="24">
        <v>60.06</v>
      </c>
      <c r="C2233" s="25">
        <f>Sales!$B2233*Sales!$A2233</f>
        <v>1621.6200000000001</v>
      </c>
      <c r="D2233" s="26">
        <v>37964</v>
      </c>
      <c r="E2233" s="27" t="s">
        <v>9</v>
      </c>
      <c r="F2233" s="27">
        <v>4</v>
      </c>
      <c r="G2233" s="27">
        <v>12</v>
      </c>
      <c r="H2233" s="27">
        <v>2003</v>
      </c>
      <c r="I2233" s="27" t="s">
        <v>104</v>
      </c>
      <c r="J2233" s="25">
        <v>54</v>
      </c>
      <c r="K2233" s="25">
        <f>Sales!$B2233-Sales!$J2233</f>
        <v>6.0600000000000023</v>
      </c>
      <c r="L2233" s="28">
        <f>(Sales!$J2233-Sales!$B2233)/Sales!$J2233</f>
        <v>-0.11222222222222226</v>
      </c>
      <c r="M2233" s="28" t="str">
        <f t="shared" si="34"/>
        <v>Below 0%</v>
      </c>
      <c r="N2233" s="27" t="s">
        <v>83</v>
      </c>
      <c r="O2233" s="27" t="s">
        <v>12</v>
      </c>
      <c r="P2233" s="27" t="s">
        <v>13</v>
      </c>
      <c r="Q2233" s="27" t="s">
        <v>14</v>
      </c>
    </row>
    <row r="2234" spans="1:17" x14ac:dyDescent="0.3">
      <c r="A2234" s="22">
        <v>35</v>
      </c>
      <c r="B2234" s="19">
        <v>55.19</v>
      </c>
      <c r="C2234" s="20">
        <f>Sales!$B2234*Sales!$A2234</f>
        <v>1931.6499999999999</v>
      </c>
      <c r="D2234" s="21">
        <v>38027</v>
      </c>
      <c r="E2234" s="22" t="s">
        <v>9</v>
      </c>
      <c r="F2234" s="22">
        <v>1</v>
      </c>
      <c r="G2234" s="22">
        <v>2</v>
      </c>
      <c r="H2234" s="22">
        <v>2004</v>
      </c>
      <c r="I2234" s="22" t="s">
        <v>104</v>
      </c>
      <c r="J2234" s="20">
        <v>54</v>
      </c>
      <c r="K2234" s="20">
        <f>Sales!$B2234-Sales!$J2234</f>
        <v>1.1899999999999977</v>
      </c>
      <c r="L2234" s="23">
        <f>(Sales!$J2234-Sales!$B2234)/Sales!$J2234</f>
        <v>-2.2037037037036994E-2</v>
      </c>
      <c r="M2234" s="23" t="str">
        <f t="shared" si="34"/>
        <v>Below 0%</v>
      </c>
      <c r="N2234" s="22" t="s">
        <v>107</v>
      </c>
      <c r="O2234" s="22" t="s">
        <v>12</v>
      </c>
      <c r="P2234" s="22" t="s">
        <v>13</v>
      </c>
      <c r="Q2234" s="22" t="s">
        <v>14</v>
      </c>
    </row>
    <row r="2235" spans="1:17" x14ac:dyDescent="0.3">
      <c r="A2235" s="27">
        <v>23</v>
      </c>
      <c r="B2235" s="24">
        <v>54.11</v>
      </c>
      <c r="C2235" s="25">
        <f>Sales!$B2235*Sales!$A2235</f>
        <v>1244.53</v>
      </c>
      <c r="D2235" s="26">
        <v>38057</v>
      </c>
      <c r="E2235" s="27" t="s">
        <v>9</v>
      </c>
      <c r="F2235" s="27">
        <v>1</v>
      </c>
      <c r="G2235" s="27">
        <v>3</v>
      </c>
      <c r="H2235" s="27">
        <v>2004</v>
      </c>
      <c r="I2235" s="27" t="s">
        <v>104</v>
      </c>
      <c r="J2235" s="25">
        <v>54</v>
      </c>
      <c r="K2235" s="25">
        <f>Sales!$B2235-Sales!$J2235</f>
        <v>0.10999999999999943</v>
      </c>
      <c r="L2235" s="28">
        <f>(Sales!$J2235-Sales!$B2235)/Sales!$J2235</f>
        <v>-2.0370370370370264E-3</v>
      </c>
      <c r="M2235" s="28" t="s">
        <v>130</v>
      </c>
      <c r="N2235" s="27" t="s">
        <v>64</v>
      </c>
      <c r="O2235" s="27" t="s">
        <v>12</v>
      </c>
      <c r="P2235" s="27" t="s">
        <v>13</v>
      </c>
      <c r="Q2235" s="27" t="s">
        <v>14</v>
      </c>
    </row>
    <row r="2236" spans="1:17" x14ac:dyDescent="0.3">
      <c r="A2236" s="22">
        <v>35</v>
      </c>
      <c r="B2236" s="19">
        <v>48.7</v>
      </c>
      <c r="C2236" s="20">
        <f>Sales!$B2236*Sales!$A2236</f>
        <v>1704.5</v>
      </c>
      <c r="D2236" s="21">
        <v>38112</v>
      </c>
      <c r="E2236" s="22" t="s">
        <v>9</v>
      </c>
      <c r="F2236" s="22">
        <v>2</v>
      </c>
      <c r="G2236" s="22">
        <v>5</v>
      </c>
      <c r="H2236" s="22">
        <v>2004</v>
      </c>
      <c r="I2236" s="22" t="s">
        <v>104</v>
      </c>
      <c r="J2236" s="20">
        <v>54</v>
      </c>
      <c r="K2236" s="20">
        <f>Sales!$B2236-Sales!$J2236</f>
        <v>-5.2999999999999972</v>
      </c>
      <c r="L2236" s="23">
        <f>(Sales!$J2236-Sales!$B2236)/Sales!$J2236</f>
        <v>9.8148148148148096E-2</v>
      </c>
      <c r="M2236" s="23" t="str">
        <f t="shared" si="34"/>
        <v>5%-10%</v>
      </c>
      <c r="N2236" s="22" t="s">
        <v>45</v>
      </c>
      <c r="O2236" s="22" t="s">
        <v>46</v>
      </c>
      <c r="P2236" s="22" t="s">
        <v>17</v>
      </c>
      <c r="Q2236" s="22" t="s">
        <v>14</v>
      </c>
    </row>
    <row r="2237" spans="1:17" x14ac:dyDescent="0.3">
      <c r="A2237" s="27">
        <v>40</v>
      </c>
      <c r="B2237" s="24">
        <v>43.83</v>
      </c>
      <c r="C2237" s="25">
        <f>Sales!$B2237*Sales!$A2237</f>
        <v>1753.1999999999998</v>
      </c>
      <c r="D2237" s="26">
        <v>38153</v>
      </c>
      <c r="E2237" s="27" t="s">
        <v>9</v>
      </c>
      <c r="F2237" s="27">
        <v>2</v>
      </c>
      <c r="G2237" s="27">
        <v>6</v>
      </c>
      <c r="H2237" s="27">
        <v>2004</v>
      </c>
      <c r="I2237" s="27" t="s">
        <v>104</v>
      </c>
      <c r="J2237" s="25">
        <v>54</v>
      </c>
      <c r="K2237" s="25">
        <f>Sales!$B2237-Sales!$J2237</f>
        <v>-10.170000000000002</v>
      </c>
      <c r="L2237" s="28">
        <f>(Sales!$J2237-Sales!$B2237)/Sales!$J2237</f>
        <v>0.18833333333333335</v>
      </c>
      <c r="M2237" s="28" t="str">
        <f t="shared" si="34"/>
        <v>15%-20%</v>
      </c>
      <c r="N2237" s="27" t="s">
        <v>50</v>
      </c>
      <c r="O2237" s="27" t="s">
        <v>50</v>
      </c>
      <c r="P2237" s="27" t="s">
        <v>28</v>
      </c>
      <c r="Q2237" s="27" t="s">
        <v>14</v>
      </c>
    </row>
    <row r="2238" spans="1:17" x14ac:dyDescent="0.3">
      <c r="A2238" s="22">
        <v>35</v>
      </c>
      <c r="B2238" s="19">
        <v>47.62</v>
      </c>
      <c r="C2238" s="20">
        <f>Sales!$B2238*Sales!$A2238</f>
        <v>1666.6999999999998</v>
      </c>
      <c r="D2238" s="21">
        <v>38188</v>
      </c>
      <c r="E2238" s="22" t="s">
        <v>9</v>
      </c>
      <c r="F2238" s="22">
        <v>3</v>
      </c>
      <c r="G2238" s="22">
        <v>7</v>
      </c>
      <c r="H2238" s="22">
        <v>2004</v>
      </c>
      <c r="I2238" s="22" t="s">
        <v>104</v>
      </c>
      <c r="J2238" s="20">
        <v>54</v>
      </c>
      <c r="K2238" s="20">
        <f>Sales!$B2238-Sales!$J2238</f>
        <v>-6.3800000000000026</v>
      </c>
      <c r="L2238" s="23">
        <f>(Sales!$J2238-Sales!$B2238)/Sales!$J2238</f>
        <v>0.1181481481481482</v>
      </c>
      <c r="M2238" s="23" t="str">
        <f t="shared" si="34"/>
        <v>10%-15%</v>
      </c>
      <c r="N2238" s="22" t="s">
        <v>64</v>
      </c>
      <c r="O2238" s="22" t="s">
        <v>12</v>
      </c>
      <c r="P2238" s="22" t="s">
        <v>13</v>
      </c>
      <c r="Q2238" s="22" t="s">
        <v>14</v>
      </c>
    </row>
    <row r="2239" spans="1:17" x14ac:dyDescent="0.3">
      <c r="A2239" s="27">
        <v>31</v>
      </c>
      <c r="B2239" s="24">
        <v>55.19</v>
      </c>
      <c r="C2239" s="25">
        <f>Sales!$B2239*Sales!$A2239</f>
        <v>1710.8899999999999</v>
      </c>
      <c r="D2239" s="26">
        <v>38218</v>
      </c>
      <c r="E2239" s="27" t="s">
        <v>9</v>
      </c>
      <c r="F2239" s="27">
        <v>3</v>
      </c>
      <c r="G2239" s="27">
        <v>8</v>
      </c>
      <c r="H2239" s="27">
        <v>2004</v>
      </c>
      <c r="I2239" s="27" t="s">
        <v>104</v>
      </c>
      <c r="J2239" s="25">
        <v>54</v>
      </c>
      <c r="K2239" s="25">
        <f>Sales!$B2239-Sales!$J2239</f>
        <v>1.1899999999999977</v>
      </c>
      <c r="L2239" s="28">
        <f>(Sales!$J2239-Sales!$B2239)/Sales!$J2239</f>
        <v>-2.2037037037036994E-2</v>
      </c>
      <c r="M2239" s="28" t="str">
        <f t="shared" si="34"/>
        <v>Below 0%</v>
      </c>
      <c r="N2239" s="27" t="s">
        <v>36</v>
      </c>
      <c r="O2239" s="27" t="s">
        <v>12</v>
      </c>
      <c r="P2239" s="27" t="s">
        <v>13</v>
      </c>
      <c r="Q2239" s="27" t="s">
        <v>14</v>
      </c>
    </row>
    <row r="2240" spans="1:17" x14ac:dyDescent="0.3">
      <c r="A2240" s="22">
        <v>50</v>
      </c>
      <c r="B2240" s="19">
        <v>46.53</v>
      </c>
      <c r="C2240" s="20">
        <f>Sales!$B2240*Sales!$A2240</f>
        <v>2326.5</v>
      </c>
      <c r="D2240" s="21">
        <v>38238</v>
      </c>
      <c r="E2240" s="22" t="s">
        <v>9</v>
      </c>
      <c r="F2240" s="22">
        <v>3</v>
      </c>
      <c r="G2240" s="22">
        <v>9</v>
      </c>
      <c r="H2240" s="22">
        <v>2004</v>
      </c>
      <c r="I2240" s="22" t="s">
        <v>104</v>
      </c>
      <c r="J2240" s="20">
        <v>54</v>
      </c>
      <c r="K2240" s="20">
        <f>Sales!$B2240-Sales!$J2240</f>
        <v>-7.4699999999999989</v>
      </c>
      <c r="L2240" s="23">
        <f>(Sales!$J2240-Sales!$B2240)/Sales!$J2240</f>
        <v>0.13833333333333331</v>
      </c>
      <c r="M2240" s="23" t="str">
        <f t="shared" si="34"/>
        <v>10%-15%</v>
      </c>
      <c r="N2240" s="22" t="s">
        <v>11</v>
      </c>
      <c r="O2240" s="22" t="s">
        <v>12</v>
      </c>
      <c r="P2240" s="22" t="s">
        <v>13</v>
      </c>
      <c r="Q2240" s="22" t="s">
        <v>14</v>
      </c>
    </row>
    <row r="2241" spans="1:17" x14ac:dyDescent="0.3">
      <c r="A2241" s="27">
        <v>40</v>
      </c>
      <c r="B2241" s="24">
        <v>57.9</v>
      </c>
      <c r="C2241" s="25">
        <f>Sales!$B2241*Sales!$A2241</f>
        <v>2316</v>
      </c>
      <c r="D2241" s="26">
        <v>38273</v>
      </c>
      <c r="E2241" s="27" t="s">
        <v>9</v>
      </c>
      <c r="F2241" s="27">
        <v>4</v>
      </c>
      <c r="G2241" s="27">
        <v>10</v>
      </c>
      <c r="H2241" s="27">
        <v>2004</v>
      </c>
      <c r="I2241" s="27" t="s">
        <v>104</v>
      </c>
      <c r="J2241" s="25">
        <v>54</v>
      </c>
      <c r="K2241" s="25">
        <f>Sales!$B2241-Sales!$J2241</f>
        <v>3.8999999999999986</v>
      </c>
      <c r="L2241" s="28">
        <f>(Sales!$J2241-Sales!$B2241)/Sales!$J2241</f>
        <v>-7.2222222222222202E-2</v>
      </c>
      <c r="M2241" s="28" t="str">
        <f t="shared" si="34"/>
        <v>Below 0%</v>
      </c>
      <c r="N2241" s="27" t="s">
        <v>32</v>
      </c>
      <c r="O2241" s="27" t="s">
        <v>12</v>
      </c>
      <c r="P2241" s="27" t="s">
        <v>13</v>
      </c>
      <c r="Q2241" s="27" t="s">
        <v>14</v>
      </c>
    </row>
    <row r="2242" spans="1:17" x14ac:dyDescent="0.3">
      <c r="A2242" s="22">
        <v>38</v>
      </c>
      <c r="B2242" s="19">
        <v>45.45</v>
      </c>
      <c r="C2242" s="20">
        <f>Sales!$B2242*Sales!$A2242</f>
        <v>1727.1000000000001</v>
      </c>
      <c r="D2242" s="21">
        <v>38282</v>
      </c>
      <c r="E2242" s="22" t="s">
        <v>9</v>
      </c>
      <c r="F2242" s="22">
        <v>4</v>
      </c>
      <c r="G2242" s="22">
        <v>10</v>
      </c>
      <c r="H2242" s="22">
        <v>2004</v>
      </c>
      <c r="I2242" s="22" t="s">
        <v>104</v>
      </c>
      <c r="J2242" s="20">
        <v>54</v>
      </c>
      <c r="K2242" s="20">
        <f>Sales!$B2242-Sales!$J2242</f>
        <v>-8.5499999999999972</v>
      </c>
      <c r="L2242" s="23">
        <f>(Sales!$J2242-Sales!$B2242)/Sales!$J2242</f>
        <v>0.15833333333333327</v>
      </c>
      <c r="M2242" s="23" t="str">
        <f t="shared" si="34"/>
        <v>15%-20%</v>
      </c>
      <c r="N2242" s="22" t="s">
        <v>55</v>
      </c>
      <c r="O2242" s="22" t="s">
        <v>56</v>
      </c>
      <c r="P2242" s="22" t="s">
        <v>13</v>
      </c>
      <c r="Q2242" s="22" t="s">
        <v>14</v>
      </c>
    </row>
    <row r="2243" spans="1:17" x14ac:dyDescent="0.3">
      <c r="A2243" s="27">
        <v>38</v>
      </c>
      <c r="B2243" s="24">
        <v>100</v>
      </c>
      <c r="C2243" s="25">
        <f>Sales!$B2243*Sales!$A2243</f>
        <v>3800</v>
      </c>
      <c r="D2243" s="26">
        <v>38296</v>
      </c>
      <c r="E2243" s="27" t="s">
        <v>9</v>
      </c>
      <c r="F2243" s="27">
        <v>4</v>
      </c>
      <c r="G2243" s="27">
        <v>11</v>
      </c>
      <c r="H2243" s="27">
        <v>2004</v>
      </c>
      <c r="I2243" s="27" t="s">
        <v>104</v>
      </c>
      <c r="J2243" s="25">
        <v>54</v>
      </c>
      <c r="K2243" s="25">
        <f>Sales!$B2243-Sales!$J2243</f>
        <v>46</v>
      </c>
      <c r="L2243" s="28">
        <f>(Sales!$J2243-Sales!$B2243)/Sales!$J2243</f>
        <v>-0.85185185185185186</v>
      </c>
      <c r="M2243" s="28" t="str">
        <f t="shared" ref="M2243:M2306" si="35">IF(L2243&lt;0%,"Below 0%",IF(L2243=0%,"0%",IF(AND(L2243&lt;=5%,L2243&gt;0%),"0%-5%",IF(AND(L2243&lt;=10%,L2243&gt;5%),"5%-10%",IF(AND(L2243&lt;=15%,L2243&gt;10%),"10%-15%",IF(AND(L2243&lt;=20%,L2243&gt;15%),"15%-20%","+20%"))))))</f>
        <v>Below 0%</v>
      </c>
      <c r="N2243" s="27" t="s">
        <v>35</v>
      </c>
      <c r="O2243" s="27" t="s">
        <v>25</v>
      </c>
      <c r="P2243" s="27" t="s">
        <v>17</v>
      </c>
      <c r="Q2243" s="27" t="s">
        <v>39</v>
      </c>
    </row>
    <row r="2244" spans="1:17" x14ac:dyDescent="0.3">
      <c r="A2244" s="22">
        <v>40</v>
      </c>
      <c r="B2244" s="19">
        <v>60.6</v>
      </c>
      <c r="C2244" s="20">
        <f>Sales!$B2244*Sales!$A2244</f>
        <v>2424</v>
      </c>
      <c r="D2244" s="21">
        <v>38310</v>
      </c>
      <c r="E2244" s="22" t="s">
        <v>9</v>
      </c>
      <c r="F2244" s="22">
        <v>4</v>
      </c>
      <c r="G2244" s="22">
        <v>11</v>
      </c>
      <c r="H2244" s="22">
        <v>2004</v>
      </c>
      <c r="I2244" s="22" t="s">
        <v>104</v>
      </c>
      <c r="J2244" s="20">
        <v>54</v>
      </c>
      <c r="K2244" s="20">
        <f>Sales!$B2244-Sales!$J2244</f>
        <v>6.6000000000000014</v>
      </c>
      <c r="L2244" s="23">
        <f>(Sales!$J2244-Sales!$B2244)/Sales!$J2244</f>
        <v>-0.12222222222222225</v>
      </c>
      <c r="M2244" s="23" t="str">
        <f t="shared" si="35"/>
        <v>Below 0%</v>
      </c>
      <c r="N2244" s="22" t="s">
        <v>64</v>
      </c>
      <c r="O2244" s="22" t="s">
        <v>12</v>
      </c>
      <c r="P2244" s="22" t="s">
        <v>13</v>
      </c>
      <c r="Q2244" s="22" t="s">
        <v>14</v>
      </c>
    </row>
    <row r="2245" spans="1:17" x14ac:dyDescent="0.3">
      <c r="A2245" s="27">
        <v>33</v>
      </c>
      <c r="B2245" s="24">
        <v>46.53</v>
      </c>
      <c r="C2245" s="25">
        <f>Sales!$B2245*Sales!$A2245</f>
        <v>1535.49</v>
      </c>
      <c r="D2245" s="26">
        <v>38322</v>
      </c>
      <c r="E2245" s="27" t="s">
        <v>9</v>
      </c>
      <c r="F2245" s="27">
        <v>4</v>
      </c>
      <c r="G2245" s="27">
        <v>12</v>
      </c>
      <c r="H2245" s="27">
        <v>2004</v>
      </c>
      <c r="I2245" s="27" t="s">
        <v>104</v>
      </c>
      <c r="J2245" s="25">
        <v>54</v>
      </c>
      <c r="K2245" s="25">
        <f>Sales!$B2245-Sales!$J2245</f>
        <v>-7.4699999999999989</v>
      </c>
      <c r="L2245" s="28">
        <f>(Sales!$J2245-Sales!$B2245)/Sales!$J2245</f>
        <v>0.13833333333333331</v>
      </c>
      <c r="M2245" s="28" t="str">
        <f t="shared" si="35"/>
        <v>10%-15%</v>
      </c>
      <c r="N2245" s="27" t="s">
        <v>11</v>
      </c>
      <c r="O2245" s="27" t="s">
        <v>12</v>
      </c>
      <c r="P2245" s="27" t="s">
        <v>13</v>
      </c>
      <c r="Q2245" s="27" t="s">
        <v>14</v>
      </c>
    </row>
    <row r="2246" spans="1:17" x14ac:dyDescent="0.3">
      <c r="A2246" s="22">
        <v>36</v>
      </c>
      <c r="B2246" s="19">
        <v>100</v>
      </c>
      <c r="C2246" s="20">
        <f>Sales!$B2246*Sales!$A2246</f>
        <v>3600</v>
      </c>
      <c r="D2246" s="21">
        <v>38336</v>
      </c>
      <c r="E2246" s="22" t="s">
        <v>9</v>
      </c>
      <c r="F2246" s="22">
        <v>4</v>
      </c>
      <c r="G2246" s="22">
        <v>12</v>
      </c>
      <c r="H2246" s="22">
        <v>2004</v>
      </c>
      <c r="I2246" s="22" t="s">
        <v>104</v>
      </c>
      <c r="J2246" s="20">
        <v>54</v>
      </c>
      <c r="K2246" s="20">
        <f>Sales!$B2246-Sales!$J2246</f>
        <v>46</v>
      </c>
      <c r="L2246" s="23">
        <f>(Sales!$J2246-Sales!$B2246)/Sales!$J2246</f>
        <v>-0.85185185185185186</v>
      </c>
      <c r="M2246" s="23" t="str">
        <f t="shared" si="35"/>
        <v>Below 0%</v>
      </c>
      <c r="N2246" s="22" t="s">
        <v>15</v>
      </c>
      <c r="O2246" s="22" t="s">
        <v>16</v>
      </c>
      <c r="P2246" s="22" t="s">
        <v>17</v>
      </c>
      <c r="Q2246" s="22" t="s">
        <v>19</v>
      </c>
    </row>
    <row r="2247" spans="1:17" x14ac:dyDescent="0.3">
      <c r="A2247" s="27">
        <v>20</v>
      </c>
      <c r="B2247" s="24">
        <v>66.47</v>
      </c>
      <c r="C2247" s="25">
        <f>Sales!$B2247*Sales!$A2247</f>
        <v>1329.4</v>
      </c>
      <c r="D2247" s="26">
        <v>38375</v>
      </c>
      <c r="E2247" s="27" t="s">
        <v>9</v>
      </c>
      <c r="F2247" s="27">
        <v>1</v>
      </c>
      <c r="G2247" s="27">
        <v>1</v>
      </c>
      <c r="H2247" s="27">
        <v>2005</v>
      </c>
      <c r="I2247" s="27" t="s">
        <v>104</v>
      </c>
      <c r="J2247" s="25">
        <v>54</v>
      </c>
      <c r="K2247" s="25">
        <f>Sales!$B2247-Sales!$J2247</f>
        <v>12.469999999999999</v>
      </c>
      <c r="L2247" s="28">
        <f>(Sales!$J2247-Sales!$B2247)/Sales!$J2247</f>
        <v>-0.2309259259259259</v>
      </c>
      <c r="M2247" s="28" t="str">
        <f t="shared" si="35"/>
        <v>Below 0%</v>
      </c>
      <c r="N2247" s="27" t="s">
        <v>64</v>
      </c>
      <c r="O2247" s="27" t="s">
        <v>12</v>
      </c>
      <c r="P2247" s="27" t="s">
        <v>13</v>
      </c>
      <c r="Q2247" s="27" t="s">
        <v>14</v>
      </c>
    </row>
    <row r="2248" spans="1:17" x14ac:dyDescent="0.3">
      <c r="A2248" s="22">
        <v>32</v>
      </c>
      <c r="B2248" s="19">
        <v>53.18</v>
      </c>
      <c r="C2248" s="20">
        <f>Sales!$B2248*Sales!$A2248</f>
        <v>1701.76</v>
      </c>
      <c r="D2248" s="21">
        <v>38405</v>
      </c>
      <c r="E2248" s="22" t="s">
        <v>9</v>
      </c>
      <c r="F2248" s="22">
        <v>1</v>
      </c>
      <c r="G2248" s="22">
        <v>2</v>
      </c>
      <c r="H2248" s="22">
        <v>2005</v>
      </c>
      <c r="I2248" s="22" t="s">
        <v>104</v>
      </c>
      <c r="J2248" s="20">
        <v>54</v>
      </c>
      <c r="K2248" s="20">
        <f>Sales!$B2248-Sales!$J2248</f>
        <v>-0.82000000000000028</v>
      </c>
      <c r="L2248" s="23">
        <f>(Sales!$J2248-Sales!$B2248)/Sales!$J2248</f>
        <v>1.518518518518519E-2</v>
      </c>
      <c r="M2248" s="23" t="str">
        <f t="shared" si="35"/>
        <v>0%-5%</v>
      </c>
      <c r="N2248" s="22" t="s">
        <v>45</v>
      </c>
      <c r="O2248" s="22" t="s">
        <v>46</v>
      </c>
      <c r="P2248" s="22" t="s">
        <v>17</v>
      </c>
      <c r="Q2248" s="22" t="s">
        <v>14</v>
      </c>
    </row>
    <row r="2249" spans="1:17" x14ac:dyDescent="0.3">
      <c r="A2249" s="27">
        <v>36</v>
      </c>
      <c r="B2249" s="24">
        <v>62.77</v>
      </c>
      <c r="C2249" s="25">
        <f>Sales!$B2249*Sales!$A2249</f>
        <v>2259.7200000000003</v>
      </c>
      <c r="D2249" s="26">
        <v>38426</v>
      </c>
      <c r="E2249" s="27" t="s">
        <v>9</v>
      </c>
      <c r="F2249" s="27">
        <v>1</v>
      </c>
      <c r="G2249" s="27">
        <v>3</v>
      </c>
      <c r="H2249" s="27">
        <v>2005</v>
      </c>
      <c r="I2249" s="27" t="s">
        <v>104</v>
      </c>
      <c r="J2249" s="25">
        <v>54</v>
      </c>
      <c r="K2249" s="25">
        <f>Sales!$B2249-Sales!$J2249</f>
        <v>8.7700000000000031</v>
      </c>
      <c r="L2249" s="28">
        <f>(Sales!$J2249-Sales!$B2249)/Sales!$J2249</f>
        <v>-0.16240740740740747</v>
      </c>
      <c r="M2249" s="28" t="str">
        <f t="shared" si="35"/>
        <v>Below 0%</v>
      </c>
      <c r="N2249" s="27" t="s">
        <v>45</v>
      </c>
      <c r="O2249" s="27" t="s">
        <v>46</v>
      </c>
      <c r="P2249" s="27" t="s">
        <v>17</v>
      </c>
      <c r="Q2249" s="27" t="s">
        <v>14</v>
      </c>
    </row>
    <row r="2250" spans="1:17" x14ac:dyDescent="0.3">
      <c r="A2250" s="22">
        <v>19</v>
      </c>
      <c r="B2250" s="19">
        <v>48.7</v>
      </c>
      <c r="C2250" s="20">
        <f>Sales!$B2250*Sales!$A2250</f>
        <v>925.30000000000007</v>
      </c>
      <c r="D2250" s="21">
        <v>38475</v>
      </c>
      <c r="E2250" s="22" t="s">
        <v>9</v>
      </c>
      <c r="F2250" s="22">
        <v>2</v>
      </c>
      <c r="G2250" s="22">
        <v>5</v>
      </c>
      <c r="H2250" s="22">
        <v>2005</v>
      </c>
      <c r="I2250" s="22" t="s">
        <v>104</v>
      </c>
      <c r="J2250" s="20">
        <v>54</v>
      </c>
      <c r="K2250" s="20">
        <f>Sales!$B2250-Sales!$J2250</f>
        <v>-5.2999999999999972</v>
      </c>
      <c r="L2250" s="23">
        <f>(Sales!$J2250-Sales!$B2250)/Sales!$J2250</f>
        <v>9.8148148148148096E-2</v>
      </c>
      <c r="M2250" s="23" t="str">
        <f t="shared" si="35"/>
        <v>5%-10%</v>
      </c>
      <c r="N2250" s="22" t="s">
        <v>45</v>
      </c>
      <c r="O2250" s="22" t="s">
        <v>46</v>
      </c>
      <c r="P2250" s="22" t="s">
        <v>17</v>
      </c>
      <c r="Q2250" s="22" t="s">
        <v>14</v>
      </c>
    </row>
    <row r="2251" spans="1:17" x14ac:dyDescent="0.3">
      <c r="A2251" s="27">
        <v>11</v>
      </c>
      <c r="B2251" s="24">
        <v>43.83</v>
      </c>
      <c r="C2251" s="25">
        <f>Sales!$B2251*Sales!$A2251</f>
        <v>482.13</v>
      </c>
      <c r="D2251" s="26">
        <v>38503</v>
      </c>
      <c r="E2251" s="27" t="s">
        <v>69</v>
      </c>
      <c r="F2251" s="27">
        <v>2</v>
      </c>
      <c r="G2251" s="27">
        <v>5</v>
      </c>
      <c r="H2251" s="27">
        <v>2005</v>
      </c>
      <c r="I2251" s="27" t="s">
        <v>104</v>
      </c>
      <c r="J2251" s="25">
        <v>54</v>
      </c>
      <c r="K2251" s="25">
        <f>Sales!$B2251-Sales!$J2251</f>
        <v>-10.170000000000002</v>
      </c>
      <c r="L2251" s="28">
        <f>(Sales!$J2251-Sales!$B2251)/Sales!$J2251</f>
        <v>0.18833333333333335</v>
      </c>
      <c r="M2251" s="28" t="str">
        <f t="shared" si="35"/>
        <v>15%-20%</v>
      </c>
      <c r="N2251" s="27" t="s">
        <v>31</v>
      </c>
      <c r="O2251" s="27" t="s">
        <v>16</v>
      </c>
      <c r="P2251" s="27" t="s">
        <v>17</v>
      </c>
      <c r="Q2251" s="27" t="s">
        <v>14</v>
      </c>
    </row>
    <row r="2252" spans="1:17" x14ac:dyDescent="0.3">
      <c r="A2252" s="22">
        <v>49</v>
      </c>
      <c r="B2252" s="19">
        <v>65.87</v>
      </c>
      <c r="C2252" s="20">
        <f>Sales!$B2252*Sales!$A2252</f>
        <v>3227.63</v>
      </c>
      <c r="D2252" s="21">
        <v>37652</v>
      </c>
      <c r="E2252" s="22" t="s">
        <v>9</v>
      </c>
      <c r="F2252" s="22">
        <v>1</v>
      </c>
      <c r="G2252" s="22">
        <v>1</v>
      </c>
      <c r="H2252" s="22">
        <v>2003</v>
      </c>
      <c r="I2252" s="22" t="s">
        <v>119</v>
      </c>
      <c r="J2252" s="20">
        <v>62</v>
      </c>
      <c r="K2252" s="20">
        <f>Sales!$B2252-Sales!$J2252</f>
        <v>3.8700000000000045</v>
      </c>
      <c r="L2252" s="23">
        <f>(Sales!$J2252-Sales!$B2252)/Sales!$J2252</f>
        <v>-6.2419354838709751E-2</v>
      </c>
      <c r="M2252" s="23" t="str">
        <f t="shared" si="35"/>
        <v>Below 0%</v>
      </c>
      <c r="N2252" s="22" t="s">
        <v>45</v>
      </c>
      <c r="O2252" s="22" t="s">
        <v>46</v>
      </c>
      <c r="P2252" s="22" t="s">
        <v>17</v>
      </c>
      <c r="Q2252" s="22" t="s">
        <v>19</v>
      </c>
    </row>
    <row r="2253" spans="1:17" x14ac:dyDescent="0.3">
      <c r="A2253" s="27">
        <v>27</v>
      </c>
      <c r="B2253" s="24">
        <v>63.38</v>
      </c>
      <c r="C2253" s="25">
        <f>Sales!$B2253*Sales!$A2253</f>
        <v>1711.26</v>
      </c>
      <c r="D2253" s="26">
        <v>37722</v>
      </c>
      <c r="E2253" s="27" t="s">
        <v>9</v>
      </c>
      <c r="F2253" s="27">
        <v>2</v>
      </c>
      <c r="G2253" s="27">
        <v>4</v>
      </c>
      <c r="H2253" s="27">
        <v>2003</v>
      </c>
      <c r="I2253" s="27" t="s">
        <v>119</v>
      </c>
      <c r="J2253" s="25">
        <v>62</v>
      </c>
      <c r="K2253" s="25">
        <f>Sales!$B2253-Sales!$J2253</f>
        <v>1.3800000000000026</v>
      </c>
      <c r="L2253" s="28">
        <f>(Sales!$J2253-Sales!$B2253)/Sales!$J2253</f>
        <v>-2.2258064516129075E-2</v>
      </c>
      <c r="M2253" s="28" t="str">
        <f t="shared" si="35"/>
        <v>Below 0%</v>
      </c>
      <c r="N2253" s="27" t="s">
        <v>117</v>
      </c>
      <c r="O2253" s="27" t="s">
        <v>81</v>
      </c>
      <c r="P2253" s="27" t="s">
        <v>17</v>
      </c>
      <c r="Q2253" s="27" t="s">
        <v>14</v>
      </c>
    </row>
    <row r="2254" spans="1:17" x14ac:dyDescent="0.3">
      <c r="A2254" s="22">
        <v>29</v>
      </c>
      <c r="B2254" s="19">
        <v>70.84</v>
      </c>
      <c r="C2254" s="20">
        <f>Sales!$B2254*Sales!$A2254</f>
        <v>2054.36</v>
      </c>
      <c r="D2254" s="21">
        <v>37775</v>
      </c>
      <c r="E2254" s="22" t="s">
        <v>9</v>
      </c>
      <c r="F2254" s="22">
        <v>2</v>
      </c>
      <c r="G2254" s="22">
        <v>6</v>
      </c>
      <c r="H2254" s="22">
        <v>2003</v>
      </c>
      <c r="I2254" s="22" t="s">
        <v>119</v>
      </c>
      <c r="J2254" s="20">
        <v>62</v>
      </c>
      <c r="K2254" s="20">
        <f>Sales!$B2254-Sales!$J2254</f>
        <v>8.8400000000000034</v>
      </c>
      <c r="L2254" s="23">
        <f>(Sales!$J2254-Sales!$B2254)/Sales!$J2254</f>
        <v>-0.14258064516129038</v>
      </c>
      <c r="M2254" s="23" t="str">
        <f t="shared" si="35"/>
        <v>Below 0%</v>
      </c>
      <c r="N2254" s="22" t="s">
        <v>11</v>
      </c>
      <c r="O2254" s="22" t="s">
        <v>12</v>
      </c>
      <c r="P2254" s="22" t="s">
        <v>13</v>
      </c>
      <c r="Q2254" s="22" t="s">
        <v>14</v>
      </c>
    </row>
    <row r="2255" spans="1:17" x14ac:dyDescent="0.3">
      <c r="A2255" s="27">
        <v>42</v>
      </c>
      <c r="B2255" s="24">
        <v>74.569999999999993</v>
      </c>
      <c r="C2255" s="25">
        <f>Sales!$B2255*Sales!$A2255</f>
        <v>3131.9399999999996</v>
      </c>
      <c r="D2255" s="26">
        <v>37841</v>
      </c>
      <c r="E2255" s="27" t="s">
        <v>9</v>
      </c>
      <c r="F2255" s="27">
        <v>3</v>
      </c>
      <c r="G2255" s="27">
        <v>8</v>
      </c>
      <c r="H2255" s="27">
        <v>2003</v>
      </c>
      <c r="I2255" s="27" t="s">
        <v>119</v>
      </c>
      <c r="J2255" s="25">
        <v>62</v>
      </c>
      <c r="K2255" s="25">
        <f>Sales!$B2255-Sales!$J2255</f>
        <v>12.569999999999993</v>
      </c>
      <c r="L2255" s="28">
        <f>(Sales!$J2255-Sales!$B2255)/Sales!$J2255</f>
        <v>-0.20274193548387084</v>
      </c>
      <c r="M2255" s="28" t="str">
        <f t="shared" si="35"/>
        <v>Below 0%</v>
      </c>
      <c r="N2255" s="27" t="s">
        <v>64</v>
      </c>
      <c r="O2255" s="27" t="s">
        <v>12</v>
      </c>
      <c r="P2255" s="27" t="s">
        <v>13</v>
      </c>
      <c r="Q2255" s="27" t="s">
        <v>19</v>
      </c>
    </row>
    <row r="2256" spans="1:17" x14ac:dyDescent="0.3">
      <c r="A2256" s="22">
        <v>33</v>
      </c>
      <c r="B2256" s="19">
        <v>50.95</v>
      </c>
      <c r="C2256" s="20">
        <f>Sales!$B2256*Sales!$A2256</f>
        <v>1681.3500000000001</v>
      </c>
      <c r="D2256" s="21">
        <v>37889</v>
      </c>
      <c r="E2256" s="22" t="s">
        <v>9</v>
      </c>
      <c r="F2256" s="22">
        <v>3</v>
      </c>
      <c r="G2256" s="22">
        <v>9</v>
      </c>
      <c r="H2256" s="22">
        <v>2003</v>
      </c>
      <c r="I2256" s="22" t="s">
        <v>119</v>
      </c>
      <c r="J2256" s="20">
        <v>62</v>
      </c>
      <c r="K2256" s="20">
        <f>Sales!$B2256-Sales!$J2256</f>
        <v>-11.049999999999997</v>
      </c>
      <c r="L2256" s="23">
        <f>(Sales!$J2256-Sales!$B2256)/Sales!$J2256</f>
        <v>0.17822580645161284</v>
      </c>
      <c r="M2256" s="23" t="str">
        <f t="shared" si="35"/>
        <v>15%-20%</v>
      </c>
      <c r="N2256" s="22" t="s">
        <v>52</v>
      </c>
      <c r="O2256" s="22" t="s">
        <v>27</v>
      </c>
      <c r="P2256" s="22" t="s">
        <v>28</v>
      </c>
      <c r="Q2256" s="22" t="s">
        <v>14</v>
      </c>
    </row>
    <row r="2257" spans="1:17" x14ac:dyDescent="0.3">
      <c r="A2257" s="27">
        <v>44</v>
      </c>
      <c r="B2257" s="24">
        <v>53.44</v>
      </c>
      <c r="C2257" s="25">
        <f>Sales!$B2257*Sales!$A2257</f>
        <v>2351.3599999999997</v>
      </c>
      <c r="D2257" s="26">
        <v>37916</v>
      </c>
      <c r="E2257" s="27" t="s">
        <v>9</v>
      </c>
      <c r="F2257" s="27">
        <v>4</v>
      </c>
      <c r="G2257" s="27">
        <v>10</v>
      </c>
      <c r="H2257" s="27">
        <v>2003</v>
      </c>
      <c r="I2257" s="27" t="s">
        <v>119</v>
      </c>
      <c r="J2257" s="25">
        <v>62</v>
      </c>
      <c r="K2257" s="25">
        <f>Sales!$B2257-Sales!$J2257</f>
        <v>-8.5600000000000023</v>
      </c>
      <c r="L2257" s="28">
        <f>(Sales!$J2257-Sales!$B2257)/Sales!$J2257</f>
        <v>0.13806451612903228</v>
      </c>
      <c r="M2257" s="28" t="str">
        <f t="shared" si="35"/>
        <v>10%-15%</v>
      </c>
      <c r="N2257" s="27" t="s">
        <v>50</v>
      </c>
      <c r="O2257" s="27" t="s">
        <v>50</v>
      </c>
      <c r="P2257" s="27" t="s">
        <v>28</v>
      </c>
      <c r="Q2257" s="27" t="s">
        <v>14</v>
      </c>
    </row>
    <row r="2258" spans="1:17" x14ac:dyDescent="0.3">
      <c r="A2258" s="22">
        <v>22</v>
      </c>
      <c r="B2258" s="19">
        <v>64</v>
      </c>
      <c r="C2258" s="20">
        <f>Sales!$B2258*Sales!$A2258</f>
        <v>1408</v>
      </c>
      <c r="D2258" s="21">
        <v>37931</v>
      </c>
      <c r="E2258" s="22" t="s">
        <v>9</v>
      </c>
      <c r="F2258" s="22">
        <v>4</v>
      </c>
      <c r="G2258" s="22">
        <v>11</v>
      </c>
      <c r="H2258" s="22">
        <v>2003</v>
      </c>
      <c r="I2258" s="22" t="s">
        <v>119</v>
      </c>
      <c r="J2258" s="20">
        <v>62</v>
      </c>
      <c r="K2258" s="20">
        <f>Sales!$B2258-Sales!$J2258</f>
        <v>2</v>
      </c>
      <c r="L2258" s="23">
        <f>(Sales!$J2258-Sales!$B2258)/Sales!$J2258</f>
        <v>-3.2258064516129031E-2</v>
      </c>
      <c r="M2258" s="23" t="str">
        <f t="shared" si="35"/>
        <v>Below 0%</v>
      </c>
      <c r="N2258" s="22" t="s">
        <v>97</v>
      </c>
      <c r="O2258" s="22" t="s">
        <v>61</v>
      </c>
      <c r="P2258" s="22" t="s">
        <v>17</v>
      </c>
      <c r="Q2258" s="22" t="s">
        <v>14</v>
      </c>
    </row>
    <row r="2259" spans="1:17" x14ac:dyDescent="0.3">
      <c r="A2259" s="27">
        <v>48</v>
      </c>
      <c r="B2259" s="24">
        <v>50.95</v>
      </c>
      <c r="C2259" s="25">
        <f>Sales!$B2259*Sales!$A2259</f>
        <v>2445.6000000000004</v>
      </c>
      <c r="D2259" s="26">
        <v>37939</v>
      </c>
      <c r="E2259" s="27" t="s">
        <v>9</v>
      </c>
      <c r="F2259" s="27">
        <v>4</v>
      </c>
      <c r="G2259" s="27">
        <v>11</v>
      </c>
      <c r="H2259" s="27">
        <v>2003</v>
      </c>
      <c r="I2259" s="27" t="s">
        <v>119</v>
      </c>
      <c r="J2259" s="25">
        <v>62</v>
      </c>
      <c r="K2259" s="25">
        <f>Sales!$B2259-Sales!$J2259</f>
        <v>-11.049999999999997</v>
      </c>
      <c r="L2259" s="28">
        <f>(Sales!$J2259-Sales!$B2259)/Sales!$J2259</f>
        <v>0.17822580645161284</v>
      </c>
      <c r="M2259" s="28" t="str">
        <f t="shared" si="35"/>
        <v>15%-20%</v>
      </c>
      <c r="N2259" s="27" t="s">
        <v>106</v>
      </c>
      <c r="O2259" s="27" t="s">
        <v>46</v>
      </c>
      <c r="P2259" s="27" t="s">
        <v>17</v>
      </c>
      <c r="Q2259" s="27" t="s">
        <v>14</v>
      </c>
    </row>
    <row r="2260" spans="1:17" x14ac:dyDescent="0.3">
      <c r="A2260" s="22">
        <v>33</v>
      </c>
      <c r="B2260" s="19">
        <v>54.68</v>
      </c>
      <c r="C2260" s="20">
        <f>Sales!$B2260*Sales!$A2260</f>
        <v>1804.44</v>
      </c>
      <c r="D2260" s="21">
        <v>37950</v>
      </c>
      <c r="E2260" s="22" t="s">
        <v>9</v>
      </c>
      <c r="F2260" s="22">
        <v>4</v>
      </c>
      <c r="G2260" s="22">
        <v>11</v>
      </c>
      <c r="H2260" s="22">
        <v>2003</v>
      </c>
      <c r="I2260" s="22" t="s">
        <v>119</v>
      </c>
      <c r="J2260" s="20">
        <v>62</v>
      </c>
      <c r="K2260" s="20">
        <f>Sales!$B2260-Sales!$J2260</f>
        <v>-7.32</v>
      </c>
      <c r="L2260" s="23">
        <f>(Sales!$J2260-Sales!$B2260)/Sales!$J2260</f>
        <v>0.11806451612903227</v>
      </c>
      <c r="M2260" s="23" t="str">
        <f t="shared" si="35"/>
        <v>10%-15%</v>
      </c>
      <c r="N2260" s="22" t="s">
        <v>71</v>
      </c>
      <c r="O2260" s="22" t="s">
        <v>12</v>
      </c>
      <c r="P2260" s="22" t="s">
        <v>13</v>
      </c>
      <c r="Q2260" s="22" t="s">
        <v>14</v>
      </c>
    </row>
    <row r="2261" spans="1:17" x14ac:dyDescent="0.3">
      <c r="A2261" s="27">
        <v>45</v>
      </c>
      <c r="B2261" s="24">
        <v>56.55</v>
      </c>
      <c r="C2261" s="25">
        <f>Sales!$B2261*Sales!$A2261</f>
        <v>2544.75</v>
      </c>
      <c r="D2261" s="26">
        <v>37964</v>
      </c>
      <c r="E2261" s="27" t="s">
        <v>9</v>
      </c>
      <c r="F2261" s="27">
        <v>4</v>
      </c>
      <c r="G2261" s="27">
        <v>12</v>
      </c>
      <c r="H2261" s="27">
        <v>2003</v>
      </c>
      <c r="I2261" s="27" t="s">
        <v>119</v>
      </c>
      <c r="J2261" s="25">
        <v>62</v>
      </c>
      <c r="K2261" s="25">
        <f>Sales!$B2261-Sales!$J2261</f>
        <v>-5.4500000000000028</v>
      </c>
      <c r="L2261" s="28">
        <f>(Sales!$J2261-Sales!$B2261)/Sales!$J2261</f>
        <v>8.7903225806451657E-2</v>
      </c>
      <c r="M2261" s="28" t="str">
        <f t="shared" si="35"/>
        <v>5%-10%</v>
      </c>
      <c r="N2261" s="27" t="s">
        <v>83</v>
      </c>
      <c r="O2261" s="27" t="s">
        <v>12</v>
      </c>
      <c r="P2261" s="27" t="s">
        <v>13</v>
      </c>
      <c r="Q2261" s="27" t="s">
        <v>14</v>
      </c>
    </row>
    <row r="2262" spans="1:17" x14ac:dyDescent="0.3">
      <c r="A2262" s="22">
        <v>20</v>
      </c>
      <c r="B2262" s="19">
        <v>52.82</v>
      </c>
      <c r="C2262" s="20">
        <f>Sales!$B2262*Sales!$A2262</f>
        <v>1056.4000000000001</v>
      </c>
      <c r="D2262" s="21">
        <v>38029</v>
      </c>
      <c r="E2262" s="22" t="s">
        <v>9</v>
      </c>
      <c r="F2262" s="22">
        <v>1</v>
      </c>
      <c r="G2262" s="22">
        <v>2</v>
      </c>
      <c r="H2262" s="22">
        <v>2004</v>
      </c>
      <c r="I2262" s="22" t="s">
        <v>119</v>
      </c>
      <c r="J2262" s="20">
        <v>62</v>
      </c>
      <c r="K2262" s="20">
        <f>Sales!$B2262-Sales!$J2262</f>
        <v>-9.18</v>
      </c>
      <c r="L2262" s="23">
        <f>(Sales!$J2262-Sales!$B2262)/Sales!$J2262</f>
        <v>0.14806451612903226</v>
      </c>
      <c r="M2262" s="23" t="str">
        <f t="shared" si="35"/>
        <v>10%-15%</v>
      </c>
      <c r="N2262" s="22" t="s">
        <v>100</v>
      </c>
      <c r="O2262" s="22" t="s">
        <v>101</v>
      </c>
      <c r="P2262" s="22" t="s">
        <v>17</v>
      </c>
      <c r="Q2262" s="22" t="s">
        <v>14</v>
      </c>
    </row>
    <row r="2263" spans="1:17" x14ac:dyDescent="0.3">
      <c r="A2263" s="27">
        <v>46</v>
      </c>
      <c r="B2263" s="24">
        <v>60.9</v>
      </c>
      <c r="C2263" s="25">
        <f>Sales!$B2263*Sales!$A2263</f>
        <v>2801.4</v>
      </c>
      <c r="D2263" s="26">
        <v>38061</v>
      </c>
      <c r="E2263" s="27" t="s">
        <v>9</v>
      </c>
      <c r="F2263" s="27">
        <v>1</v>
      </c>
      <c r="G2263" s="27">
        <v>3</v>
      </c>
      <c r="H2263" s="27">
        <v>2004</v>
      </c>
      <c r="I2263" s="27" t="s">
        <v>119</v>
      </c>
      <c r="J2263" s="25">
        <v>62</v>
      </c>
      <c r="K2263" s="25">
        <f>Sales!$B2263-Sales!$J2263</f>
        <v>-1.1000000000000014</v>
      </c>
      <c r="L2263" s="28">
        <f>(Sales!$J2263-Sales!$B2263)/Sales!$J2263</f>
        <v>1.7741935483870992E-2</v>
      </c>
      <c r="M2263" s="28" t="str">
        <f t="shared" si="35"/>
        <v>0%-5%</v>
      </c>
      <c r="N2263" s="27" t="s">
        <v>98</v>
      </c>
      <c r="O2263" s="27" t="s">
        <v>94</v>
      </c>
      <c r="P2263" s="27" t="s">
        <v>17</v>
      </c>
      <c r="Q2263" s="27" t="s">
        <v>14</v>
      </c>
    </row>
    <row r="2264" spans="1:17" x14ac:dyDescent="0.3">
      <c r="A2264" s="22">
        <v>40</v>
      </c>
      <c r="B2264" s="19">
        <v>49.71</v>
      </c>
      <c r="C2264" s="20">
        <f>Sales!$B2264*Sales!$A2264</f>
        <v>1988.4</v>
      </c>
      <c r="D2264" s="21">
        <v>38112</v>
      </c>
      <c r="E2264" s="22" t="s">
        <v>9</v>
      </c>
      <c r="F2264" s="22">
        <v>2</v>
      </c>
      <c r="G2264" s="22">
        <v>5</v>
      </c>
      <c r="H2264" s="22">
        <v>2004</v>
      </c>
      <c r="I2264" s="22" t="s">
        <v>119</v>
      </c>
      <c r="J2264" s="20">
        <v>62</v>
      </c>
      <c r="K2264" s="20">
        <f>Sales!$B2264-Sales!$J2264</f>
        <v>-12.29</v>
      </c>
      <c r="L2264" s="23">
        <f>(Sales!$J2264-Sales!$B2264)/Sales!$J2264</f>
        <v>0.19822580645161289</v>
      </c>
      <c r="M2264" s="23" t="str">
        <f t="shared" si="35"/>
        <v>15%-20%</v>
      </c>
      <c r="N2264" s="22" t="s">
        <v>99</v>
      </c>
      <c r="O2264" s="22" t="s">
        <v>34</v>
      </c>
      <c r="P2264" s="22" t="s">
        <v>17</v>
      </c>
      <c r="Q2264" s="22" t="s">
        <v>14</v>
      </c>
    </row>
    <row r="2265" spans="1:17" x14ac:dyDescent="0.3">
      <c r="A2265" s="27">
        <v>45</v>
      </c>
      <c r="B2265" s="24">
        <v>64.63</v>
      </c>
      <c r="C2265" s="25">
        <f>Sales!$B2265*Sales!$A2265</f>
        <v>2908.35</v>
      </c>
      <c r="D2265" s="26">
        <v>38188</v>
      </c>
      <c r="E2265" s="27" t="s">
        <v>9</v>
      </c>
      <c r="F2265" s="27">
        <v>3</v>
      </c>
      <c r="G2265" s="27">
        <v>7</v>
      </c>
      <c r="H2265" s="27">
        <v>2004</v>
      </c>
      <c r="I2265" s="27" t="s">
        <v>119</v>
      </c>
      <c r="J2265" s="25">
        <v>62</v>
      </c>
      <c r="K2265" s="25">
        <f>Sales!$B2265-Sales!$J2265</f>
        <v>2.6299999999999955</v>
      </c>
      <c r="L2265" s="28">
        <f>(Sales!$J2265-Sales!$B2265)/Sales!$J2265</f>
        <v>-4.2419354838709601E-2</v>
      </c>
      <c r="M2265" s="28" t="str">
        <f t="shared" si="35"/>
        <v>Below 0%</v>
      </c>
      <c r="N2265" s="27" t="s">
        <v>36</v>
      </c>
      <c r="O2265" s="27" t="s">
        <v>12</v>
      </c>
      <c r="P2265" s="27" t="s">
        <v>13</v>
      </c>
      <c r="Q2265" s="27" t="s">
        <v>14</v>
      </c>
    </row>
    <row r="2266" spans="1:17" x14ac:dyDescent="0.3">
      <c r="A2266" s="22">
        <v>36</v>
      </c>
      <c r="B2266" s="19">
        <v>59.65</v>
      </c>
      <c r="C2266" s="20">
        <f>Sales!$B2266*Sales!$A2266</f>
        <v>2147.4</v>
      </c>
      <c r="D2266" s="21">
        <v>38219</v>
      </c>
      <c r="E2266" s="22" t="s">
        <v>9</v>
      </c>
      <c r="F2266" s="22">
        <v>3</v>
      </c>
      <c r="G2266" s="22">
        <v>8</v>
      </c>
      <c r="H2266" s="22">
        <v>2004</v>
      </c>
      <c r="I2266" s="22" t="s">
        <v>119</v>
      </c>
      <c r="J2266" s="20">
        <v>62</v>
      </c>
      <c r="K2266" s="20">
        <f>Sales!$B2266-Sales!$J2266</f>
        <v>-2.3500000000000014</v>
      </c>
      <c r="L2266" s="23">
        <f>(Sales!$J2266-Sales!$B2266)/Sales!$J2266</f>
        <v>3.7903225806451633E-2</v>
      </c>
      <c r="M2266" s="23" t="str">
        <f t="shared" si="35"/>
        <v>0%-5%</v>
      </c>
      <c r="N2266" s="22" t="s">
        <v>64</v>
      </c>
      <c r="O2266" s="22" t="s">
        <v>12</v>
      </c>
      <c r="P2266" s="22" t="s">
        <v>13</v>
      </c>
      <c r="Q2266" s="22" t="s">
        <v>14</v>
      </c>
    </row>
    <row r="2267" spans="1:17" x14ac:dyDescent="0.3">
      <c r="A2267" s="27">
        <v>31</v>
      </c>
      <c r="B2267" s="24">
        <v>67.73</v>
      </c>
      <c r="C2267" s="25">
        <f>Sales!$B2267*Sales!$A2267</f>
        <v>2099.63</v>
      </c>
      <c r="D2267" s="26">
        <v>38238</v>
      </c>
      <c r="E2267" s="27" t="s">
        <v>9</v>
      </c>
      <c r="F2267" s="27">
        <v>3</v>
      </c>
      <c r="G2267" s="27">
        <v>9</v>
      </c>
      <c r="H2267" s="27">
        <v>2004</v>
      </c>
      <c r="I2267" s="27" t="s">
        <v>119</v>
      </c>
      <c r="J2267" s="25">
        <v>62</v>
      </c>
      <c r="K2267" s="25">
        <f>Sales!$B2267-Sales!$J2267</f>
        <v>5.730000000000004</v>
      </c>
      <c r="L2267" s="28">
        <f>(Sales!$J2267-Sales!$B2267)/Sales!$J2267</f>
        <v>-9.2419354838709736E-2</v>
      </c>
      <c r="M2267" s="28" t="str">
        <f t="shared" si="35"/>
        <v>Below 0%</v>
      </c>
      <c r="N2267" s="27" t="s">
        <v>11</v>
      </c>
      <c r="O2267" s="27" t="s">
        <v>12</v>
      </c>
      <c r="P2267" s="27" t="s">
        <v>13</v>
      </c>
      <c r="Q2267" s="27" t="s">
        <v>14</v>
      </c>
    </row>
    <row r="2268" spans="1:17" x14ac:dyDescent="0.3">
      <c r="A2268" s="22">
        <v>46</v>
      </c>
      <c r="B2268" s="19">
        <v>50.33</v>
      </c>
      <c r="C2268" s="20">
        <f>Sales!$B2268*Sales!$A2268</f>
        <v>2315.1799999999998</v>
      </c>
      <c r="D2268" s="21">
        <v>38274</v>
      </c>
      <c r="E2268" s="22" t="s">
        <v>9</v>
      </c>
      <c r="F2268" s="22">
        <v>4</v>
      </c>
      <c r="G2268" s="22">
        <v>10</v>
      </c>
      <c r="H2268" s="22">
        <v>2004</v>
      </c>
      <c r="I2268" s="22" t="s">
        <v>119</v>
      </c>
      <c r="J2268" s="20">
        <v>62</v>
      </c>
      <c r="K2268" s="20">
        <f>Sales!$B2268-Sales!$J2268</f>
        <v>-11.670000000000002</v>
      </c>
      <c r="L2268" s="23">
        <f>(Sales!$J2268-Sales!$B2268)/Sales!$J2268</f>
        <v>0.18822580645161294</v>
      </c>
      <c r="M2268" s="23" t="str">
        <f t="shared" si="35"/>
        <v>15%-20%</v>
      </c>
      <c r="N2268" s="22" t="s">
        <v>102</v>
      </c>
      <c r="O2268" s="22" t="s">
        <v>43</v>
      </c>
      <c r="P2268" s="22" t="s">
        <v>17</v>
      </c>
      <c r="Q2268" s="22" t="s">
        <v>14</v>
      </c>
    </row>
    <row r="2269" spans="1:17" x14ac:dyDescent="0.3">
      <c r="A2269" s="27">
        <v>35</v>
      </c>
      <c r="B2269" s="24">
        <v>66.489999999999995</v>
      </c>
      <c r="C2269" s="25">
        <f>Sales!$B2269*Sales!$A2269</f>
        <v>2327.1499999999996</v>
      </c>
      <c r="D2269" s="26">
        <v>38282</v>
      </c>
      <c r="E2269" s="27" t="s">
        <v>9</v>
      </c>
      <c r="F2269" s="27">
        <v>4</v>
      </c>
      <c r="G2269" s="27">
        <v>10</v>
      </c>
      <c r="H2269" s="27">
        <v>2004</v>
      </c>
      <c r="I2269" s="27" t="s">
        <v>119</v>
      </c>
      <c r="J2269" s="25">
        <v>62</v>
      </c>
      <c r="K2269" s="25">
        <f>Sales!$B2269-Sales!$J2269</f>
        <v>4.4899999999999949</v>
      </c>
      <c r="L2269" s="28">
        <f>(Sales!$J2269-Sales!$B2269)/Sales!$J2269</f>
        <v>-7.2419354838709593E-2</v>
      </c>
      <c r="M2269" s="28" t="str">
        <f t="shared" si="35"/>
        <v>Below 0%</v>
      </c>
      <c r="N2269" s="27" t="s">
        <v>103</v>
      </c>
      <c r="O2269" s="27" t="s">
        <v>73</v>
      </c>
      <c r="P2269" s="27" t="s">
        <v>17</v>
      </c>
      <c r="Q2269" s="27" t="s">
        <v>14</v>
      </c>
    </row>
    <row r="2270" spans="1:17" x14ac:dyDescent="0.3">
      <c r="A2270" s="22">
        <v>28</v>
      </c>
      <c r="B2270" s="19">
        <v>100</v>
      </c>
      <c r="C2270" s="20">
        <f>Sales!$B2270*Sales!$A2270</f>
        <v>2800</v>
      </c>
      <c r="D2270" s="21">
        <v>38296</v>
      </c>
      <c r="E2270" s="22" t="s">
        <v>9</v>
      </c>
      <c r="F2270" s="22">
        <v>4</v>
      </c>
      <c r="G2270" s="22">
        <v>11</v>
      </c>
      <c r="H2270" s="22">
        <v>2004</v>
      </c>
      <c r="I2270" s="22" t="s">
        <v>119</v>
      </c>
      <c r="J2270" s="20">
        <v>62</v>
      </c>
      <c r="K2270" s="20">
        <f>Sales!$B2270-Sales!$J2270</f>
        <v>38</v>
      </c>
      <c r="L2270" s="23">
        <f>(Sales!$J2270-Sales!$B2270)/Sales!$J2270</f>
        <v>-0.61290322580645162</v>
      </c>
      <c r="M2270" s="23" t="str">
        <f t="shared" si="35"/>
        <v>Below 0%</v>
      </c>
      <c r="N2270" s="22" t="s">
        <v>35</v>
      </c>
      <c r="O2270" s="22" t="s">
        <v>25</v>
      </c>
      <c r="P2270" s="22" t="s">
        <v>17</v>
      </c>
      <c r="Q2270" s="22" t="s">
        <v>19</v>
      </c>
    </row>
    <row r="2271" spans="1:17" x14ac:dyDescent="0.3">
      <c r="A2271" s="27">
        <v>31</v>
      </c>
      <c r="B2271" s="24">
        <v>84.71</v>
      </c>
      <c r="C2271" s="25">
        <f>Sales!$B2271*Sales!$A2271</f>
        <v>2626.0099999999998</v>
      </c>
      <c r="D2271" s="26">
        <v>38311</v>
      </c>
      <c r="E2271" s="27" t="s">
        <v>9</v>
      </c>
      <c r="F2271" s="27">
        <v>4</v>
      </c>
      <c r="G2271" s="27">
        <v>11</v>
      </c>
      <c r="H2271" s="27">
        <v>2004</v>
      </c>
      <c r="I2271" s="27" t="s">
        <v>119</v>
      </c>
      <c r="J2271" s="25">
        <v>62</v>
      </c>
      <c r="K2271" s="25">
        <f>Sales!$B2271-Sales!$J2271</f>
        <v>22.709999999999994</v>
      </c>
      <c r="L2271" s="28">
        <f>(Sales!$J2271-Sales!$B2271)/Sales!$J2271</f>
        <v>-0.36629032258064503</v>
      </c>
      <c r="M2271" s="28" t="str">
        <f t="shared" si="35"/>
        <v>Below 0%</v>
      </c>
      <c r="N2271" s="27" t="s">
        <v>18</v>
      </c>
      <c r="O2271" s="27" t="s">
        <v>16</v>
      </c>
      <c r="P2271" s="27" t="s">
        <v>17</v>
      </c>
      <c r="Q2271" s="27" t="s">
        <v>14</v>
      </c>
    </row>
    <row r="2272" spans="1:17" x14ac:dyDescent="0.3">
      <c r="A2272" s="22">
        <v>27</v>
      </c>
      <c r="B2272" s="19">
        <v>100</v>
      </c>
      <c r="C2272" s="20">
        <f>Sales!$B2272*Sales!$A2272</f>
        <v>2700</v>
      </c>
      <c r="D2272" s="21">
        <v>38323</v>
      </c>
      <c r="E2272" s="22" t="s">
        <v>9</v>
      </c>
      <c r="F2272" s="22">
        <v>4</v>
      </c>
      <c r="G2272" s="22">
        <v>12</v>
      </c>
      <c r="H2272" s="22">
        <v>2004</v>
      </c>
      <c r="I2272" s="22" t="s">
        <v>119</v>
      </c>
      <c r="J2272" s="20">
        <v>62</v>
      </c>
      <c r="K2272" s="20">
        <f>Sales!$B2272-Sales!$J2272</f>
        <v>38</v>
      </c>
      <c r="L2272" s="23">
        <f>(Sales!$J2272-Sales!$B2272)/Sales!$J2272</f>
        <v>-0.61290322580645162</v>
      </c>
      <c r="M2272" s="23" t="str">
        <f t="shared" si="35"/>
        <v>Below 0%</v>
      </c>
      <c r="N2272" s="22" t="s">
        <v>45</v>
      </c>
      <c r="O2272" s="22" t="s">
        <v>46</v>
      </c>
      <c r="P2272" s="22" t="s">
        <v>17</v>
      </c>
      <c r="Q2272" s="22" t="s">
        <v>19</v>
      </c>
    </row>
    <row r="2273" spans="1:17" x14ac:dyDescent="0.3">
      <c r="A2273" s="27">
        <v>22</v>
      </c>
      <c r="B2273" s="24">
        <v>100</v>
      </c>
      <c r="C2273" s="25">
        <f>Sales!$B2273*Sales!$A2273</f>
        <v>2200</v>
      </c>
      <c r="D2273" s="26">
        <v>38336</v>
      </c>
      <c r="E2273" s="27" t="s">
        <v>9</v>
      </c>
      <c r="F2273" s="27">
        <v>4</v>
      </c>
      <c r="G2273" s="27">
        <v>12</v>
      </c>
      <c r="H2273" s="27">
        <v>2004</v>
      </c>
      <c r="I2273" s="27" t="s">
        <v>119</v>
      </c>
      <c r="J2273" s="25">
        <v>62</v>
      </c>
      <c r="K2273" s="25">
        <f>Sales!$B2273-Sales!$J2273</f>
        <v>38</v>
      </c>
      <c r="L2273" s="28">
        <f>(Sales!$J2273-Sales!$B2273)/Sales!$J2273</f>
        <v>-0.61290322580645162</v>
      </c>
      <c r="M2273" s="28" t="str">
        <f t="shared" si="35"/>
        <v>Below 0%</v>
      </c>
      <c r="N2273" s="27" t="s">
        <v>15</v>
      </c>
      <c r="O2273" s="27" t="s">
        <v>16</v>
      </c>
      <c r="P2273" s="27" t="s">
        <v>17</v>
      </c>
      <c r="Q2273" s="27" t="s">
        <v>19</v>
      </c>
    </row>
    <row r="2274" spans="1:17" x14ac:dyDescent="0.3">
      <c r="A2274" s="22">
        <v>30</v>
      </c>
      <c r="B2274" s="19">
        <v>99.55</v>
      </c>
      <c r="C2274" s="20">
        <f>Sales!$B2274*Sales!$A2274</f>
        <v>2986.5</v>
      </c>
      <c r="D2274" s="21">
        <v>38375</v>
      </c>
      <c r="E2274" s="22" t="s">
        <v>9</v>
      </c>
      <c r="F2274" s="22">
        <v>1</v>
      </c>
      <c r="G2274" s="22">
        <v>1</v>
      </c>
      <c r="H2274" s="22">
        <v>2005</v>
      </c>
      <c r="I2274" s="22" t="s">
        <v>119</v>
      </c>
      <c r="J2274" s="20">
        <v>62</v>
      </c>
      <c r="K2274" s="20">
        <f>Sales!$B2274-Sales!$J2274</f>
        <v>37.549999999999997</v>
      </c>
      <c r="L2274" s="23">
        <f>(Sales!$J2274-Sales!$B2274)/Sales!$J2274</f>
        <v>-0.60564516129032253</v>
      </c>
      <c r="M2274" s="23" t="str">
        <f t="shared" si="35"/>
        <v>Below 0%</v>
      </c>
      <c r="N2274" s="22" t="s">
        <v>64</v>
      </c>
      <c r="O2274" s="22" t="s">
        <v>12</v>
      </c>
      <c r="P2274" s="22" t="s">
        <v>13</v>
      </c>
      <c r="Q2274" s="22" t="s">
        <v>14</v>
      </c>
    </row>
    <row r="2275" spans="1:17" x14ac:dyDescent="0.3">
      <c r="A2275" s="27">
        <v>44</v>
      </c>
      <c r="B2275" s="24">
        <v>36.07</v>
      </c>
      <c r="C2275" s="25">
        <f>Sales!$B2275*Sales!$A2275</f>
        <v>1587.08</v>
      </c>
      <c r="D2275" s="26">
        <v>38405</v>
      </c>
      <c r="E2275" s="27" t="s">
        <v>9</v>
      </c>
      <c r="F2275" s="27">
        <v>1</v>
      </c>
      <c r="G2275" s="27">
        <v>2</v>
      </c>
      <c r="H2275" s="27">
        <v>2005</v>
      </c>
      <c r="I2275" s="27" t="s">
        <v>119</v>
      </c>
      <c r="J2275" s="25">
        <v>62</v>
      </c>
      <c r="K2275" s="25">
        <f>Sales!$B2275-Sales!$J2275</f>
        <v>-25.93</v>
      </c>
      <c r="L2275" s="28">
        <f>(Sales!$J2275-Sales!$B2275)/Sales!$J2275</f>
        <v>0.41822580645161289</v>
      </c>
      <c r="M2275" s="28" t="str">
        <f t="shared" si="35"/>
        <v>+20%</v>
      </c>
      <c r="N2275" s="27" t="s">
        <v>45</v>
      </c>
      <c r="O2275" s="27" t="s">
        <v>46</v>
      </c>
      <c r="P2275" s="27" t="s">
        <v>17</v>
      </c>
      <c r="Q2275" s="27" t="s">
        <v>14</v>
      </c>
    </row>
    <row r="2276" spans="1:17" x14ac:dyDescent="0.3">
      <c r="A2276" s="22">
        <v>30</v>
      </c>
      <c r="B2276" s="19">
        <v>60.28</v>
      </c>
      <c r="C2276" s="20">
        <f>Sales!$B2276*Sales!$A2276</f>
        <v>1808.4</v>
      </c>
      <c r="D2276" s="21">
        <v>38426</v>
      </c>
      <c r="E2276" s="22" t="s">
        <v>9</v>
      </c>
      <c r="F2276" s="22">
        <v>1</v>
      </c>
      <c r="G2276" s="22">
        <v>3</v>
      </c>
      <c r="H2276" s="22">
        <v>2005</v>
      </c>
      <c r="I2276" s="22" t="s">
        <v>119</v>
      </c>
      <c r="J2276" s="20">
        <v>62</v>
      </c>
      <c r="K2276" s="20">
        <f>Sales!$B2276-Sales!$J2276</f>
        <v>-1.7199999999999989</v>
      </c>
      <c r="L2276" s="23">
        <f>(Sales!$J2276-Sales!$B2276)/Sales!$J2276</f>
        <v>2.7741935483870949E-2</v>
      </c>
      <c r="M2276" s="23" t="str">
        <f t="shared" si="35"/>
        <v>0%-5%</v>
      </c>
      <c r="N2276" s="22" t="s">
        <v>45</v>
      </c>
      <c r="O2276" s="22" t="s">
        <v>46</v>
      </c>
      <c r="P2276" s="22" t="s">
        <v>17</v>
      </c>
      <c r="Q2276" s="22" t="s">
        <v>14</v>
      </c>
    </row>
    <row r="2277" spans="1:17" x14ac:dyDescent="0.3">
      <c r="A2277" s="27">
        <v>24</v>
      </c>
      <c r="B2277" s="24">
        <v>49.71</v>
      </c>
      <c r="C2277" s="25">
        <f>Sales!$B2277*Sales!$A2277</f>
        <v>1193.04</v>
      </c>
      <c r="D2277" s="26">
        <v>38477</v>
      </c>
      <c r="E2277" s="27" t="s">
        <v>9</v>
      </c>
      <c r="F2277" s="27">
        <v>2</v>
      </c>
      <c r="G2277" s="27">
        <v>5</v>
      </c>
      <c r="H2277" s="27">
        <v>2005</v>
      </c>
      <c r="I2277" s="27" t="s">
        <v>119</v>
      </c>
      <c r="J2277" s="25">
        <v>62</v>
      </c>
      <c r="K2277" s="25">
        <f>Sales!$B2277-Sales!$J2277</f>
        <v>-12.29</v>
      </c>
      <c r="L2277" s="28">
        <f>(Sales!$J2277-Sales!$B2277)/Sales!$J2277</f>
        <v>0.19822580645161289</v>
      </c>
      <c r="M2277" s="28" t="str">
        <f t="shared" si="35"/>
        <v>15%-20%</v>
      </c>
      <c r="N2277" s="27" t="s">
        <v>30</v>
      </c>
      <c r="O2277" s="27" t="s">
        <v>12</v>
      </c>
      <c r="P2277" s="27" t="s">
        <v>13</v>
      </c>
      <c r="Q2277" s="27" t="s">
        <v>14</v>
      </c>
    </row>
    <row r="2278" spans="1:17" x14ac:dyDescent="0.3">
      <c r="A2278" s="22">
        <v>45</v>
      </c>
      <c r="B2278" s="19">
        <v>75.63</v>
      </c>
      <c r="C2278" s="20">
        <f>Sales!$B2278*Sales!$A2278</f>
        <v>3403.35</v>
      </c>
      <c r="D2278" s="21">
        <v>37650</v>
      </c>
      <c r="E2278" s="22" t="s">
        <v>9</v>
      </c>
      <c r="F2278" s="22">
        <v>1</v>
      </c>
      <c r="G2278" s="22">
        <v>1</v>
      </c>
      <c r="H2278" s="22">
        <v>2003</v>
      </c>
      <c r="I2278" s="22" t="s">
        <v>104</v>
      </c>
      <c r="J2278" s="20">
        <v>64</v>
      </c>
      <c r="K2278" s="20">
        <f>Sales!$B2278-Sales!$J2278</f>
        <v>11.629999999999995</v>
      </c>
      <c r="L2278" s="23">
        <f>(Sales!$J2278-Sales!$B2278)/Sales!$J2278</f>
        <v>-0.18171874999999993</v>
      </c>
      <c r="M2278" s="23" t="str">
        <f t="shared" si="35"/>
        <v>Below 0%</v>
      </c>
      <c r="N2278" s="22" t="s">
        <v>35</v>
      </c>
      <c r="O2278" s="22" t="s">
        <v>25</v>
      </c>
      <c r="P2278" s="22" t="s">
        <v>17</v>
      </c>
      <c r="Q2278" s="22" t="s">
        <v>19</v>
      </c>
    </row>
    <row r="2279" spans="1:17" x14ac:dyDescent="0.3">
      <c r="A2279" s="27">
        <v>23</v>
      </c>
      <c r="B2279" s="24">
        <v>68.52</v>
      </c>
      <c r="C2279" s="25">
        <f>Sales!$B2279*Sales!$A2279</f>
        <v>1575.9599999999998</v>
      </c>
      <c r="D2279" s="26">
        <v>37706</v>
      </c>
      <c r="E2279" s="27" t="s">
        <v>9</v>
      </c>
      <c r="F2279" s="27">
        <v>1</v>
      </c>
      <c r="G2279" s="27">
        <v>3</v>
      </c>
      <c r="H2279" s="27">
        <v>2003</v>
      </c>
      <c r="I2279" s="27" t="s">
        <v>104</v>
      </c>
      <c r="J2279" s="25">
        <v>64</v>
      </c>
      <c r="K2279" s="25">
        <f>Sales!$B2279-Sales!$J2279</f>
        <v>4.519999999999996</v>
      </c>
      <c r="L2279" s="28">
        <f>(Sales!$J2279-Sales!$B2279)/Sales!$J2279</f>
        <v>-7.0624999999999938E-2</v>
      </c>
      <c r="M2279" s="28" t="str">
        <f t="shared" si="35"/>
        <v>Below 0%</v>
      </c>
      <c r="N2279" s="27" t="s">
        <v>64</v>
      </c>
      <c r="O2279" s="27" t="s">
        <v>12</v>
      </c>
      <c r="P2279" s="27" t="s">
        <v>13</v>
      </c>
      <c r="Q2279" s="27" t="s">
        <v>14</v>
      </c>
    </row>
    <row r="2280" spans="1:17" x14ac:dyDescent="0.3">
      <c r="A2280" s="22">
        <v>26</v>
      </c>
      <c r="B2280" s="19">
        <v>62.7</v>
      </c>
      <c r="C2280" s="20">
        <f>Sales!$B2280*Sales!$A2280</f>
        <v>1630.2</v>
      </c>
      <c r="D2280" s="21">
        <v>37769</v>
      </c>
      <c r="E2280" s="22" t="s">
        <v>9</v>
      </c>
      <c r="F2280" s="22">
        <v>2</v>
      </c>
      <c r="G2280" s="22">
        <v>5</v>
      </c>
      <c r="H2280" s="22">
        <v>2003</v>
      </c>
      <c r="I2280" s="22" t="s">
        <v>104</v>
      </c>
      <c r="J2280" s="20">
        <v>64</v>
      </c>
      <c r="K2280" s="20">
        <f>Sales!$B2280-Sales!$J2280</f>
        <v>-1.2999999999999972</v>
      </c>
      <c r="L2280" s="23">
        <f>(Sales!$J2280-Sales!$B2280)/Sales!$J2280</f>
        <v>2.0312499999999956E-2</v>
      </c>
      <c r="M2280" s="23" t="str">
        <f t="shared" si="35"/>
        <v>0%-5%</v>
      </c>
      <c r="N2280" s="22" t="s">
        <v>45</v>
      </c>
      <c r="O2280" s="22" t="s">
        <v>46</v>
      </c>
      <c r="P2280" s="22" t="s">
        <v>17</v>
      </c>
      <c r="Q2280" s="22" t="s">
        <v>14</v>
      </c>
    </row>
    <row r="2281" spans="1:17" x14ac:dyDescent="0.3">
      <c r="A2281" s="27">
        <v>28</v>
      </c>
      <c r="B2281" s="24">
        <v>60.76</v>
      </c>
      <c r="C2281" s="25">
        <f>Sales!$B2281*Sales!$A2281</f>
        <v>1701.28</v>
      </c>
      <c r="D2281" s="26">
        <v>37826</v>
      </c>
      <c r="E2281" s="27" t="s">
        <v>9</v>
      </c>
      <c r="F2281" s="27">
        <v>3</v>
      </c>
      <c r="G2281" s="27">
        <v>7</v>
      </c>
      <c r="H2281" s="27">
        <v>2003</v>
      </c>
      <c r="I2281" s="27" t="s">
        <v>104</v>
      </c>
      <c r="J2281" s="25">
        <v>64</v>
      </c>
      <c r="K2281" s="25">
        <f>Sales!$B2281-Sales!$J2281</f>
        <v>-3.240000000000002</v>
      </c>
      <c r="L2281" s="28">
        <f>(Sales!$J2281-Sales!$B2281)/Sales!$J2281</f>
        <v>5.0625000000000031E-2</v>
      </c>
      <c r="M2281" s="28" t="s">
        <v>131</v>
      </c>
      <c r="N2281" s="27" t="s">
        <v>22</v>
      </c>
      <c r="O2281" s="27" t="s">
        <v>12</v>
      </c>
      <c r="P2281" s="27" t="s">
        <v>13</v>
      </c>
      <c r="Q2281" s="27" t="s">
        <v>14</v>
      </c>
    </row>
    <row r="2282" spans="1:17" x14ac:dyDescent="0.3">
      <c r="A2282" s="22">
        <v>49</v>
      </c>
      <c r="B2282" s="19">
        <v>58.18</v>
      </c>
      <c r="C2282" s="20">
        <f>Sales!$B2282*Sales!$A2282</f>
        <v>2850.82</v>
      </c>
      <c r="D2282" s="21">
        <v>37883</v>
      </c>
      <c r="E2282" s="22" t="s">
        <v>9</v>
      </c>
      <c r="F2282" s="22">
        <v>3</v>
      </c>
      <c r="G2282" s="22">
        <v>9</v>
      </c>
      <c r="H2282" s="22">
        <v>2003</v>
      </c>
      <c r="I2282" s="22" t="s">
        <v>104</v>
      </c>
      <c r="J2282" s="20">
        <v>64</v>
      </c>
      <c r="K2282" s="20">
        <f>Sales!$B2282-Sales!$J2282</f>
        <v>-5.82</v>
      </c>
      <c r="L2282" s="23">
        <f>(Sales!$J2282-Sales!$B2282)/Sales!$J2282</f>
        <v>9.0937500000000004E-2</v>
      </c>
      <c r="M2282" s="23" t="str">
        <f t="shared" si="35"/>
        <v>5%-10%</v>
      </c>
      <c r="N2282" s="22" t="s">
        <v>50</v>
      </c>
      <c r="O2282" s="22" t="s">
        <v>50</v>
      </c>
      <c r="P2282" s="22" t="s">
        <v>28</v>
      </c>
      <c r="Q2282" s="22" t="s">
        <v>14</v>
      </c>
    </row>
    <row r="2283" spans="1:17" x14ac:dyDescent="0.3">
      <c r="A2283" s="27">
        <v>49</v>
      </c>
      <c r="B2283" s="24">
        <v>54.94</v>
      </c>
      <c r="C2283" s="25">
        <f>Sales!$B2283*Sales!$A2283</f>
        <v>2692.06</v>
      </c>
      <c r="D2283" s="26">
        <v>37915</v>
      </c>
      <c r="E2283" s="27" t="s">
        <v>88</v>
      </c>
      <c r="F2283" s="27">
        <v>4</v>
      </c>
      <c r="G2283" s="27">
        <v>10</v>
      </c>
      <c r="H2283" s="27">
        <v>2003</v>
      </c>
      <c r="I2283" s="27" t="s">
        <v>104</v>
      </c>
      <c r="J2283" s="25">
        <v>64</v>
      </c>
      <c r="K2283" s="25">
        <f>Sales!$B2283-Sales!$J2283</f>
        <v>-9.0600000000000023</v>
      </c>
      <c r="L2283" s="28">
        <f>(Sales!$J2283-Sales!$B2283)/Sales!$J2283</f>
        <v>0.14156250000000004</v>
      </c>
      <c r="M2283" s="28" t="str">
        <f t="shared" si="35"/>
        <v>10%-15%</v>
      </c>
      <c r="N2283" s="27" t="s">
        <v>89</v>
      </c>
      <c r="O2283" s="27" t="s">
        <v>38</v>
      </c>
      <c r="P2283" s="27" t="s">
        <v>17</v>
      </c>
      <c r="Q2283" s="27" t="s">
        <v>14</v>
      </c>
    </row>
    <row r="2284" spans="1:17" x14ac:dyDescent="0.3">
      <c r="A2284" s="22">
        <v>29</v>
      </c>
      <c r="B2284" s="19">
        <v>74.98</v>
      </c>
      <c r="C2284" s="20">
        <f>Sales!$B2284*Sales!$A2284</f>
        <v>2174.42</v>
      </c>
      <c r="D2284" s="21">
        <v>37931</v>
      </c>
      <c r="E2284" s="22" t="s">
        <v>9</v>
      </c>
      <c r="F2284" s="22">
        <v>4</v>
      </c>
      <c r="G2284" s="22">
        <v>11</v>
      </c>
      <c r="H2284" s="22">
        <v>2003</v>
      </c>
      <c r="I2284" s="22" t="s">
        <v>104</v>
      </c>
      <c r="J2284" s="20">
        <v>64</v>
      </c>
      <c r="K2284" s="20">
        <f>Sales!$B2284-Sales!$J2284</f>
        <v>10.980000000000004</v>
      </c>
      <c r="L2284" s="23">
        <f>(Sales!$J2284-Sales!$B2284)/Sales!$J2284</f>
        <v>-0.17156250000000006</v>
      </c>
      <c r="M2284" s="23" t="str">
        <f t="shared" si="35"/>
        <v>Below 0%</v>
      </c>
      <c r="N2284" s="22" t="s">
        <v>74</v>
      </c>
      <c r="O2284" s="22" t="s">
        <v>43</v>
      </c>
      <c r="P2284" s="22" t="s">
        <v>17</v>
      </c>
      <c r="Q2284" s="22" t="s">
        <v>14</v>
      </c>
    </row>
    <row r="2285" spans="1:17" x14ac:dyDescent="0.3">
      <c r="A2285" s="27">
        <v>49</v>
      </c>
      <c r="B2285" s="24">
        <v>64.64</v>
      </c>
      <c r="C2285" s="25">
        <f>Sales!$B2285*Sales!$A2285</f>
        <v>3167.36</v>
      </c>
      <c r="D2285" s="26">
        <v>37938</v>
      </c>
      <c r="E2285" s="27" t="s">
        <v>9</v>
      </c>
      <c r="F2285" s="27">
        <v>4</v>
      </c>
      <c r="G2285" s="27">
        <v>11</v>
      </c>
      <c r="H2285" s="27">
        <v>2003</v>
      </c>
      <c r="I2285" s="27" t="s">
        <v>104</v>
      </c>
      <c r="J2285" s="25">
        <v>64</v>
      </c>
      <c r="K2285" s="25">
        <f>Sales!$B2285-Sales!$J2285</f>
        <v>0.64000000000000057</v>
      </c>
      <c r="L2285" s="28">
        <f>(Sales!$J2285-Sales!$B2285)/Sales!$J2285</f>
        <v>-1.0000000000000009E-2</v>
      </c>
      <c r="M2285" s="28" t="str">
        <f t="shared" si="35"/>
        <v>Below 0%</v>
      </c>
      <c r="N2285" s="27" t="s">
        <v>53</v>
      </c>
      <c r="O2285" s="27" t="s">
        <v>12</v>
      </c>
      <c r="P2285" s="27" t="s">
        <v>13</v>
      </c>
      <c r="Q2285" s="27" t="s">
        <v>19</v>
      </c>
    </row>
    <row r="2286" spans="1:17" x14ac:dyDescent="0.3">
      <c r="A2286" s="22">
        <v>39</v>
      </c>
      <c r="B2286" s="19">
        <v>54.94</v>
      </c>
      <c r="C2286" s="20">
        <f>Sales!$B2286*Sales!$A2286</f>
        <v>2142.66</v>
      </c>
      <c r="D2286" s="21">
        <v>37950</v>
      </c>
      <c r="E2286" s="22" t="s">
        <v>9</v>
      </c>
      <c r="F2286" s="22">
        <v>4</v>
      </c>
      <c r="G2286" s="22">
        <v>11</v>
      </c>
      <c r="H2286" s="22">
        <v>2003</v>
      </c>
      <c r="I2286" s="22" t="s">
        <v>104</v>
      </c>
      <c r="J2286" s="20">
        <v>64</v>
      </c>
      <c r="K2286" s="20">
        <f>Sales!$B2286-Sales!$J2286</f>
        <v>-9.0600000000000023</v>
      </c>
      <c r="L2286" s="23">
        <f>(Sales!$J2286-Sales!$B2286)/Sales!$J2286</f>
        <v>0.14156250000000004</v>
      </c>
      <c r="M2286" s="23" t="str">
        <f t="shared" si="35"/>
        <v>10%-15%</v>
      </c>
      <c r="N2286" s="22" t="s">
        <v>54</v>
      </c>
      <c r="O2286" s="22" t="s">
        <v>16</v>
      </c>
      <c r="P2286" s="22" t="s">
        <v>17</v>
      </c>
      <c r="Q2286" s="22" t="s">
        <v>14</v>
      </c>
    </row>
    <row r="2287" spans="1:17" x14ac:dyDescent="0.3">
      <c r="A2287" s="27">
        <v>36</v>
      </c>
      <c r="B2287" s="24">
        <v>58.82</v>
      </c>
      <c r="C2287" s="25">
        <f>Sales!$B2287*Sales!$A2287</f>
        <v>2117.52</v>
      </c>
      <c r="D2287" s="26">
        <v>37960</v>
      </c>
      <c r="E2287" s="27" t="s">
        <v>9</v>
      </c>
      <c r="F2287" s="27">
        <v>4</v>
      </c>
      <c r="G2287" s="27">
        <v>12</v>
      </c>
      <c r="H2287" s="27">
        <v>2003</v>
      </c>
      <c r="I2287" s="27" t="s">
        <v>104</v>
      </c>
      <c r="J2287" s="25">
        <v>64</v>
      </c>
      <c r="K2287" s="25">
        <f>Sales!$B2287-Sales!$J2287</f>
        <v>-5.18</v>
      </c>
      <c r="L2287" s="28">
        <f>(Sales!$J2287-Sales!$B2287)/Sales!$J2287</f>
        <v>8.0937499999999996E-2</v>
      </c>
      <c r="M2287" s="28" t="str">
        <f t="shared" si="35"/>
        <v>5%-10%</v>
      </c>
      <c r="N2287" s="27" t="s">
        <v>55</v>
      </c>
      <c r="O2287" s="27" t="s">
        <v>56</v>
      </c>
      <c r="P2287" s="27" t="s">
        <v>13</v>
      </c>
      <c r="Q2287" s="27" t="s">
        <v>14</v>
      </c>
    </row>
    <row r="2288" spans="1:17" x14ac:dyDescent="0.3">
      <c r="A2288" s="22">
        <v>39</v>
      </c>
      <c r="B2288" s="19">
        <v>62.05</v>
      </c>
      <c r="C2288" s="20">
        <f>Sales!$B2288*Sales!$A2288</f>
        <v>2419.9499999999998</v>
      </c>
      <c r="D2288" s="21">
        <v>38021</v>
      </c>
      <c r="E2288" s="22" t="s">
        <v>9</v>
      </c>
      <c r="F2288" s="22">
        <v>1</v>
      </c>
      <c r="G2288" s="22">
        <v>2</v>
      </c>
      <c r="H2288" s="22">
        <v>2004</v>
      </c>
      <c r="I2288" s="22" t="s">
        <v>104</v>
      </c>
      <c r="J2288" s="20">
        <v>64</v>
      </c>
      <c r="K2288" s="20">
        <f>Sales!$B2288-Sales!$J2288</f>
        <v>-1.9500000000000028</v>
      </c>
      <c r="L2288" s="23">
        <f>(Sales!$J2288-Sales!$B2288)/Sales!$J2288</f>
        <v>3.0468750000000044E-2</v>
      </c>
      <c r="M2288" s="23" t="str">
        <f t="shared" si="35"/>
        <v>0%-5%</v>
      </c>
      <c r="N2288" s="22" t="s">
        <v>50</v>
      </c>
      <c r="O2288" s="22" t="s">
        <v>50</v>
      </c>
      <c r="P2288" s="22" t="s">
        <v>28</v>
      </c>
      <c r="Q2288" s="22" t="s">
        <v>14</v>
      </c>
    </row>
    <row r="2289" spans="1:17" x14ac:dyDescent="0.3">
      <c r="A2289" s="27">
        <v>30</v>
      </c>
      <c r="B2289" s="24">
        <v>73.040000000000006</v>
      </c>
      <c r="C2289" s="25">
        <f>Sales!$B2289*Sales!$A2289</f>
        <v>2191.2000000000003</v>
      </c>
      <c r="D2289" s="26">
        <v>38057</v>
      </c>
      <c r="E2289" s="27" t="s">
        <v>9</v>
      </c>
      <c r="F2289" s="27">
        <v>1</v>
      </c>
      <c r="G2289" s="27">
        <v>3</v>
      </c>
      <c r="H2289" s="27">
        <v>2004</v>
      </c>
      <c r="I2289" s="27" t="s">
        <v>104</v>
      </c>
      <c r="J2289" s="25">
        <v>64</v>
      </c>
      <c r="K2289" s="25">
        <f>Sales!$B2289-Sales!$J2289</f>
        <v>9.0400000000000063</v>
      </c>
      <c r="L2289" s="28">
        <f>(Sales!$J2289-Sales!$B2289)/Sales!$J2289</f>
        <v>-0.1412500000000001</v>
      </c>
      <c r="M2289" s="28" t="str">
        <f t="shared" si="35"/>
        <v>Below 0%</v>
      </c>
      <c r="N2289" s="27" t="s">
        <v>64</v>
      </c>
      <c r="O2289" s="27" t="s">
        <v>12</v>
      </c>
      <c r="P2289" s="27" t="s">
        <v>13</v>
      </c>
      <c r="Q2289" s="27" t="s">
        <v>14</v>
      </c>
    </row>
    <row r="2290" spans="1:17" x14ac:dyDescent="0.3">
      <c r="A2290" s="22">
        <v>44</v>
      </c>
      <c r="B2290" s="19">
        <v>69.16</v>
      </c>
      <c r="C2290" s="20">
        <f>Sales!$B2290*Sales!$A2290</f>
        <v>3043.04</v>
      </c>
      <c r="D2290" s="21">
        <v>38111</v>
      </c>
      <c r="E2290" s="22" t="s">
        <v>9</v>
      </c>
      <c r="F2290" s="22">
        <v>2</v>
      </c>
      <c r="G2290" s="22">
        <v>5</v>
      </c>
      <c r="H2290" s="22">
        <v>2004</v>
      </c>
      <c r="I2290" s="22" t="s">
        <v>104</v>
      </c>
      <c r="J2290" s="20">
        <v>64</v>
      </c>
      <c r="K2290" s="20">
        <f>Sales!$B2290-Sales!$J2290</f>
        <v>5.1599999999999966</v>
      </c>
      <c r="L2290" s="23">
        <f>(Sales!$J2290-Sales!$B2290)/Sales!$J2290</f>
        <v>-8.0624999999999947E-2</v>
      </c>
      <c r="M2290" s="23" t="str">
        <f t="shared" si="35"/>
        <v>Below 0%</v>
      </c>
      <c r="N2290" s="22" t="s">
        <v>58</v>
      </c>
      <c r="O2290" s="22" t="s">
        <v>12</v>
      </c>
      <c r="P2290" s="22" t="s">
        <v>13</v>
      </c>
      <c r="Q2290" s="22" t="s">
        <v>19</v>
      </c>
    </row>
    <row r="2291" spans="1:17" x14ac:dyDescent="0.3">
      <c r="A2291" s="27">
        <v>20</v>
      </c>
      <c r="B2291" s="24">
        <v>61.41</v>
      </c>
      <c r="C2291" s="25">
        <f>Sales!$B2291*Sales!$A2291</f>
        <v>1228.1999999999998</v>
      </c>
      <c r="D2291" s="26">
        <v>38153</v>
      </c>
      <c r="E2291" s="27" t="s">
        <v>9</v>
      </c>
      <c r="F2291" s="27">
        <v>2</v>
      </c>
      <c r="G2291" s="27">
        <v>6</v>
      </c>
      <c r="H2291" s="27">
        <v>2004</v>
      </c>
      <c r="I2291" s="27" t="s">
        <v>104</v>
      </c>
      <c r="J2291" s="25">
        <v>64</v>
      </c>
      <c r="K2291" s="25">
        <f>Sales!$B2291-Sales!$J2291</f>
        <v>-2.5900000000000034</v>
      </c>
      <c r="L2291" s="28">
        <f>(Sales!$J2291-Sales!$B2291)/Sales!$J2291</f>
        <v>4.0468750000000053E-2</v>
      </c>
      <c r="M2291" s="28" t="str">
        <f t="shared" si="35"/>
        <v>0%-5%</v>
      </c>
      <c r="N2291" s="27" t="s">
        <v>59</v>
      </c>
      <c r="O2291" s="27" t="s">
        <v>51</v>
      </c>
      <c r="P2291" s="27" t="s">
        <v>51</v>
      </c>
      <c r="Q2291" s="27" t="s">
        <v>14</v>
      </c>
    </row>
    <row r="2292" spans="1:17" x14ac:dyDescent="0.3">
      <c r="A2292" s="22">
        <v>21</v>
      </c>
      <c r="B2292" s="19">
        <v>63.35</v>
      </c>
      <c r="C2292" s="20">
        <f>Sales!$B2292*Sales!$A2292</f>
        <v>1330.3500000000001</v>
      </c>
      <c r="D2292" s="21">
        <v>38187</v>
      </c>
      <c r="E2292" s="22" t="s">
        <v>9</v>
      </c>
      <c r="F2292" s="22">
        <v>3</v>
      </c>
      <c r="G2292" s="22">
        <v>7</v>
      </c>
      <c r="H2292" s="22">
        <v>2004</v>
      </c>
      <c r="I2292" s="22" t="s">
        <v>104</v>
      </c>
      <c r="J2292" s="20">
        <v>64</v>
      </c>
      <c r="K2292" s="20">
        <f>Sales!$B2292-Sales!$J2292</f>
        <v>-0.64999999999999858</v>
      </c>
      <c r="L2292" s="23">
        <f>(Sales!$J2292-Sales!$B2292)/Sales!$J2292</f>
        <v>1.0156249999999978E-2</v>
      </c>
      <c r="M2292" s="23" t="str">
        <f t="shared" si="35"/>
        <v>0%-5%</v>
      </c>
      <c r="N2292" s="22" t="s">
        <v>40</v>
      </c>
      <c r="O2292" s="22" t="s">
        <v>27</v>
      </c>
      <c r="P2292" s="22" t="s">
        <v>28</v>
      </c>
      <c r="Q2292" s="22" t="s">
        <v>14</v>
      </c>
    </row>
    <row r="2293" spans="1:17" x14ac:dyDescent="0.3">
      <c r="A2293" s="27">
        <v>36</v>
      </c>
      <c r="B2293" s="24">
        <v>77.569999999999993</v>
      </c>
      <c r="C2293" s="25">
        <f>Sales!$B2293*Sales!$A2293</f>
        <v>2792.5199999999995</v>
      </c>
      <c r="D2293" s="26">
        <v>38218</v>
      </c>
      <c r="E2293" s="27" t="s">
        <v>9</v>
      </c>
      <c r="F2293" s="27">
        <v>3</v>
      </c>
      <c r="G2293" s="27">
        <v>8</v>
      </c>
      <c r="H2293" s="27">
        <v>2004</v>
      </c>
      <c r="I2293" s="27" t="s">
        <v>104</v>
      </c>
      <c r="J2293" s="25">
        <v>64</v>
      </c>
      <c r="K2293" s="25">
        <f>Sales!$B2293-Sales!$J2293</f>
        <v>13.569999999999993</v>
      </c>
      <c r="L2293" s="28">
        <f>(Sales!$J2293-Sales!$B2293)/Sales!$J2293</f>
        <v>-0.21203124999999989</v>
      </c>
      <c r="M2293" s="28" t="str">
        <f t="shared" si="35"/>
        <v>Below 0%</v>
      </c>
      <c r="N2293" s="27" t="s">
        <v>36</v>
      </c>
      <c r="O2293" s="27" t="s">
        <v>12</v>
      </c>
      <c r="P2293" s="27" t="s">
        <v>13</v>
      </c>
      <c r="Q2293" s="27" t="s">
        <v>14</v>
      </c>
    </row>
    <row r="2294" spans="1:17" x14ac:dyDescent="0.3">
      <c r="A2294" s="22">
        <v>32</v>
      </c>
      <c r="B2294" s="19">
        <v>71.75</v>
      </c>
      <c r="C2294" s="20">
        <f>Sales!$B2294*Sales!$A2294</f>
        <v>2296</v>
      </c>
      <c r="D2294" s="21">
        <v>38238</v>
      </c>
      <c r="E2294" s="22" t="s">
        <v>9</v>
      </c>
      <c r="F2294" s="22">
        <v>3</v>
      </c>
      <c r="G2294" s="22">
        <v>9</v>
      </c>
      <c r="H2294" s="22">
        <v>2004</v>
      </c>
      <c r="I2294" s="22" t="s">
        <v>104</v>
      </c>
      <c r="J2294" s="20">
        <v>64</v>
      </c>
      <c r="K2294" s="20">
        <f>Sales!$B2294-Sales!$J2294</f>
        <v>7.75</v>
      </c>
      <c r="L2294" s="23">
        <f>(Sales!$J2294-Sales!$B2294)/Sales!$J2294</f>
        <v>-0.12109375</v>
      </c>
      <c r="M2294" s="23" t="str">
        <f t="shared" si="35"/>
        <v>Below 0%</v>
      </c>
      <c r="N2294" s="22" t="s">
        <v>62</v>
      </c>
      <c r="O2294" s="22" t="s">
        <v>49</v>
      </c>
      <c r="P2294" s="22" t="s">
        <v>17</v>
      </c>
      <c r="Q2294" s="22" t="s">
        <v>14</v>
      </c>
    </row>
    <row r="2295" spans="1:17" x14ac:dyDescent="0.3">
      <c r="A2295" s="27">
        <v>36</v>
      </c>
      <c r="B2295" s="24">
        <v>73.040000000000006</v>
      </c>
      <c r="C2295" s="25">
        <f>Sales!$B2295*Sales!$A2295</f>
        <v>2629.44</v>
      </c>
      <c r="D2295" s="26">
        <v>38271</v>
      </c>
      <c r="E2295" s="27" t="s">
        <v>9</v>
      </c>
      <c r="F2295" s="27">
        <v>4</v>
      </c>
      <c r="G2295" s="27">
        <v>10</v>
      </c>
      <c r="H2295" s="27">
        <v>2004</v>
      </c>
      <c r="I2295" s="27" t="s">
        <v>104</v>
      </c>
      <c r="J2295" s="25">
        <v>64</v>
      </c>
      <c r="K2295" s="25">
        <f>Sales!$B2295-Sales!$J2295</f>
        <v>9.0400000000000063</v>
      </c>
      <c r="L2295" s="28">
        <f>(Sales!$J2295-Sales!$B2295)/Sales!$J2295</f>
        <v>-0.1412500000000001</v>
      </c>
      <c r="M2295" s="28" t="str">
        <f t="shared" si="35"/>
        <v>Below 0%</v>
      </c>
      <c r="N2295" s="27" t="s">
        <v>63</v>
      </c>
      <c r="O2295" s="27" t="s">
        <v>16</v>
      </c>
      <c r="P2295" s="27" t="s">
        <v>17</v>
      </c>
      <c r="Q2295" s="27" t="s">
        <v>14</v>
      </c>
    </row>
    <row r="2296" spans="1:17" x14ac:dyDescent="0.3">
      <c r="A2296" s="22">
        <v>34</v>
      </c>
      <c r="B2296" s="19">
        <v>56.24</v>
      </c>
      <c r="C2296" s="20">
        <f>Sales!$B2296*Sales!$A2296</f>
        <v>1912.16</v>
      </c>
      <c r="D2296" s="21">
        <v>38282</v>
      </c>
      <c r="E2296" s="22" t="s">
        <v>9</v>
      </c>
      <c r="F2296" s="22">
        <v>4</v>
      </c>
      <c r="G2296" s="22">
        <v>10</v>
      </c>
      <c r="H2296" s="22">
        <v>2004</v>
      </c>
      <c r="I2296" s="22" t="s">
        <v>104</v>
      </c>
      <c r="J2296" s="20">
        <v>64</v>
      </c>
      <c r="K2296" s="20">
        <f>Sales!$B2296-Sales!$J2296</f>
        <v>-7.759999999999998</v>
      </c>
      <c r="L2296" s="23">
        <f>(Sales!$J2296-Sales!$B2296)/Sales!$J2296</f>
        <v>0.12124999999999997</v>
      </c>
      <c r="M2296" s="23" t="str">
        <f t="shared" si="35"/>
        <v>10%-15%</v>
      </c>
      <c r="N2296" s="22" t="s">
        <v>55</v>
      </c>
      <c r="O2296" s="22" t="s">
        <v>56</v>
      </c>
      <c r="P2296" s="22" t="s">
        <v>13</v>
      </c>
      <c r="Q2296" s="22" t="s">
        <v>14</v>
      </c>
    </row>
    <row r="2297" spans="1:17" x14ac:dyDescent="0.3">
      <c r="A2297" s="27">
        <v>48</v>
      </c>
      <c r="B2297" s="24">
        <v>100</v>
      </c>
      <c r="C2297" s="25">
        <f>Sales!$B2297*Sales!$A2297</f>
        <v>4800</v>
      </c>
      <c r="D2297" s="26">
        <v>38296</v>
      </c>
      <c r="E2297" s="27" t="s">
        <v>9</v>
      </c>
      <c r="F2297" s="27">
        <v>4</v>
      </c>
      <c r="G2297" s="27">
        <v>11</v>
      </c>
      <c r="H2297" s="27">
        <v>2004</v>
      </c>
      <c r="I2297" s="27" t="s">
        <v>104</v>
      </c>
      <c r="J2297" s="25">
        <v>64</v>
      </c>
      <c r="K2297" s="25">
        <f>Sales!$B2297-Sales!$J2297</f>
        <v>36</v>
      </c>
      <c r="L2297" s="28">
        <f>(Sales!$J2297-Sales!$B2297)/Sales!$J2297</f>
        <v>-0.5625</v>
      </c>
      <c r="M2297" s="28" t="str">
        <f t="shared" si="35"/>
        <v>Below 0%</v>
      </c>
      <c r="N2297" s="27" t="s">
        <v>11</v>
      </c>
      <c r="O2297" s="27" t="s">
        <v>12</v>
      </c>
      <c r="P2297" s="27" t="s">
        <v>13</v>
      </c>
      <c r="Q2297" s="27" t="s">
        <v>39</v>
      </c>
    </row>
    <row r="2298" spans="1:17" x14ac:dyDescent="0.3">
      <c r="A2298" s="22">
        <v>33</v>
      </c>
      <c r="B2298" s="19">
        <v>73.69</v>
      </c>
      <c r="C2298" s="20">
        <f>Sales!$B2298*Sales!$A2298</f>
        <v>2431.77</v>
      </c>
      <c r="D2298" s="21">
        <v>38309</v>
      </c>
      <c r="E2298" s="22" t="s">
        <v>9</v>
      </c>
      <c r="F2298" s="22">
        <v>4</v>
      </c>
      <c r="G2298" s="22">
        <v>11</v>
      </c>
      <c r="H2298" s="22">
        <v>2004</v>
      </c>
      <c r="I2298" s="22" t="s">
        <v>104</v>
      </c>
      <c r="J2298" s="20">
        <v>64</v>
      </c>
      <c r="K2298" s="20">
        <f>Sales!$B2298-Sales!$J2298</f>
        <v>9.6899999999999977</v>
      </c>
      <c r="L2298" s="23">
        <f>(Sales!$J2298-Sales!$B2298)/Sales!$J2298</f>
        <v>-0.15140624999999996</v>
      </c>
      <c r="M2298" s="23" t="str">
        <f t="shared" si="35"/>
        <v>Below 0%</v>
      </c>
      <c r="N2298" s="22" t="s">
        <v>21</v>
      </c>
      <c r="O2298" s="22" t="s">
        <v>12</v>
      </c>
      <c r="P2298" s="22" t="s">
        <v>13</v>
      </c>
      <c r="Q2298" s="22" t="s">
        <v>14</v>
      </c>
    </row>
    <row r="2299" spans="1:17" x14ac:dyDescent="0.3">
      <c r="A2299" s="27">
        <v>31</v>
      </c>
      <c r="B2299" s="24">
        <v>100</v>
      </c>
      <c r="C2299" s="25">
        <f>Sales!$B2299*Sales!$A2299</f>
        <v>3100</v>
      </c>
      <c r="D2299" s="26">
        <v>38292</v>
      </c>
      <c r="E2299" s="27" t="s">
        <v>9</v>
      </c>
      <c r="F2299" s="27">
        <v>4</v>
      </c>
      <c r="G2299" s="27">
        <v>11</v>
      </c>
      <c r="H2299" s="27">
        <v>2004</v>
      </c>
      <c r="I2299" s="27" t="s">
        <v>104</v>
      </c>
      <c r="J2299" s="25">
        <v>64</v>
      </c>
      <c r="K2299" s="25">
        <f>Sales!$B2299-Sales!$J2299</f>
        <v>36</v>
      </c>
      <c r="L2299" s="28">
        <f>(Sales!$J2299-Sales!$B2299)/Sales!$J2299</f>
        <v>-0.5625</v>
      </c>
      <c r="M2299" s="28" t="str">
        <f t="shared" si="35"/>
        <v>Below 0%</v>
      </c>
      <c r="N2299" s="27" t="s">
        <v>45</v>
      </c>
      <c r="O2299" s="27" t="s">
        <v>46</v>
      </c>
      <c r="P2299" s="27" t="s">
        <v>17</v>
      </c>
      <c r="Q2299" s="27" t="s">
        <v>19</v>
      </c>
    </row>
    <row r="2300" spans="1:17" x14ac:dyDescent="0.3">
      <c r="A2300" s="22">
        <v>36</v>
      </c>
      <c r="B2300" s="19">
        <v>100</v>
      </c>
      <c r="C2300" s="20">
        <f>Sales!$B2300*Sales!$A2300</f>
        <v>3600</v>
      </c>
      <c r="D2300" s="21">
        <v>38331</v>
      </c>
      <c r="E2300" s="22" t="s">
        <v>9</v>
      </c>
      <c r="F2300" s="22">
        <v>4</v>
      </c>
      <c r="G2300" s="22">
        <v>12</v>
      </c>
      <c r="H2300" s="22">
        <v>2004</v>
      </c>
      <c r="I2300" s="22" t="s">
        <v>104</v>
      </c>
      <c r="J2300" s="20">
        <v>64</v>
      </c>
      <c r="K2300" s="20">
        <f>Sales!$B2300-Sales!$J2300</f>
        <v>36</v>
      </c>
      <c r="L2300" s="23">
        <f>(Sales!$J2300-Sales!$B2300)/Sales!$J2300</f>
        <v>-0.5625</v>
      </c>
      <c r="M2300" s="23" t="str">
        <f t="shared" si="35"/>
        <v>Below 0%</v>
      </c>
      <c r="N2300" s="22" t="s">
        <v>45</v>
      </c>
      <c r="O2300" s="22" t="s">
        <v>46</v>
      </c>
      <c r="P2300" s="22" t="s">
        <v>17</v>
      </c>
      <c r="Q2300" s="22" t="s">
        <v>19</v>
      </c>
    </row>
    <row r="2301" spans="1:17" x14ac:dyDescent="0.3">
      <c r="A2301" s="27">
        <v>25</v>
      </c>
      <c r="B2301" s="24">
        <v>100</v>
      </c>
      <c r="C2301" s="25">
        <f>Sales!$B2301*Sales!$A2301</f>
        <v>2500</v>
      </c>
      <c r="D2301" s="26">
        <v>38372</v>
      </c>
      <c r="E2301" s="27" t="s">
        <v>9</v>
      </c>
      <c r="F2301" s="27">
        <v>1</v>
      </c>
      <c r="G2301" s="27">
        <v>1</v>
      </c>
      <c r="H2301" s="27">
        <v>2005</v>
      </c>
      <c r="I2301" s="27" t="s">
        <v>104</v>
      </c>
      <c r="J2301" s="25">
        <v>64</v>
      </c>
      <c r="K2301" s="25">
        <f>Sales!$B2301-Sales!$J2301</f>
        <v>36</v>
      </c>
      <c r="L2301" s="28">
        <f>(Sales!$J2301-Sales!$B2301)/Sales!$J2301</f>
        <v>-0.5625</v>
      </c>
      <c r="M2301" s="28" t="str">
        <f t="shared" si="35"/>
        <v>Below 0%</v>
      </c>
      <c r="N2301" s="27" t="s">
        <v>67</v>
      </c>
      <c r="O2301" s="27" t="s">
        <v>27</v>
      </c>
      <c r="P2301" s="27" t="s">
        <v>28</v>
      </c>
      <c r="Q2301" s="27" t="s">
        <v>19</v>
      </c>
    </row>
    <row r="2302" spans="1:17" x14ac:dyDescent="0.3">
      <c r="A2302" s="22">
        <v>48</v>
      </c>
      <c r="B2302" s="19">
        <v>100</v>
      </c>
      <c r="C2302" s="20">
        <f>Sales!$B2302*Sales!$A2302</f>
        <v>4800</v>
      </c>
      <c r="D2302" s="21">
        <v>38400</v>
      </c>
      <c r="E2302" s="22" t="s">
        <v>9</v>
      </c>
      <c r="F2302" s="22">
        <v>1</v>
      </c>
      <c r="G2302" s="22">
        <v>2</v>
      </c>
      <c r="H2302" s="22">
        <v>2005</v>
      </c>
      <c r="I2302" s="22" t="s">
        <v>104</v>
      </c>
      <c r="J2302" s="20">
        <v>64</v>
      </c>
      <c r="K2302" s="20">
        <f>Sales!$B2302-Sales!$J2302</f>
        <v>36</v>
      </c>
      <c r="L2302" s="23">
        <f>(Sales!$J2302-Sales!$B2302)/Sales!$J2302</f>
        <v>-0.5625</v>
      </c>
      <c r="M2302" s="23" t="str">
        <f t="shared" si="35"/>
        <v>Below 0%</v>
      </c>
      <c r="N2302" s="22" t="s">
        <v>64</v>
      </c>
      <c r="O2302" s="22" t="s">
        <v>12</v>
      </c>
      <c r="P2302" s="22" t="s">
        <v>13</v>
      </c>
      <c r="Q2302" s="22" t="s">
        <v>19</v>
      </c>
    </row>
    <row r="2303" spans="1:17" x14ac:dyDescent="0.3">
      <c r="A2303" s="27">
        <v>27</v>
      </c>
      <c r="B2303" s="24">
        <v>69.16</v>
      </c>
      <c r="C2303" s="25">
        <f>Sales!$B2303*Sales!$A2303</f>
        <v>1867.32</v>
      </c>
      <c r="D2303" s="26">
        <v>38473</v>
      </c>
      <c r="E2303" s="27" t="s">
        <v>9</v>
      </c>
      <c r="F2303" s="27">
        <v>2</v>
      </c>
      <c r="G2303" s="27">
        <v>5</v>
      </c>
      <c r="H2303" s="27">
        <v>2005</v>
      </c>
      <c r="I2303" s="27" t="s">
        <v>104</v>
      </c>
      <c r="J2303" s="25">
        <v>64</v>
      </c>
      <c r="K2303" s="25">
        <f>Sales!$B2303-Sales!$J2303</f>
        <v>5.1599999999999966</v>
      </c>
      <c r="L2303" s="28">
        <f>(Sales!$J2303-Sales!$B2303)/Sales!$J2303</f>
        <v>-8.0624999999999947E-2</v>
      </c>
      <c r="M2303" s="28" t="str">
        <f t="shared" si="35"/>
        <v>Below 0%</v>
      </c>
      <c r="N2303" s="27" t="s">
        <v>68</v>
      </c>
      <c r="O2303" s="27" t="s">
        <v>56</v>
      </c>
      <c r="P2303" s="27" t="s">
        <v>13</v>
      </c>
      <c r="Q2303" s="27" t="s">
        <v>14</v>
      </c>
    </row>
    <row r="2304" spans="1:17" x14ac:dyDescent="0.3">
      <c r="A2304" s="22">
        <v>44</v>
      </c>
      <c r="B2304" s="19">
        <v>61.41</v>
      </c>
      <c r="C2304" s="20">
        <f>Sales!$B2304*Sales!$A2304</f>
        <v>2702.04</v>
      </c>
      <c r="D2304" s="21">
        <v>38503</v>
      </c>
      <c r="E2304" s="22" t="s">
        <v>69</v>
      </c>
      <c r="F2304" s="22">
        <v>2</v>
      </c>
      <c r="G2304" s="22">
        <v>5</v>
      </c>
      <c r="H2304" s="22">
        <v>2005</v>
      </c>
      <c r="I2304" s="22" t="s">
        <v>104</v>
      </c>
      <c r="J2304" s="20">
        <v>64</v>
      </c>
      <c r="K2304" s="20">
        <f>Sales!$B2304-Sales!$J2304</f>
        <v>-2.5900000000000034</v>
      </c>
      <c r="L2304" s="23">
        <f>(Sales!$J2304-Sales!$B2304)/Sales!$J2304</f>
        <v>4.0468750000000053E-2</v>
      </c>
      <c r="M2304" s="23" t="str">
        <f t="shared" si="35"/>
        <v>0%-5%</v>
      </c>
      <c r="N2304" s="22" t="s">
        <v>45</v>
      </c>
      <c r="O2304" s="22" t="s">
        <v>46</v>
      </c>
      <c r="P2304" s="22" t="s">
        <v>17</v>
      </c>
      <c r="Q2304" s="22" t="s">
        <v>14</v>
      </c>
    </row>
    <row r="2305" spans="1:17" x14ac:dyDescent="0.3">
      <c r="A2305" s="27">
        <v>33</v>
      </c>
      <c r="B2305" s="24">
        <v>72.92</v>
      </c>
      <c r="C2305" s="25">
        <f>Sales!$B2305*Sales!$A2305</f>
        <v>2406.36</v>
      </c>
      <c r="D2305" s="26">
        <v>37669</v>
      </c>
      <c r="E2305" s="27" t="s">
        <v>9</v>
      </c>
      <c r="F2305" s="27">
        <v>1</v>
      </c>
      <c r="G2305" s="27">
        <v>2</v>
      </c>
      <c r="H2305" s="27">
        <v>2003</v>
      </c>
      <c r="I2305" s="27" t="s">
        <v>112</v>
      </c>
      <c r="J2305" s="25">
        <v>68</v>
      </c>
      <c r="K2305" s="25">
        <f>Sales!$B2305-Sales!$J2305</f>
        <v>4.9200000000000017</v>
      </c>
      <c r="L2305" s="28">
        <f>(Sales!$J2305-Sales!$B2305)/Sales!$J2305</f>
        <v>-7.235294117647062E-2</v>
      </c>
      <c r="M2305" s="28" t="str">
        <f t="shared" si="35"/>
        <v>Below 0%</v>
      </c>
      <c r="N2305" s="27" t="s">
        <v>113</v>
      </c>
      <c r="O2305" s="27" t="s">
        <v>61</v>
      </c>
      <c r="P2305" s="27" t="s">
        <v>17</v>
      </c>
      <c r="Q2305" s="27" t="s">
        <v>14</v>
      </c>
    </row>
    <row r="2306" spans="1:17" x14ac:dyDescent="0.3">
      <c r="A2306" s="22">
        <v>29</v>
      </c>
      <c r="B2306" s="19">
        <v>72.23</v>
      </c>
      <c r="C2306" s="20">
        <f>Sales!$B2306*Sales!$A2306</f>
        <v>2094.67</v>
      </c>
      <c r="D2306" s="21">
        <v>37740</v>
      </c>
      <c r="E2306" s="22" t="s">
        <v>9</v>
      </c>
      <c r="F2306" s="22">
        <v>2</v>
      </c>
      <c r="G2306" s="22">
        <v>4</v>
      </c>
      <c r="H2306" s="22">
        <v>2003</v>
      </c>
      <c r="I2306" s="22" t="s">
        <v>112</v>
      </c>
      <c r="J2306" s="20">
        <v>68</v>
      </c>
      <c r="K2306" s="20">
        <f>Sales!$B2306-Sales!$J2306</f>
        <v>4.230000000000004</v>
      </c>
      <c r="L2306" s="23">
        <f>(Sales!$J2306-Sales!$B2306)/Sales!$J2306</f>
        <v>-6.2205882352941236E-2</v>
      </c>
      <c r="M2306" s="23" t="str">
        <f t="shared" si="35"/>
        <v>Below 0%</v>
      </c>
      <c r="N2306" s="22" t="s">
        <v>26</v>
      </c>
      <c r="O2306" s="22" t="s">
        <v>27</v>
      </c>
      <c r="P2306" s="22" t="s">
        <v>28</v>
      </c>
      <c r="Q2306" s="22" t="s">
        <v>14</v>
      </c>
    </row>
    <row r="2307" spans="1:17" x14ac:dyDescent="0.3">
      <c r="A2307" s="27">
        <v>49</v>
      </c>
      <c r="B2307" s="24">
        <v>57.1</v>
      </c>
      <c r="C2307" s="25">
        <f>Sales!$B2307*Sales!$A2307</f>
        <v>2797.9</v>
      </c>
      <c r="D2307" s="26">
        <v>37799</v>
      </c>
      <c r="E2307" s="27" t="s">
        <v>9</v>
      </c>
      <c r="F2307" s="27">
        <v>2</v>
      </c>
      <c r="G2307" s="27">
        <v>6</v>
      </c>
      <c r="H2307" s="27">
        <v>2003</v>
      </c>
      <c r="I2307" s="27" t="s">
        <v>112</v>
      </c>
      <c r="J2307" s="25">
        <v>68</v>
      </c>
      <c r="K2307" s="25">
        <f>Sales!$B2307-Sales!$J2307</f>
        <v>-10.899999999999999</v>
      </c>
      <c r="L2307" s="28">
        <f>(Sales!$J2307-Sales!$B2307)/Sales!$J2307</f>
        <v>0.16029411764705881</v>
      </c>
      <c r="M2307" s="28" t="str">
        <f t="shared" ref="M2307:M2370" si="36">IF(L2307&lt;0%,"Below 0%",IF(L2307=0%,"0%",IF(AND(L2307&lt;=5%,L2307&gt;0%),"0%-5%",IF(AND(L2307&lt;=10%,L2307&gt;5%),"5%-10%",IF(AND(L2307&lt;=15%,L2307&gt;10%),"10%-15%",IF(AND(L2307&lt;=20%,L2307&gt;15%),"15%-20%","+20%"))))))</f>
        <v>15%-20%</v>
      </c>
      <c r="N2307" s="27" t="s">
        <v>45</v>
      </c>
      <c r="O2307" s="27" t="s">
        <v>46</v>
      </c>
      <c r="P2307" s="27" t="s">
        <v>17</v>
      </c>
      <c r="Q2307" s="27" t="s">
        <v>14</v>
      </c>
    </row>
    <row r="2308" spans="1:17" x14ac:dyDescent="0.3">
      <c r="A2308" s="22">
        <v>20</v>
      </c>
      <c r="B2308" s="19">
        <v>81.86</v>
      </c>
      <c r="C2308" s="20">
        <f>Sales!$B2308*Sales!$A2308</f>
        <v>1637.2</v>
      </c>
      <c r="D2308" s="21">
        <v>37846</v>
      </c>
      <c r="E2308" s="22" t="s">
        <v>9</v>
      </c>
      <c r="F2308" s="22">
        <v>3</v>
      </c>
      <c r="G2308" s="22">
        <v>8</v>
      </c>
      <c r="H2308" s="22">
        <v>2003</v>
      </c>
      <c r="I2308" s="22" t="s">
        <v>112</v>
      </c>
      <c r="J2308" s="20">
        <v>68</v>
      </c>
      <c r="K2308" s="20">
        <f>Sales!$B2308-Sales!$J2308</f>
        <v>13.86</v>
      </c>
      <c r="L2308" s="23">
        <f>(Sales!$J2308-Sales!$B2308)/Sales!$J2308</f>
        <v>-0.20382352941176471</v>
      </c>
      <c r="M2308" s="23" t="str">
        <f t="shared" si="36"/>
        <v>Below 0%</v>
      </c>
      <c r="N2308" s="22" t="s">
        <v>117</v>
      </c>
      <c r="O2308" s="22" t="s">
        <v>81</v>
      </c>
      <c r="P2308" s="22" t="s">
        <v>17</v>
      </c>
      <c r="Q2308" s="22" t="s">
        <v>14</v>
      </c>
    </row>
    <row r="2309" spans="1:17" x14ac:dyDescent="0.3">
      <c r="A2309" s="27">
        <v>31</v>
      </c>
      <c r="B2309" s="24">
        <v>73.61</v>
      </c>
      <c r="C2309" s="25">
        <f>Sales!$B2309*Sales!$A2309</f>
        <v>2281.91</v>
      </c>
      <c r="D2309" s="26">
        <v>37922</v>
      </c>
      <c r="E2309" s="27" t="s">
        <v>9</v>
      </c>
      <c r="F2309" s="27">
        <v>4</v>
      </c>
      <c r="G2309" s="27">
        <v>10</v>
      </c>
      <c r="H2309" s="27">
        <v>2003</v>
      </c>
      <c r="I2309" s="27" t="s">
        <v>112</v>
      </c>
      <c r="J2309" s="25">
        <v>68</v>
      </c>
      <c r="K2309" s="25">
        <f>Sales!$B2309-Sales!$J2309</f>
        <v>5.6099999999999994</v>
      </c>
      <c r="L2309" s="28">
        <f>(Sales!$J2309-Sales!$B2309)/Sales!$J2309</f>
        <v>-8.249999999999999E-2</v>
      </c>
      <c r="M2309" s="28" t="str">
        <f t="shared" si="36"/>
        <v>Below 0%</v>
      </c>
      <c r="N2309" s="27" t="s">
        <v>22</v>
      </c>
      <c r="O2309" s="27" t="s">
        <v>12</v>
      </c>
      <c r="P2309" s="27" t="s">
        <v>13</v>
      </c>
      <c r="Q2309" s="27" t="s">
        <v>14</v>
      </c>
    </row>
    <row r="2310" spans="1:17" x14ac:dyDescent="0.3">
      <c r="A2310" s="22">
        <v>39</v>
      </c>
      <c r="B2310" s="19">
        <v>59.16</v>
      </c>
      <c r="C2310" s="20">
        <f>Sales!$B2310*Sales!$A2310</f>
        <v>2307.2399999999998</v>
      </c>
      <c r="D2310" s="21">
        <v>37998</v>
      </c>
      <c r="E2310" s="22" t="s">
        <v>9</v>
      </c>
      <c r="F2310" s="22">
        <v>1</v>
      </c>
      <c r="G2310" s="22">
        <v>1</v>
      </c>
      <c r="H2310" s="22">
        <v>2004</v>
      </c>
      <c r="I2310" s="22" t="s">
        <v>112</v>
      </c>
      <c r="J2310" s="20">
        <v>68</v>
      </c>
      <c r="K2310" s="20">
        <f>Sales!$B2310-Sales!$J2310</f>
        <v>-8.8400000000000034</v>
      </c>
      <c r="L2310" s="23">
        <f>(Sales!$J2310-Sales!$B2310)/Sales!$J2310</f>
        <v>0.13000000000000006</v>
      </c>
      <c r="M2310" s="23" t="str">
        <f t="shared" si="36"/>
        <v>10%-15%</v>
      </c>
      <c r="N2310" s="22" t="s">
        <v>70</v>
      </c>
      <c r="O2310" s="22" t="s">
        <v>51</v>
      </c>
      <c r="P2310" s="22" t="s">
        <v>51</v>
      </c>
      <c r="Q2310" s="22" t="s">
        <v>14</v>
      </c>
    </row>
    <row r="2311" spans="1:17" x14ac:dyDescent="0.3">
      <c r="A2311" s="27">
        <v>20</v>
      </c>
      <c r="B2311" s="24">
        <v>66.040000000000006</v>
      </c>
      <c r="C2311" s="25">
        <f>Sales!$B2311*Sales!$A2311</f>
        <v>1320.8000000000002</v>
      </c>
      <c r="D2311" s="26">
        <v>38037</v>
      </c>
      <c r="E2311" s="27" t="s">
        <v>9</v>
      </c>
      <c r="F2311" s="27">
        <v>1</v>
      </c>
      <c r="G2311" s="27">
        <v>2</v>
      </c>
      <c r="H2311" s="27">
        <v>2004</v>
      </c>
      <c r="I2311" s="27" t="s">
        <v>112</v>
      </c>
      <c r="J2311" s="25">
        <v>68</v>
      </c>
      <c r="K2311" s="25">
        <f>Sales!$B2311-Sales!$J2311</f>
        <v>-1.9599999999999937</v>
      </c>
      <c r="L2311" s="28">
        <f>(Sales!$J2311-Sales!$B2311)/Sales!$J2311</f>
        <v>2.8823529411764613E-2</v>
      </c>
      <c r="M2311" s="28" t="str">
        <f t="shared" si="36"/>
        <v>0%-5%</v>
      </c>
      <c r="N2311" s="27" t="s">
        <v>26</v>
      </c>
      <c r="O2311" s="27" t="s">
        <v>27</v>
      </c>
      <c r="P2311" s="27" t="s">
        <v>28</v>
      </c>
      <c r="Q2311" s="27" t="s">
        <v>14</v>
      </c>
    </row>
    <row r="2312" spans="1:17" x14ac:dyDescent="0.3">
      <c r="A2312" s="22">
        <v>34</v>
      </c>
      <c r="B2312" s="19">
        <v>77.73</v>
      </c>
      <c r="C2312" s="20">
        <f>Sales!$B2312*Sales!$A2312</f>
        <v>2642.82</v>
      </c>
      <c r="D2312" s="21">
        <v>38079</v>
      </c>
      <c r="E2312" s="22" t="s">
        <v>9</v>
      </c>
      <c r="F2312" s="22">
        <v>2</v>
      </c>
      <c r="G2312" s="22">
        <v>4</v>
      </c>
      <c r="H2312" s="22">
        <v>2004</v>
      </c>
      <c r="I2312" s="22" t="s">
        <v>112</v>
      </c>
      <c r="J2312" s="20">
        <v>68</v>
      </c>
      <c r="K2312" s="20">
        <f>Sales!$B2312-Sales!$J2312</f>
        <v>9.730000000000004</v>
      </c>
      <c r="L2312" s="23">
        <f>(Sales!$J2312-Sales!$B2312)/Sales!$J2312</f>
        <v>-0.14308823529411771</v>
      </c>
      <c r="M2312" s="23" t="str">
        <f t="shared" si="36"/>
        <v>Below 0%</v>
      </c>
      <c r="N2312" s="22" t="s">
        <v>82</v>
      </c>
      <c r="O2312" s="22" t="s">
        <v>56</v>
      </c>
      <c r="P2312" s="22" t="s">
        <v>13</v>
      </c>
      <c r="Q2312" s="22" t="s">
        <v>14</v>
      </c>
    </row>
    <row r="2313" spans="1:17" x14ac:dyDescent="0.3">
      <c r="A2313" s="27">
        <v>50</v>
      </c>
      <c r="B2313" s="24">
        <v>61.22</v>
      </c>
      <c r="C2313" s="25">
        <f>Sales!$B2313*Sales!$A2313</f>
        <v>3061</v>
      </c>
      <c r="D2313" s="26">
        <v>38118</v>
      </c>
      <c r="E2313" s="27" t="s">
        <v>9</v>
      </c>
      <c r="F2313" s="27">
        <v>2</v>
      </c>
      <c r="G2313" s="27">
        <v>5</v>
      </c>
      <c r="H2313" s="27">
        <v>2004</v>
      </c>
      <c r="I2313" s="27" t="s">
        <v>112</v>
      </c>
      <c r="J2313" s="25">
        <v>68</v>
      </c>
      <c r="K2313" s="25">
        <f>Sales!$B2313-Sales!$J2313</f>
        <v>-6.7800000000000011</v>
      </c>
      <c r="L2313" s="28">
        <f>(Sales!$J2313-Sales!$B2313)/Sales!$J2313</f>
        <v>9.97058823529412E-2</v>
      </c>
      <c r="M2313" s="28" t="str">
        <f t="shared" si="36"/>
        <v>5%-10%</v>
      </c>
      <c r="N2313" s="27" t="s">
        <v>86</v>
      </c>
      <c r="O2313" s="27" t="s">
        <v>12</v>
      </c>
      <c r="P2313" s="27" t="s">
        <v>13</v>
      </c>
      <c r="Q2313" s="27" t="s">
        <v>19</v>
      </c>
    </row>
    <row r="2314" spans="1:17" x14ac:dyDescent="0.3">
      <c r="A2314" s="22">
        <v>40</v>
      </c>
      <c r="B2314" s="19">
        <v>79.11</v>
      </c>
      <c r="C2314" s="20">
        <f>Sales!$B2314*Sales!$A2314</f>
        <v>3164.4</v>
      </c>
      <c r="D2314" s="21">
        <v>38162</v>
      </c>
      <c r="E2314" s="22" t="s">
        <v>75</v>
      </c>
      <c r="F2314" s="22">
        <v>2</v>
      </c>
      <c r="G2314" s="22">
        <v>6</v>
      </c>
      <c r="H2314" s="22">
        <v>2004</v>
      </c>
      <c r="I2314" s="22" t="s">
        <v>112</v>
      </c>
      <c r="J2314" s="20">
        <v>68</v>
      </c>
      <c r="K2314" s="20">
        <f>Sales!$B2314-Sales!$J2314</f>
        <v>11.11</v>
      </c>
      <c r="L2314" s="23">
        <f>(Sales!$J2314-Sales!$B2314)/Sales!$J2314</f>
        <v>-0.16338235294117645</v>
      </c>
      <c r="M2314" s="23" t="str">
        <f t="shared" si="36"/>
        <v>Below 0%</v>
      </c>
      <c r="N2314" s="22" t="s">
        <v>45</v>
      </c>
      <c r="O2314" s="22" t="s">
        <v>46</v>
      </c>
      <c r="P2314" s="22" t="s">
        <v>17</v>
      </c>
      <c r="Q2314" s="22" t="s">
        <v>19</v>
      </c>
    </row>
    <row r="2315" spans="1:17" x14ac:dyDescent="0.3">
      <c r="A2315" s="27">
        <v>28</v>
      </c>
      <c r="B2315" s="24">
        <v>63.97</v>
      </c>
      <c r="C2315" s="25">
        <f>Sales!$B2315*Sales!$A2315</f>
        <v>1791.1599999999999</v>
      </c>
      <c r="D2315" s="26">
        <v>38191</v>
      </c>
      <c r="E2315" s="27" t="s">
        <v>9</v>
      </c>
      <c r="F2315" s="27">
        <v>3</v>
      </c>
      <c r="G2315" s="27">
        <v>7</v>
      </c>
      <c r="H2315" s="27">
        <v>2004</v>
      </c>
      <c r="I2315" s="27" t="s">
        <v>112</v>
      </c>
      <c r="J2315" s="25">
        <v>68</v>
      </c>
      <c r="K2315" s="25">
        <f>Sales!$B2315-Sales!$J2315</f>
        <v>-4.0300000000000011</v>
      </c>
      <c r="L2315" s="28">
        <f>(Sales!$J2315-Sales!$B2315)/Sales!$J2315</f>
        <v>5.9264705882352955E-2</v>
      </c>
      <c r="M2315" s="28" t="str">
        <f t="shared" si="36"/>
        <v>5%-10%</v>
      </c>
      <c r="N2315" s="27" t="s">
        <v>31</v>
      </c>
      <c r="O2315" s="27" t="s">
        <v>16</v>
      </c>
      <c r="P2315" s="27" t="s">
        <v>17</v>
      </c>
      <c r="Q2315" s="27" t="s">
        <v>14</v>
      </c>
    </row>
    <row r="2316" spans="1:17" x14ac:dyDescent="0.3">
      <c r="A2316" s="22">
        <v>50</v>
      </c>
      <c r="B2316" s="19">
        <v>81.86</v>
      </c>
      <c r="C2316" s="20">
        <f>Sales!$B2316*Sales!$A2316</f>
        <v>4093</v>
      </c>
      <c r="D2316" s="21">
        <v>38220</v>
      </c>
      <c r="E2316" s="22" t="s">
        <v>9</v>
      </c>
      <c r="F2316" s="22">
        <v>3</v>
      </c>
      <c r="G2316" s="22">
        <v>8</v>
      </c>
      <c r="H2316" s="22">
        <v>2004</v>
      </c>
      <c r="I2316" s="22" t="s">
        <v>112</v>
      </c>
      <c r="J2316" s="20">
        <v>68</v>
      </c>
      <c r="K2316" s="20">
        <f>Sales!$B2316-Sales!$J2316</f>
        <v>13.86</v>
      </c>
      <c r="L2316" s="23">
        <f>(Sales!$J2316-Sales!$B2316)/Sales!$J2316</f>
        <v>-0.20382352941176471</v>
      </c>
      <c r="M2316" s="23" t="str">
        <f t="shared" si="36"/>
        <v>Below 0%</v>
      </c>
      <c r="N2316" s="22" t="s">
        <v>110</v>
      </c>
      <c r="O2316" s="22" t="s">
        <v>25</v>
      </c>
      <c r="P2316" s="22" t="s">
        <v>17</v>
      </c>
      <c r="Q2316" s="22" t="s">
        <v>19</v>
      </c>
    </row>
    <row r="2317" spans="1:17" x14ac:dyDescent="0.3">
      <c r="A2317" s="27">
        <v>28</v>
      </c>
      <c r="B2317" s="24">
        <v>79.8</v>
      </c>
      <c r="C2317" s="25">
        <f>Sales!$B2317*Sales!$A2317</f>
        <v>2234.4</v>
      </c>
      <c r="D2317" s="26">
        <v>38246</v>
      </c>
      <c r="E2317" s="27" t="s">
        <v>9</v>
      </c>
      <c r="F2317" s="27">
        <v>3</v>
      </c>
      <c r="G2317" s="27">
        <v>9</v>
      </c>
      <c r="H2317" s="27">
        <v>2004</v>
      </c>
      <c r="I2317" s="27" t="s">
        <v>112</v>
      </c>
      <c r="J2317" s="25">
        <v>68</v>
      </c>
      <c r="K2317" s="25">
        <f>Sales!$B2317-Sales!$J2317</f>
        <v>11.799999999999997</v>
      </c>
      <c r="L2317" s="28">
        <f>(Sales!$J2317-Sales!$B2317)/Sales!$J2317</f>
        <v>-0.17352941176470585</v>
      </c>
      <c r="M2317" s="28" t="str">
        <f t="shared" si="36"/>
        <v>Below 0%</v>
      </c>
      <c r="N2317" s="27" t="s">
        <v>100</v>
      </c>
      <c r="O2317" s="27" t="s">
        <v>101</v>
      </c>
      <c r="P2317" s="27" t="s">
        <v>17</v>
      </c>
      <c r="Q2317" s="27" t="s">
        <v>14</v>
      </c>
    </row>
    <row r="2318" spans="1:17" x14ac:dyDescent="0.3">
      <c r="A2318" s="22">
        <v>46</v>
      </c>
      <c r="B2318" s="19">
        <v>66.040000000000006</v>
      </c>
      <c r="C2318" s="20">
        <f>Sales!$B2318*Sales!$A2318</f>
        <v>3037.84</v>
      </c>
      <c r="D2318" s="21">
        <v>38275</v>
      </c>
      <c r="E2318" s="22" t="s">
        <v>9</v>
      </c>
      <c r="F2318" s="22">
        <v>4</v>
      </c>
      <c r="G2318" s="22">
        <v>10</v>
      </c>
      <c r="H2318" s="22">
        <v>2004</v>
      </c>
      <c r="I2318" s="22" t="s">
        <v>112</v>
      </c>
      <c r="J2318" s="20">
        <v>68</v>
      </c>
      <c r="K2318" s="20">
        <f>Sales!$B2318-Sales!$J2318</f>
        <v>-1.9599999999999937</v>
      </c>
      <c r="L2318" s="23">
        <f>(Sales!$J2318-Sales!$B2318)/Sales!$J2318</f>
        <v>2.8823529411764613E-2</v>
      </c>
      <c r="M2318" s="23" t="str">
        <f t="shared" si="36"/>
        <v>0%-5%</v>
      </c>
      <c r="N2318" s="22" t="s">
        <v>71</v>
      </c>
      <c r="O2318" s="22" t="s">
        <v>12</v>
      </c>
      <c r="P2318" s="22" t="s">
        <v>13</v>
      </c>
      <c r="Q2318" s="22" t="s">
        <v>19</v>
      </c>
    </row>
    <row r="2319" spans="1:17" x14ac:dyDescent="0.3">
      <c r="A2319" s="27">
        <v>24</v>
      </c>
      <c r="B2319" s="24">
        <v>59.16</v>
      </c>
      <c r="C2319" s="25">
        <f>Sales!$B2319*Sales!$A2319</f>
        <v>1419.84</v>
      </c>
      <c r="D2319" s="26">
        <v>38292</v>
      </c>
      <c r="E2319" s="27" t="s">
        <v>9</v>
      </c>
      <c r="F2319" s="27">
        <v>4</v>
      </c>
      <c r="G2319" s="27">
        <v>11</v>
      </c>
      <c r="H2319" s="27">
        <v>2004</v>
      </c>
      <c r="I2319" s="27" t="s">
        <v>112</v>
      </c>
      <c r="J2319" s="25">
        <v>68</v>
      </c>
      <c r="K2319" s="25">
        <f>Sales!$B2319-Sales!$J2319</f>
        <v>-8.8400000000000034</v>
      </c>
      <c r="L2319" s="28">
        <f>(Sales!$J2319-Sales!$B2319)/Sales!$J2319</f>
        <v>0.13000000000000006</v>
      </c>
      <c r="M2319" s="28" t="str">
        <f t="shared" si="36"/>
        <v>10%-15%</v>
      </c>
      <c r="N2319" s="27" t="s">
        <v>84</v>
      </c>
      <c r="O2319" s="27" t="s">
        <v>43</v>
      </c>
      <c r="P2319" s="27" t="s">
        <v>17</v>
      </c>
      <c r="Q2319" s="27" t="s">
        <v>14</v>
      </c>
    </row>
    <row r="2320" spans="1:17" x14ac:dyDescent="0.3">
      <c r="A2320" s="22">
        <v>24</v>
      </c>
      <c r="B2320" s="19">
        <v>81.17</v>
      </c>
      <c r="C2320" s="20">
        <f>Sales!$B2320*Sales!$A2320</f>
        <v>1948.08</v>
      </c>
      <c r="D2320" s="21">
        <v>38303</v>
      </c>
      <c r="E2320" s="22" t="s">
        <v>9</v>
      </c>
      <c r="F2320" s="22">
        <v>4</v>
      </c>
      <c r="G2320" s="22">
        <v>11</v>
      </c>
      <c r="H2320" s="22">
        <v>2004</v>
      </c>
      <c r="I2320" s="22" t="s">
        <v>112</v>
      </c>
      <c r="J2320" s="20">
        <v>68</v>
      </c>
      <c r="K2320" s="20">
        <f>Sales!$B2320-Sales!$J2320</f>
        <v>13.170000000000002</v>
      </c>
      <c r="L2320" s="23">
        <f>(Sales!$J2320-Sales!$B2320)/Sales!$J2320</f>
        <v>-0.19367647058823531</v>
      </c>
      <c r="M2320" s="23" t="str">
        <f t="shared" si="36"/>
        <v>Below 0%</v>
      </c>
      <c r="N2320" s="22" t="s">
        <v>113</v>
      </c>
      <c r="O2320" s="22" t="s">
        <v>61</v>
      </c>
      <c r="P2320" s="22" t="s">
        <v>17</v>
      </c>
      <c r="Q2320" s="22" t="s">
        <v>14</v>
      </c>
    </row>
    <row r="2321" spans="1:17" x14ac:dyDescent="0.3">
      <c r="A2321" s="27">
        <v>39</v>
      </c>
      <c r="B2321" s="24">
        <v>59.16</v>
      </c>
      <c r="C2321" s="25">
        <f>Sales!$B2321*Sales!$A2321</f>
        <v>2307.2399999999998</v>
      </c>
      <c r="D2321" s="26">
        <v>38315</v>
      </c>
      <c r="E2321" s="27" t="s">
        <v>9</v>
      </c>
      <c r="F2321" s="27">
        <v>4</v>
      </c>
      <c r="G2321" s="27">
        <v>11</v>
      </c>
      <c r="H2321" s="27">
        <v>2004</v>
      </c>
      <c r="I2321" s="27" t="s">
        <v>112</v>
      </c>
      <c r="J2321" s="25">
        <v>68</v>
      </c>
      <c r="K2321" s="25">
        <f>Sales!$B2321-Sales!$J2321</f>
        <v>-8.8400000000000034</v>
      </c>
      <c r="L2321" s="28">
        <f>(Sales!$J2321-Sales!$B2321)/Sales!$J2321</f>
        <v>0.13000000000000006</v>
      </c>
      <c r="M2321" s="28" t="str">
        <f t="shared" si="36"/>
        <v>10%-15%</v>
      </c>
      <c r="N2321" s="27" t="s">
        <v>77</v>
      </c>
      <c r="O2321" s="27" t="s">
        <v>46</v>
      </c>
      <c r="P2321" s="27" t="s">
        <v>17</v>
      </c>
      <c r="Q2321" s="27" t="s">
        <v>14</v>
      </c>
    </row>
    <row r="2322" spans="1:17" x14ac:dyDescent="0.3">
      <c r="A2322" s="22">
        <v>40</v>
      </c>
      <c r="B2322" s="19">
        <v>44.51</v>
      </c>
      <c r="C2322" s="20">
        <f>Sales!$B2322*Sales!$A2322</f>
        <v>1780.3999999999999</v>
      </c>
      <c r="D2322" s="21">
        <v>38325</v>
      </c>
      <c r="E2322" s="22" t="s">
        <v>9</v>
      </c>
      <c r="F2322" s="22">
        <v>4</v>
      </c>
      <c r="G2322" s="22">
        <v>12</v>
      </c>
      <c r="H2322" s="22">
        <v>2004</v>
      </c>
      <c r="I2322" s="22" t="s">
        <v>112</v>
      </c>
      <c r="J2322" s="20">
        <v>68</v>
      </c>
      <c r="K2322" s="20">
        <f>Sales!$B2322-Sales!$J2322</f>
        <v>-23.490000000000002</v>
      </c>
      <c r="L2322" s="23">
        <f>(Sales!$J2322-Sales!$B2322)/Sales!$J2322</f>
        <v>0.34544117647058825</v>
      </c>
      <c r="M2322" s="23" t="str">
        <f t="shared" si="36"/>
        <v>+20%</v>
      </c>
      <c r="N2322" s="22" t="s">
        <v>105</v>
      </c>
      <c r="O2322" s="22" t="s">
        <v>12</v>
      </c>
      <c r="P2322" s="22" t="s">
        <v>13</v>
      </c>
      <c r="Q2322" s="22" t="s">
        <v>14</v>
      </c>
    </row>
    <row r="2323" spans="1:17" x14ac:dyDescent="0.3">
      <c r="A2323" s="27">
        <v>49</v>
      </c>
      <c r="B2323" s="24">
        <v>72.33</v>
      </c>
      <c r="C2323" s="25">
        <f>Sales!$B2323*Sales!$A2323</f>
        <v>3544.17</v>
      </c>
      <c r="D2323" s="26">
        <v>38338</v>
      </c>
      <c r="E2323" s="27" t="s">
        <v>9</v>
      </c>
      <c r="F2323" s="27">
        <v>4</v>
      </c>
      <c r="G2323" s="27">
        <v>12</v>
      </c>
      <c r="H2323" s="27">
        <v>2004</v>
      </c>
      <c r="I2323" s="27" t="s">
        <v>112</v>
      </c>
      <c r="J2323" s="25">
        <v>68</v>
      </c>
      <c r="K2323" s="25">
        <f>Sales!$B2323-Sales!$J2323</f>
        <v>4.3299999999999983</v>
      </c>
      <c r="L2323" s="28">
        <f>(Sales!$J2323-Sales!$B2323)/Sales!$J2323</f>
        <v>-6.3676470588235265E-2</v>
      </c>
      <c r="M2323" s="28" t="str">
        <f t="shared" si="36"/>
        <v>Below 0%</v>
      </c>
      <c r="N2323" s="27" t="s">
        <v>40</v>
      </c>
      <c r="O2323" s="27" t="s">
        <v>27</v>
      </c>
      <c r="P2323" s="27" t="s">
        <v>28</v>
      </c>
      <c r="Q2323" s="27" t="s">
        <v>19</v>
      </c>
    </row>
    <row r="2324" spans="1:17" x14ac:dyDescent="0.3">
      <c r="A2324" s="22">
        <v>44</v>
      </c>
      <c r="B2324" s="19">
        <v>82.26</v>
      </c>
      <c r="C2324" s="20">
        <f>Sales!$B2324*Sales!$A2324</f>
        <v>3619.44</v>
      </c>
      <c r="D2324" s="21">
        <v>38386</v>
      </c>
      <c r="E2324" s="22" t="s">
        <v>9</v>
      </c>
      <c r="F2324" s="22">
        <v>1</v>
      </c>
      <c r="G2324" s="22">
        <v>2</v>
      </c>
      <c r="H2324" s="22">
        <v>2005</v>
      </c>
      <c r="I2324" s="22" t="s">
        <v>112</v>
      </c>
      <c r="J2324" s="20">
        <v>68</v>
      </c>
      <c r="K2324" s="20">
        <f>Sales!$B2324-Sales!$J2324</f>
        <v>14.260000000000005</v>
      </c>
      <c r="L2324" s="23">
        <f>(Sales!$J2324-Sales!$B2324)/Sales!$J2324</f>
        <v>-0.20970588235294124</v>
      </c>
      <c r="M2324" s="23" t="str">
        <f t="shared" si="36"/>
        <v>Below 0%</v>
      </c>
      <c r="N2324" s="22" t="s">
        <v>31</v>
      </c>
      <c r="O2324" s="22" t="s">
        <v>16</v>
      </c>
      <c r="P2324" s="22" t="s">
        <v>17</v>
      </c>
      <c r="Q2324" s="22" t="s">
        <v>19</v>
      </c>
    </row>
    <row r="2325" spans="1:17" x14ac:dyDescent="0.3">
      <c r="A2325" s="27">
        <v>35</v>
      </c>
      <c r="B2325" s="24">
        <v>100</v>
      </c>
      <c r="C2325" s="25">
        <f>Sales!$B2325*Sales!$A2325</f>
        <v>3500</v>
      </c>
      <c r="D2325" s="26">
        <v>38414</v>
      </c>
      <c r="E2325" s="27" t="s">
        <v>9</v>
      </c>
      <c r="F2325" s="27">
        <v>1</v>
      </c>
      <c r="G2325" s="27">
        <v>3</v>
      </c>
      <c r="H2325" s="27">
        <v>2005</v>
      </c>
      <c r="I2325" s="27" t="s">
        <v>112</v>
      </c>
      <c r="J2325" s="25">
        <v>68</v>
      </c>
      <c r="K2325" s="25">
        <f>Sales!$B2325-Sales!$J2325</f>
        <v>32</v>
      </c>
      <c r="L2325" s="28">
        <f>(Sales!$J2325-Sales!$B2325)/Sales!$J2325</f>
        <v>-0.47058823529411764</v>
      </c>
      <c r="M2325" s="28" t="str">
        <f t="shared" si="36"/>
        <v>Below 0%</v>
      </c>
      <c r="N2325" s="27" t="s">
        <v>41</v>
      </c>
      <c r="O2325" s="27" t="s">
        <v>12</v>
      </c>
      <c r="P2325" s="27" t="s">
        <v>13</v>
      </c>
      <c r="Q2325" s="27" t="s">
        <v>19</v>
      </c>
    </row>
    <row r="2326" spans="1:17" x14ac:dyDescent="0.3">
      <c r="A2326" s="22">
        <v>22</v>
      </c>
      <c r="B2326" s="19">
        <v>67.41</v>
      </c>
      <c r="C2326" s="20">
        <f>Sales!$B2326*Sales!$A2326</f>
        <v>1483.02</v>
      </c>
      <c r="D2326" s="21">
        <v>38441</v>
      </c>
      <c r="E2326" s="22" t="s">
        <v>9</v>
      </c>
      <c r="F2326" s="22">
        <v>1</v>
      </c>
      <c r="G2326" s="22">
        <v>3</v>
      </c>
      <c r="H2326" s="22">
        <v>2005</v>
      </c>
      <c r="I2326" s="22" t="s">
        <v>112</v>
      </c>
      <c r="J2326" s="20">
        <v>68</v>
      </c>
      <c r="K2326" s="20">
        <f>Sales!$B2326-Sales!$J2326</f>
        <v>-0.59000000000000341</v>
      </c>
      <c r="L2326" s="23">
        <f>(Sales!$J2326-Sales!$B2326)/Sales!$J2326</f>
        <v>8.6764705882353445E-3</v>
      </c>
      <c r="M2326" s="23" t="str">
        <f t="shared" si="36"/>
        <v>0%-5%</v>
      </c>
      <c r="N2326" s="22" t="s">
        <v>15</v>
      </c>
      <c r="O2326" s="22" t="s">
        <v>16</v>
      </c>
      <c r="P2326" s="22" t="s">
        <v>17</v>
      </c>
      <c r="Q2326" s="22" t="s">
        <v>14</v>
      </c>
    </row>
    <row r="2327" spans="1:17" x14ac:dyDescent="0.3">
      <c r="A2327" s="27">
        <v>62</v>
      </c>
      <c r="B2327" s="24">
        <v>77.73</v>
      </c>
      <c r="C2327" s="25">
        <f>Sales!$B2327*Sales!$A2327</f>
        <v>4819.26</v>
      </c>
      <c r="D2327" s="26">
        <v>38445</v>
      </c>
      <c r="E2327" s="27" t="s">
        <v>87</v>
      </c>
      <c r="F2327" s="27">
        <v>2</v>
      </c>
      <c r="G2327" s="27">
        <v>4</v>
      </c>
      <c r="H2327" s="27">
        <v>2005</v>
      </c>
      <c r="I2327" s="27" t="s">
        <v>112</v>
      </c>
      <c r="J2327" s="25">
        <v>68</v>
      </c>
      <c r="K2327" s="25">
        <f>Sales!$B2327-Sales!$J2327</f>
        <v>9.730000000000004</v>
      </c>
      <c r="L2327" s="28">
        <f>(Sales!$J2327-Sales!$B2327)/Sales!$J2327</f>
        <v>-0.14308823529411771</v>
      </c>
      <c r="M2327" s="28" t="str">
        <f t="shared" si="36"/>
        <v>Below 0%</v>
      </c>
      <c r="N2327" s="27" t="s">
        <v>29</v>
      </c>
      <c r="O2327" s="27" t="s">
        <v>12</v>
      </c>
      <c r="P2327" s="27" t="s">
        <v>13</v>
      </c>
      <c r="Q2327" s="27" t="s">
        <v>19</v>
      </c>
    </row>
    <row r="2328" spans="1:17" x14ac:dyDescent="0.3">
      <c r="A2328" s="22">
        <v>26</v>
      </c>
      <c r="B2328" s="19">
        <v>61.22</v>
      </c>
      <c r="C2328" s="20">
        <f>Sales!$B2328*Sales!$A2328</f>
        <v>1591.72</v>
      </c>
      <c r="D2328" s="21">
        <v>38482</v>
      </c>
      <c r="E2328" s="22" t="s">
        <v>9</v>
      </c>
      <c r="F2328" s="22">
        <v>2</v>
      </c>
      <c r="G2328" s="22">
        <v>5</v>
      </c>
      <c r="H2328" s="22">
        <v>2005</v>
      </c>
      <c r="I2328" s="22" t="s">
        <v>112</v>
      </c>
      <c r="J2328" s="20">
        <v>68</v>
      </c>
      <c r="K2328" s="20">
        <f>Sales!$B2328-Sales!$J2328</f>
        <v>-6.7800000000000011</v>
      </c>
      <c r="L2328" s="23">
        <f>(Sales!$J2328-Sales!$B2328)/Sales!$J2328</f>
        <v>9.97058823529412E-2</v>
      </c>
      <c r="M2328" s="23" t="str">
        <f t="shared" si="36"/>
        <v>5%-10%</v>
      </c>
      <c r="N2328" s="22" t="s">
        <v>97</v>
      </c>
      <c r="O2328" s="22" t="s">
        <v>61</v>
      </c>
      <c r="P2328" s="22" t="s">
        <v>17</v>
      </c>
      <c r="Q2328" s="22" t="s">
        <v>14</v>
      </c>
    </row>
    <row r="2329" spans="1:17" x14ac:dyDescent="0.3">
      <c r="A2329" s="27">
        <v>31</v>
      </c>
      <c r="B2329" s="24">
        <v>100</v>
      </c>
      <c r="C2329" s="25">
        <f>Sales!$B2329*Sales!$A2329</f>
        <v>3100</v>
      </c>
      <c r="D2329" s="26">
        <v>37683</v>
      </c>
      <c r="E2329" s="27" t="s">
        <v>9</v>
      </c>
      <c r="F2329" s="27">
        <v>1</v>
      </c>
      <c r="G2329" s="27">
        <v>3</v>
      </c>
      <c r="H2329" s="27">
        <v>2003</v>
      </c>
      <c r="I2329" s="27" t="s">
        <v>10</v>
      </c>
      <c r="J2329" s="25">
        <v>102</v>
      </c>
      <c r="K2329" s="25">
        <f>Sales!$B2329-Sales!$J2329</f>
        <v>-2</v>
      </c>
      <c r="L2329" s="28">
        <f>(Sales!$J2329-Sales!$B2329)/Sales!$J2329</f>
        <v>1.9607843137254902E-2</v>
      </c>
      <c r="M2329" s="28" t="str">
        <f t="shared" si="36"/>
        <v>0%-5%</v>
      </c>
      <c r="N2329" s="27" t="s">
        <v>90</v>
      </c>
      <c r="O2329" s="27" t="s">
        <v>91</v>
      </c>
      <c r="P2329" s="27" t="s">
        <v>28</v>
      </c>
      <c r="Q2329" s="27" t="s">
        <v>19</v>
      </c>
    </row>
    <row r="2330" spans="1:17" x14ac:dyDescent="0.3">
      <c r="A2330" s="22">
        <v>25</v>
      </c>
      <c r="B2330" s="19">
        <v>86.74</v>
      </c>
      <c r="C2330" s="20">
        <f>Sales!$B2330*Sales!$A2330</f>
        <v>2168.5</v>
      </c>
      <c r="D2330" s="21">
        <v>37748</v>
      </c>
      <c r="E2330" s="22" t="s">
        <v>9</v>
      </c>
      <c r="F2330" s="22">
        <v>2</v>
      </c>
      <c r="G2330" s="22">
        <v>5</v>
      </c>
      <c r="H2330" s="22">
        <v>2003</v>
      </c>
      <c r="I2330" s="22" t="s">
        <v>10</v>
      </c>
      <c r="J2330" s="20">
        <v>102</v>
      </c>
      <c r="K2330" s="20">
        <f>Sales!$B2330-Sales!$J2330</f>
        <v>-15.260000000000005</v>
      </c>
      <c r="L2330" s="23">
        <f>(Sales!$J2330-Sales!$B2330)/Sales!$J2330</f>
        <v>0.14960784313725495</v>
      </c>
      <c r="M2330" s="23" t="str">
        <f t="shared" si="36"/>
        <v>10%-15%</v>
      </c>
      <c r="N2330" s="22" t="s">
        <v>15</v>
      </c>
      <c r="O2330" s="22" t="s">
        <v>16</v>
      </c>
      <c r="P2330" s="22" t="s">
        <v>17</v>
      </c>
      <c r="Q2330" s="22" t="s">
        <v>14</v>
      </c>
    </row>
    <row r="2331" spans="1:17" x14ac:dyDescent="0.3">
      <c r="A2331" s="27">
        <v>30</v>
      </c>
      <c r="B2331" s="24">
        <v>89.8</v>
      </c>
      <c r="C2331" s="25">
        <f>Sales!$B2331*Sales!$A2331</f>
        <v>2694</v>
      </c>
      <c r="D2331" s="26">
        <v>37804</v>
      </c>
      <c r="E2331" s="27" t="s">
        <v>9</v>
      </c>
      <c r="F2331" s="27">
        <v>3</v>
      </c>
      <c r="G2331" s="27">
        <v>7</v>
      </c>
      <c r="H2331" s="27">
        <v>2003</v>
      </c>
      <c r="I2331" s="27" t="s">
        <v>10</v>
      </c>
      <c r="J2331" s="25">
        <v>102</v>
      </c>
      <c r="K2331" s="25">
        <f>Sales!$B2331-Sales!$J2331</f>
        <v>-12.200000000000003</v>
      </c>
      <c r="L2331" s="28">
        <f>(Sales!$J2331-Sales!$B2331)/Sales!$J2331</f>
        <v>0.11960784313725493</v>
      </c>
      <c r="M2331" s="28" t="str">
        <f t="shared" si="36"/>
        <v>10%-15%</v>
      </c>
      <c r="N2331" s="27" t="s">
        <v>64</v>
      </c>
      <c r="O2331" s="27" t="s">
        <v>12</v>
      </c>
      <c r="P2331" s="27" t="s">
        <v>13</v>
      </c>
      <c r="Q2331" s="27" t="s">
        <v>14</v>
      </c>
    </row>
    <row r="2332" spans="1:17" x14ac:dyDescent="0.3">
      <c r="A2332" s="22">
        <v>27</v>
      </c>
      <c r="B2332" s="19">
        <v>100</v>
      </c>
      <c r="C2332" s="20">
        <f>Sales!$B2332*Sales!$A2332</f>
        <v>2700</v>
      </c>
      <c r="D2332" s="21">
        <v>37858</v>
      </c>
      <c r="E2332" s="22" t="s">
        <v>9</v>
      </c>
      <c r="F2332" s="22">
        <v>3</v>
      </c>
      <c r="G2332" s="22">
        <v>8</v>
      </c>
      <c r="H2332" s="22">
        <v>2003</v>
      </c>
      <c r="I2332" s="22" t="s">
        <v>10</v>
      </c>
      <c r="J2332" s="20">
        <v>102</v>
      </c>
      <c r="K2332" s="20">
        <f>Sales!$B2332-Sales!$J2332</f>
        <v>-2</v>
      </c>
      <c r="L2332" s="23">
        <f>(Sales!$J2332-Sales!$B2332)/Sales!$J2332</f>
        <v>1.9607843137254902E-2</v>
      </c>
      <c r="M2332" s="23" t="str">
        <f t="shared" si="36"/>
        <v>0%-5%</v>
      </c>
      <c r="N2332" s="22" t="s">
        <v>20</v>
      </c>
      <c r="O2332" s="22" t="s">
        <v>12</v>
      </c>
      <c r="P2332" s="22" t="s">
        <v>13</v>
      </c>
      <c r="Q2332" s="22" t="s">
        <v>19</v>
      </c>
    </row>
    <row r="2333" spans="1:17" x14ac:dyDescent="0.3">
      <c r="A2333" s="27">
        <v>23</v>
      </c>
      <c r="B2333" s="24">
        <v>100</v>
      </c>
      <c r="C2333" s="25">
        <f>Sales!$B2333*Sales!$A2333</f>
        <v>2300</v>
      </c>
      <c r="D2333" s="26">
        <v>37904</v>
      </c>
      <c r="E2333" s="27" t="s">
        <v>9</v>
      </c>
      <c r="F2333" s="27">
        <v>4</v>
      </c>
      <c r="G2333" s="27">
        <v>10</v>
      </c>
      <c r="H2333" s="27">
        <v>2003</v>
      </c>
      <c r="I2333" s="27" t="s">
        <v>10</v>
      </c>
      <c r="J2333" s="25">
        <v>102</v>
      </c>
      <c r="K2333" s="25">
        <f>Sales!$B2333-Sales!$J2333</f>
        <v>-2</v>
      </c>
      <c r="L2333" s="28">
        <f>(Sales!$J2333-Sales!$B2333)/Sales!$J2333</f>
        <v>1.9607843137254902E-2</v>
      </c>
      <c r="M2333" s="28" t="str">
        <f t="shared" si="36"/>
        <v>0%-5%</v>
      </c>
      <c r="N2333" s="27" t="s">
        <v>21</v>
      </c>
      <c r="O2333" s="27" t="s">
        <v>12</v>
      </c>
      <c r="P2333" s="27" t="s">
        <v>13</v>
      </c>
      <c r="Q2333" s="27" t="s">
        <v>14</v>
      </c>
    </row>
    <row r="2334" spans="1:17" x14ac:dyDescent="0.3">
      <c r="A2334" s="22">
        <v>34</v>
      </c>
      <c r="B2334" s="19">
        <v>100</v>
      </c>
      <c r="C2334" s="20">
        <f>Sales!$B2334*Sales!$A2334</f>
        <v>3400</v>
      </c>
      <c r="D2334" s="21">
        <v>37929</v>
      </c>
      <c r="E2334" s="22" t="s">
        <v>9</v>
      </c>
      <c r="F2334" s="22">
        <v>4</v>
      </c>
      <c r="G2334" s="22">
        <v>11</v>
      </c>
      <c r="H2334" s="22">
        <v>2003</v>
      </c>
      <c r="I2334" s="22" t="s">
        <v>10</v>
      </c>
      <c r="J2334" s="20">
        <v>102</v>
      </c>
      <c r="K2334" s="20">
        <f>Sales!$B2334-Sales!$J2334</f>
        <v>-2</v>
      </c>
      <c r="L2334" s="23">
        <f>(Sales!$J2334-Sales!$B2334)/Sales!$J2334</f>
        <v>1.9607843137254902E-2</v>
      </c>
      <c r="M2334" s="23" t="str">
        <f t="shared" si="36"/>
        <v>0%-5%</v>
      </c>
      <c r="N2334" s="22" t="s">
        <v>67</v>
      </c>
      <c r="O2334" s="22" t="s">
        <v>27</v>
      </c>
      <c r="P2334" s="22" t="s">
        <v>28</v>
      </c>
      <c r="Q2334" s="22" t="s">
        <v>19</v>
      </c>
    </row>
    <row r="2335" spans="1:17" x14ac:dyDescent="0.3">
      <c r="A2335" s="27">
        <v>22</v>
      </c>
      <c r="B2335" s="24">
        <v>100</v>
      </c>
      <c r="C2335" s="25">
        <f>Sales!$B2335*Sales!$A2335</f>
        <v>2200</v>
      </c>
      <c r="D2335" s="26">
        <v>37936</v>
      </c>
      <c r="E2335" s="27" t="s">
        <v>9</v>
      </c>
      <c r="F2335" s="27">
        <v>4</v>
      </c>
      <c r="G2335" s="27">
        <v>11</v>
      </c>
      <c r="H2335" s="27">
        <v>2003</v>
      </c>
      <c r="I2335" s="27" t="s">
        <v>10</v>
      </c>
      <c r="J2335" s="25">
        <v>102</v>
      </c>
      <c r="K2335" s="25">
        <f>Sales!$B2335-Sales!$J2335</f>
        <v>-2</v>
      </c>
      <c r="L2335" s="28">
        <f>(Sales!$J2335-Sales!$B2335)/Sales!$J2335</f>
        <v>1.9607843137254902E-2</v>
      </c>
      <c r="M2335" s="28" t="str">
        <f t="shared" si="36"/>
        <v>0%-5%</v>
      </c>
      <c r="N2335" s="27" t="s">
        <v>23</v>
      </c>
      <c r="O2335" s="27" t="s">
        <v>16</v>
      </c>
      <c r="P2335" s="27" t="s">
        <v>17</v>
      </c>
      <c r="Q2335" s="27" t="s">
        <v>14</v>
      </c>
    </row>
    <row r="2336" spans="1:17" x14ac:dyDescent="0.3">
      <c r="A2336" s="22">
        <v>42</v>
      </c>
      <c r="B2336" s="19">
        <v>85.72</v>
      </c>
      <c r="C2336" s="20">
        <f>Sales!$B2336*Sales!$A2336</f>
        <v>3600.24</v>
      </c>
      <c r="D2336" s="21">
        <v>37944</v>
      </c>
      <c r="E2336" s="22" t="s">
        <v>9</v>
      </c>
      <c r="F2336" s="22">
        <v>4</v>
      </c>
      <c r="G2336" s="22">
        <v>11</v>
      </c>
      <c r="H2336" s="22">
        <v>2003</v>
      </c>
      <c r="I2336" s="22" t="s">
        <v>10</v>
      </c>
      <c r="J2336" s="20">
        <v>102</v>
      </c>
      <c r="K2336" s="20">
        <f>Sales!$B2336-Sales!$J2336</f>
        <v>-16.28</v>
      </c>
      <c r="L2336" s="23">
        <f>(Sales!$J2336-Sales!$B2336)/Sales!$J2336</f>
        <v>0.1596078431372549</v>
      </c>
      <c r="M2336" s="23" t="str">
        <f t="shared" si="36"/>
        <v>15%-20%</v>
      </c>
      <c r="N2336" s="22" t="s">
        <v>45</v>
      </c>
      <c r="O2336" s="22" t="s">
        <v>46</v>
      </c>
      <c r="P2336" s="22" t="s">
        <v>17</v>
      </c>
      <c r="Q2336" s="22" t="s">
        <v>19</v>
      </c>
    </row>
    <row r="2337" spans="1:17" x14ac:dyDescent="0.3">
      <c r="A2337" s="27">
        <v>37</v>
      </c>
      <c r="B2337" s="24">
        <v>100</v>
      </c>
      <c r="C2337" s="25">
        <f>Sales!$B2337*Sales!$A2337</f>
        <v>3700</v>
      </c>
      <c r="D2337" s="26">
        <v>38001</v>
      </c>
      <c r="E2337" s="27" t="s">
        <v>9</v>
      </c>
      <c r="F2337" s="27">
        <v>1</v>
      </c>
      <c r="G2337" s="27">
        <v>1</v>
      </c>
      <c r="H2337" s="27">
        <v>2004</v>
      </c>
      <c r="I2337" s="27" t="s">
        <v>10</v>
      </c>
      <c r="J2337" s="25">
        <v>102</v>
      </c>
      <c r="K2337" s="25">
        <f>Sales!$B2337-Sales!$J2337</f>
        <v>-2</v>
      </c>
      <c r="L2337" s="28">
        <f>(Sales!$J2337-Sales!$B2337)/Sales!$J2337</f>
        <v>1.9607843137254902E-2</v>
      </c>
      <c r="M2337" s="28" t="str">
        <f t="shared" si="36"/>
        <v>0%-5%</v>
      </c>
      <c r="N2337" s="27" t="s">
        <v>18</v>
      </c>
      <c r="O2337" s="27" t="s">
        <v>16</v>
      </c>
      <c r="P2337" s="27" t="s">
        <v>17</v>
      </c>
      <c r="Q2337" s="27" t="s">
        <v>19</v>
      </c>
    </row>
    <row r="2338" spans="1:17" x14ac:dyDescent="0.3">
      <c r="A2338" s="22">
        <v>30</v>
      </c>
      <c r="B2338" s="19">
        <v>100</v>
      </c>
      <c r="C2338" s="20">
        <f>Sales!$B2338*Sales!$A2338</f>
        <v>3000</v>
      </c>
      <c r="D2338" s="21">
        <v>38038</v>
      </c>
      <c r="E2338" s="22" t="s">
        <v>9</v>
      </c>
      <c r="F2338" s="22">
        <v>1</v>
      </c>
      <c r="G2338" s="22">
        <v>2</v>
      </c>
      <c r="H2338" s="22">
        <v>2004</v>
      </c>
      <c r="I2338" s="22" t="s">
        <v>10</v>
      </c>
      <c r="J2338" s="20">
        <v>102</v>
      </c>
      <c r="K2338" s="20">
        <f>Sales!$B2338-Sales!$J2338</f>
        <v>-2</v>
      </c>
      <c r="L2338" s="23">
        <f>(Sales!$J2338-Sales!$B2338)/Sales!$J2338</f>
        <v>1.9607843137254902E-2</v>
      </c>
      <c r="M2338" s="23" t="str">
        <f t="shared" si="36"/>
        <v>0%-5%</v>
      </c>
      <c r="N2338" s="22" t="s">
        <v>23</v>
      </c>
      <c r="O2338" s="22" t="s">
        <v>16</v>
      </c>
      <c r="P2338" s="22" t="s">
        <v>17</v>
      </c>
      <c r="Q2338" s="22" t="s">
        <v>19</v>
      </c>
    </row>
    <row r="2339" spans="1:17" x14ac:dyDescent="0.3">
      <c r="A2339" s="27">
        <v>27</v>
      </c>
      <c r="B2339" s="24">
        <v>100</v>
      </c>
      <c r="C2339" s="25">
        <f>Sales!$B2339*Sales!$A2339</f>
        <v>2700</v>
      </c>
      <c r="D2339" s="26">
        <v>38082</v>
      </c>
      <c r="E2339" s="27" t="s">
        <v>9</v>
      </c>
      <c r="F2339" s="27">
        <v>2</v>
      </c>
      <c r="G2339" s="27">
        <v>4</v>
      </c>
      <c r="H2339" s="27">
        <v>2004</v>
      </c>
      <c r="I2339" s="27" t="s">
        <v>10</v>
      </c>
      <c r="J2339" s="25">
        <v>102</v>
      </c>
      <c r="K2339" s="25">
        <f>Sales!$B2339-Sales!$J2339</f>
        <v>-2</v>
      </c>
      <c r="L2339" s="28">
        <f>(Sales!$J2339-Sales!$B2339)/Sales!$J2339</f>
        <v>1.9607843137254902E-2</v>
      </c>
      <c r="M2339" s="28" t="str">
        <f t="shared" si="36"/>
        <v>0%-5%</v>
      </c>
      <c r="N2339" s="27" t="s">
        <v>11</v>
      </c>
      <c r="O2339" s="27" t="s">
        <v>12</v>
      </c>
      <c r="P2339" s="27" t="s">
        <v>13</v>
      </c>
      <c r="Q2339" s="27" t="s">
        <v>19</v>
      </c>
    </row>
    <row r="2340" spans="1:17" x14ac:dyDescent="0.3">
      <c r="A2340" s="22">
        <v>25</v>
      </c>
      <c r="B2340" s="19">
        <v>100</v>
      </c>
      <c r="C2340" s="20">
        <f>Sales!$B2340*Sales!$A2340</f>
        <v>2500</v>
      </c>
      <c r="D2340" s="21">
        <v>38133</v>
      </c>
      <c r="E2340" s="22" t="s">
        <v>9</v>
      </c>
      <c r="F2340" s="22">
        <v>2</v>
      </c>
      <c r="G2340" s="22">
        <v>5</v>
      </c>
      <c r="H2340" s="22">
        <v>2004</v>
      </c>
      <c r="I2340" s="22" t="s">
        <v>10</v>
      </c>
      <c r="J2340" s="20">
        <v>102</v>
      </c>
      <c r="K2340" s="20">
        <f>Sales!$B2340-Sales!$J2340</f>
        <v>-2</v>
      </c>
      <c r="L2340" s="23">
        <f>(Sales!$J2340-Sales!$B2340)/Sales!$J2340</f>
        <v>1.9607843137254902E-2</v>
      </c>
      <c r="M2340" s="23" t="str">
        <f t="shared" si="36"/>
        <v>0%-5%</v>
      </c>
      <c r="N2340" s="22" t="s">
        <v>18</v>
      </c>
      <c r="O2340" s="22" t="s">
        <v>16</v>
      </c>
      <c r="P2340" s="22" t="s">
        <v>17</v>
      </c>
      <c r="Q2340" s="22" t="s">
        <v>14</v>
      </c>
    </row>
    <row r="2341" spans="1:17" x14ac:dyDescent="0.3">
      <c r="A2341" s="27">
        <v>34</v>
      </c>
      <c r="B2341" s="24">
        <v>97.97</v>
      </c>
      <c r="C2341" s="25">
        <f>Sales!$B2341*Sales!$A2341</f>
        <v>3330.98</v>
      </c>
      <c r="D2341" s="26">
        <v>38168</v>
      </c>
      <c r="E2341" s="27" t="s">
        <v>9</v>
      </c>
      <c r="F2341" s="27">
        <v>2</v>
      </c>
      <c r="G2341" s="27">
        <v>6</v>
      </c>
      <c r="H2341" s="27">
        <v>2004</v>
      </c>
      <c r="I2341" s="27" t="s">
        <v>10</v>
      </c>
      <c r="J2341" s="25">
        <v>102</v>
      </c>
      <c r="K2341" s="25">
        <f>Sales!$B2341-Sales!$J2341</f>
        <v>-4.0300000000000011</v>
      </c>
      <c r="L2341" s="28">
        <f>(Sales!$J2341-Sales!$B2341)/Sales!$J2341</f>
        <v>3.9509803921568637E-2</v>
      </c>
      <c r="M2341" s="28" t="str">
        <f t="shared" si="36"/>
        <v>0%-5%</v>
      </c>
      <c r="N2341" s="27" t="s">
        <v>83</v>
      </c>
      <c r="O2341" s="27" t="s">
        <v>12</v>
      </c>
      <c r="P2341" s="27" t="s">
        <v>13</v>
      </c>
      <c r="Q2341" s="27" t="s">
        <v>19</v>
      </c>
    </row>
    <row r="2342" spans="1:17" x14ac:dyDescent="0.3">
      <c r="A2342" s="22">
        <v>38</v>
      </c>
      <c r="B2342" s="19">
        <v>100</v>
      </c>
      <c r="C2342" s="20">
        <f>Sales!$B2342*Sales!$A2342</f>
        <v>3800</v>
      </c>
      <c r="D2342" s="21">
        <v>38201</v>
      </c>
      <c r="E2342" s="22" t="s">
        <v>9</v>
      </c>
      <c r="F2342" s="22">
        <v>3</v>
      </c>
      <c r="G2342" s="22">
        <v>8</v>
      </c>
      <c r="H2342" s="22">
        <v>2004</v>
      </c>
      <c r="I2342" s="22" t="s">
        <v>10</v>
      </c>
      <c r="J2342" s="20">
        <v>102</v>
      </c>
      <c r="K2342" s="20">
        <f>Sales!$B2342-Sales!$J2342</f>
        <v>-2</v>
      </c>
      <c r="L2342" s="23">
        <f>(Sales!$J2342-Sales!$B2342)/Sales!$J2342</f>
        <v>1.9607843137254902E-2</v>
      </c>
      <c r="M2342" s="23" t="str">
        <f t="shared" si="36"/>
        <v>0%-5%</v>
      </c>
      <c r="N2342" s="22" t="s">
        <v>66</v>
      </c>
      <c r="O2342" s="22" t="s">
        <v>12</v>
      </c>
      <c r="P2342" s="22" t="s">
        <v>13</v>
      </c>
      <c r="Q2342" s="22" t="s">
        <v>19</v>
      </c>
    </row>
    <row r="2343" spans="1:17" x14ac:dyDescent="0.3">
      <c r="A2343" s="27">
        <v>26</v>
      </c>
      <c r="B2343" s="24">
        <v>100</v>
      </c>
      <c r="C2343" s="25">
        <f>Sales!$B2343*Sales!$A2343</f>
        <v>2600</v>
      </c>
      <c r="D2343" s="26">
        <v>38226</v>
      </c>
      <c r="E2343" s="27" t="s">
        <v>9</v>
      </c>
      <c r="F2343" s="27">
        <v>3</v>
      </c>
      <c r="G2343" s="27">
        <v>8</v>
      </c>
      <c r="H2343" s="27">
        <v>2004</v>
      </c>
      <c r="I2343" s="27" t="s">
        <v>10</v>
      </c>
      <c r="J2343" s="25">
        <v>102</v>
      </c>
      <c r="K2343" s="25">
        <f>Sales!$B2343-Sales!$J2343</f>
        <v>-2</v>
      </c>
      <c r="L2343" s="28">
        <f>(Sales!$J2343-Sales!$B2343)/Sales!$J2343</f>
        <v>1.9607843137254902E-2</v>
      </c>
      <c r="M2343" s="28" t="str">
        <f t="shared" si="36"/>
        <v>0%-5%</v>
      </c>
      <c r="N2343" s="27" t="s">
        <v>32</v>
      </c>
      <c r="O2343" s="27" t="s">
        <v>12</v>
      </c>
      <c r="P2343" s="27" t="s">
        <v>13</v>
      </c>
      <c r="Q2343" s="27" t="s">
        <v>14</v>
      </c>
    </row>
    <row r="2344" spans="1:17" x14ac:dyDescent="0.3">
      <c r="A2344" s="22">
        <v>38</v>
      </c>
      <c r="B2344" s="19">
        <v>100</v>
      </c>
      <c r="C2344" s="20">
        <f>Sales!$B2344*Sales!$A2344</f>
        <v>3800</v>
      </c>
      <c r="D2344" s="21">
        <v>38260</v>
      </c>
      <c r="E2344" s="22" t="s">
        <v>9</v>
      </c>
      <c r="F2344" s="22">
        <v>3</v>
      </c>
      <c r="G2344" s="22">
        <v>9</v>
      </c>
      <c r="H2344" s="22">
        <v>2004</v>
      </c>
      <c r="I2344" s="22" t="s">
        <v>10</v>
      </c>
      <c r="J2344" s="20">
        <v>102</v>
      </c>
      <c r="K2344" s="20">
        <f>Sales!$B2344-Sales!$J2344</f>
        <v>-2</v>
      </c>
      <c r="L2344" s="23">
        <f>(Sales!$J2344-Sales!$B2344)/Sales!$J2344</f>
        <v>1.9607843137254902E-2</v>
      </c>
      <c r="M2344" s="23" t="str">
        <f t="shared" si="36"/>
        <v>0%-5%</v>
      </c>
      <c r="N2344" s="22" t="s">
        <v>33</v>
      </c>
      <c r="O2344" s="22" t="s">
        <v>34</v>
      </c>
      <c r="P2344" s="22" t="s">
        <v>17</v>
      </c>
      <c r="Q2344" s="22" t="s">
        <v>19</v>
      </c>
    </row>
    <row r="2345" spans="1:17" x14ac:dyDescent="0.3">
      <c r="A2345" s="27">
        <v>50</v>
      </c>
      <c r="B2345" s="24">
        <v>84.7</v>
      </c>
      <c r="C2345" s="25">
        <f>Sales!$B2345*Sales!$A2345</f>
        <v>4235</v>
      </c>
      <c r="D2345" s="26">
        <v>38275</v>
      </c>
      <c r="E2345" s="27" t="s">
        <v>9</v>
      </c>
      <c r="F2345" s="27">
        <v>4</v>
      </c>
      <c r="G2345" s="27">
        <v>10</v>
      </c>
      <c r="H2345" s="27">
        <v>2004</v>
      </c>
      <c r="I2345" s="27" t="s">
        <v>10</v>
      </c>
      <c r="J2345" s="25">
        <v>102</v>
      </c>
      <c r="K2345" s="25">
        <f>Sales!$B2345-Sales!$J2345</f>
        <v>-17.299999999999997</v>
      </c>
      <c r="L2345" s="28">
        <f>(Sales!$J2345-Sales!$B2345)/Sales!$J2345</f>
        <v>0.16960784313725488</v>
      </c>
      <c r="M2345" s="28" t="str">
        <f t="shared" si="36"/>
        <v>15%-20%</v>
      </c>
      <c r="N2345" s="27" t="s">
        <v>35</v>
      </c>
      <c r="O2345" s="27" t="s">
        <v>25</v>
      </c>
      <c r="P2345" s="27" t="s">
        <v>17</v>
      </c>
      <c r="Q2345" s="27" t="s">
        <v>19</v>
      </c>
    </row>
    <row r="2346" spans="1:17" x14ac:dyDescent="0.3">
      <c r="A2346" s="22">
        <v>22</v>
      </c>
      <c r="B2346" s="19">
        <v>100</v>
      </c>
      <c r="C2346" s="20">
        <f>Sales!$B2346*Sales!$A2346</f>
        <v>2200</v>
      </c>
      <c r="D2346" s="21">
        <v>38294</v>
      </c>
      <c r="E2346" s="22" t="s">
        <v>9</v>
      </c>
      <c r="F2346" s="22">
        <v>4</v>
      </c>
      <c r="G2346" s="22">
        <v>11</v>
      </c>
      <c r="H2346" s="22">
        <v>2004</v>
      </c>
      <c r="I2346" s="22" t="s">
        <v>10</v>
      </c>
      <c r="J2346" s="20">
        <v>102</v>
      </c>
      <c r="K2346" s="20">
        <f>Sales!$B2346-Sales!$J2346</f>
        <v>-2</v>
      </c>
      <c r="L2346" s="23">
        <f>(Sales!$J2346-Sales!$B2346)/Sales!$J2346</f>
        <v>1.9607843137254902E-2</v>
      </c>
      <c r="M2346" s="23" t="str">
        <f t="shared" si="36"/>
        <v>0%-5%</v>
      </c>
      <c r="N2346" s="22" t="s">
        <v>11</v>
      </c>
      <c r="O2346" s="22" t="s">
        <v>12</v>
      </c>
      <c r="P2346" s="22" t="s">
        <v>13</v>
      </c>
      <c r="Q2346" s="22" t="s">
        <v>14</v>
      </c>
    </row>
    <row r="2347" spans="1:17" x14ac:dyDescent="0.3">
      <c r="A2347" s="27">
        <v>32</v>
      </c>
      <c r="B2347" s="24">
        <v>100</v>
      </c>
      <c r="C2347" s="25">
        <f>Sales!$B2347*Sales!$A2347</f>
        <v>3200</v>
      </c>
      <c r="D2347" s="26">
        <v>38308</v>
      </c>
      <c r="E2347" s="27" t="s">
        <v>9</v>
      </c>
      <c r="F2347" s="27">
        <v>4</v>
      </c>
      <c r="G2347" s="27">
        <v>11</v>
      </c>
      <c r="H2347" s="27">
        <v>2004</v>
      </c>
      <c r="I2347" s="27" t="s">
        <v>10</v>
      </c>
      <c r="J2347" s="25">
        <v>102</v>
      </c>
      <c r="K2347" s="25">
        <f>Sales!$B2347-Sales!$J2347</f>
        <v>-2</v>
      </c>
      <c r="L2347" s="28">
        <f>(Sales!$J2347-Sales!$B2347)/Sales!$J2347</f>
        <v>1.9607843137254902E-2</v>
      </c>
      <c r="M2347" s="28" t="str">
        <f t="shared" si="36"/>
        <v>0%-5%</v>
      </c>
      <c r="N2347" s="27" t="s">
        <v>53</v>
      </c>
      <c r="O2347" s="27" t="s">
        <v>12</v>
      </c>
      <c r="P2347" s="27" t="s">
        <v>13</v>
      </c>
      <c r="Q2347" s="27" t="s">
        <v>19</v>
      </c>
    </row>
    <row r="2348" spans="1:17" x14ac:dyDescent="0.3">
      <c r="A2348" s="22">
        <v>31</v>
      </c>
      <c r="B2348" s="19">
        <v>71.02</v>
      </c>
      <c r="C2348" s="20">
        <f>Sales!$B2348*Sales!$A2348</f>
        <v>2201.62</v>
      </c>
      <c r="D2348" s="21">
        <v>38315</v>
      </c>
      <c r="E2348" s="22" t="s">
        <v>9</v>
      </c>
      <c r="F2348" s="22">
        <v>4</v>
      </c>
      <c r="G2348" s="22">
        <v>11</v>
      </c>
      <c r="H2348" s="22">
        <v>2004</v>
      </c>
      <c r="I2348" s="22" t="s">
        <v>10</v>
      </c>
      <c r="J2348" s="20">
        <v>102</v>
      </c>
      <c r="K2348" s="20">
        <f>Sales!$B2348-Sales!$J2348</f>
        <v>-30.980000000000004</v>
      </c>
      <c r="L2348" s="23">
        <f>(Sales!$J2348-Sales!$B2348)/Sales!$J2348</f>
        <v>0.30372549019607847</v>
      </c>
      <c r="M2348" s="23" t="str">
        <f t="shared" si="36"/>
        <v>+20%</v>
      </c>
      <c r="N2348" s="22" t="s">
        <v>37</v>
      </c>
      <c r="O2348" s="22" t="s">
        <v>38</v>
      </c>
      <c r="P2348" s="22" t="s">
        <v>17</v>
      </c>
      <c r="Q2348" s="22" t="s">
        <v>14</v>
      </c>
    </row>
    <row r="2349" spans="1:17" x14ac:dyDescent="0.3">
      <c r="A2349" s="27">
        <v>40</v>
      </c>
      <c r="B2349" s="24">
        <v>100</v>
      </c>
      <c r="C2349" s="25">
        <f>Sales!$B2349*Sales!$A2349</f>
        <v>4000</v>
      </c>
      <c r="D2349" s="26">
        <v>38328</v>
      </c>
      <c r="E2349" s="27" t="s">
        <v>9</v>
      </c>
      <c r="F2349" s="27">
        <v>4</v>
      </c>
      <c r="G2349" s="27">
        <v>12</v>
      </c>
      <c r="H2349" s="27">
        <v>2004</v>
      </c>
      <c r="I2349" s="27" t="s">
        <v>10</v>
      </c>
      <c r="J2349" s="25">
        <v>102</v>
      </c>
      <c r="K2349" s="25">
        <f>Sales!$B2349-Sales!$J2349</f>
        <v>-2</v>
      </c>
      <c r="L2349" s="28">
        <f>(Sales!$J2349-Sales!$B2349)/Sales!$J2349</f>
        <v>1.9607843137254902E-2</v>
      </c>
      <c r="M2349" s="28" t="str">
        <f t="shared" si="36"/>
        <v>0%-5%</v>
      </c>
      <c r="N2349" s="27" t="s">
        <v>45</v>
      </c>
      <c r="O2349" s="27" t="s">
        <v>46</v>
      </c>
      <c r="P2349" s="27" t="s">
        <v>17</v>
      </c>
      <c r="Q2349" s="27" t="s">
        <v>19</v>
      </c>
    </row>
    <row r="2350" spans="1:17" x14ac:dyDescent="0.3">
      <c r="A2350" s="22">
        <v>22</v>
      </c>
      <c r="B2350" s="19">
        <v>100</v>
      </c>
      <c r="C2350" s="20">
        <f>Sales!$B2350*Sales!$A2350</f>
        <v>2200</v>
      </c>
      <c r="D2350" s="21">
        <v>38359</v>
      </c>
      <c r="E2350" s="22" t="s">
        <v>9</v>
      </c>
      <c r="F2350" s="22">
        <v>1</v>
      </c>
      <c r="G2350" s="22">
        <v>1</v>
      </c>
      <c r="H2350" s="22">
        <v>2005</v>
      </c>
      <c r="I2350" s="22" t="s">
        <v>10</v>
      </c>
      <c r="J2350" s="20">
        <v>102</v>
      </c>
      <c r="K2350" s="20">
        <f>Sales!$B2350-Sales!$J2350</f>
        <v>-2</v>
      </c>
      <c r="L2350" s="23">
        <f>(Sales!$J2350-Sales!$B2350)/Sales!$J2350</f>
        <v>1.9607843137254902E-2</v>
      </c>
      <c r="M2350" s="23" t="str">
        <f t="shared" si="36"/>
        <v>0%-5%</v>
      </c>
      <c r="N2350" s="22" t="s">
        <v>41</v>
      </c>
      <c r="O2350" s="22" t="s">
        <v>12</v>
      </c>
      <c r="P2350" s="22" t="s">
        <v>13</v>
      </c>
      <c r="Q2350" s="22" t="s">
        <v>19</v>
      </c>
    </row>
    <row r="2351" spans="1:17" x14ac:dyDescent="0.3">
      <c r="A2351" s="27">
        <v>41</v>
      </c>
      <c r="B2351" s="24">
        <v>100</v>
      </c>
      <c r="C2351" s="25">
        <f>Sales!$B2351*Sales!$A2351</f>
        <v>4100</v>
      </c>
      <c r="D2351" s="26">
        <v>38386</v>
      </c>
      <c r="E2351" s="27" t="s">
        <v>9</v>
      </c>
      <c r="F2351" s="27">
        <v>1</v>
      </c>
      <c r="G2351" s="27">
        <v>2</v>
      </c>
      <c r="H2351" s="27">
        <v>2005</v>
      </c>
      <c r="I2351" s="27" t="s">
        <v>10</v>
      </c>
      <c r="J2351" s="25">
        <v>102</v>
      </c>
      <c r="K2351" s="25">
        <f>Sales!$B2351-Sales!$J2351</f>
        <v>-2</v>
      </c>
      <c r="L2351" s="28">
        <f>(Sales!$J2351-Sales!$B2351)/Sales!$J2351</f>
        <v>1.9607843137254902E-2</v>
      </c>
      <c r="M2351" s="28" t="str">
        <f t="shared" si="36"/>
        <v>0%-5%</v>
      </c>
      <c r="N2351" s="27" t="s">
        <v>31</v>
      </c>
      <c r="O2351" s="27" t="s">
        <v>16</v>
      </c>
      <c r="P2351" s="27" t="s">
        <v>17</v>
      </c>
      <c r="Q2351" s="27" t="s">
        <v>19</v>
      </c>
    </row>
    <row r="2352" spans="1:17" x14ac:dyDescent="0.3">
      <c r="A2352" s="22">
        <v>45</v>
      </c>
      <c r="B2352" s="19">
        <v>48.98</v>
      </c>
      <c r="C2352" s="20">
        <f>Sales!$B2352*Sales!$A2352</f>
        <v>2204.1</v>
      </c>
      <c r="D2352" s="21">
        <v>38415</v>
      </c>
      <c r="E2352" s="22" t="s">
        <v>9</v>
      </c>
      <c r="F2352" s="22">
        <v>1</v>
      </c>
      <c r="G2352" s="22">
        <v>3</v>
      </c>
      <c r="H2352" s="22">
        <v>2005</v>
      </c>
      <c r="I2352" s="22" t="s">
        <v>10</v>
      </c>
      <c r="J2352" s="20">
        <v>102</v>
      </c>
      <c r="K2352" s="20">
        <f>Sales!$B2352-Sales!$J2352</f>
        <v>-53.02</v>
      </c>
      <c r="L2352" s="23">
        <f>(Sales!$J2352-Sales!$B2352)/Sales!$J2352</f>
        <v>0.51980392156862754</v>
      </c>
      <c r="M2352" s="23" t="str">
        <f t="shared" si="36"/>
        <v>+20%</v>
      </c>
      <c r="N2352" s="22" t="s">
        <v>64</v>
      </c>
      <c r="O2352" s="22" t="s">
        <v>12</v>
      </c>
      <c r="P2352" s="22" t="s">
        <v>13</v>
      </c>
      <c r="Q2352" s="22" t="s">
        <v>14</v>
      </c>
    </row>
    <row r="2353" spans="1:17" x14ac:dyDescent="0.3">
      <c r="A2353" s="27">
        <v>45</v>
      </c>
      <c r="B2353" s="24">
        <v>100</v>
      </c>
      <c r="C2353" s="25">
        <f>Sales!$B2353*Sales!$A2353</f>
        <v>4500</v>
      </c>
      <c r="D2353" s="26">
        <v>38450</v>
      </c>
      <c r="E2353" s="27" t="s">
        <v>9</v>
      </c>
      <c r="F2353" s="27">
        <v>2</v>
      </c>
      <c r="G2353" s="27">
        <v>4</v>
      </c>
      <c r="H2353" s="27">
        <v>2005</v>
      </c>
      <c r="I2353" s="27" t="s">
        <v>10</v>
      </c>
      <c r="J2353" s="25">
        <v>102</v>
      </c>
      <c r="K2353" s="25">
        <f>Sales!$B2353-Sales!$J2353</f>
        <v>-2</v>
      </c>
      <c r="L2353" s="28">
        <f>(Sales!$J2353-Sales!$B2353)/Sales!$J2353</f>
        <v>1.9607843137254902E-2</v>
      </c>
      <c r="M2353" s="28" t="str">
        <f t="shared" si="36"/>
        <v>0%-5%</v>
      </c>
      <c r="N2353" s="27" t="s">
        <v>42</v>
      </c>
      <c r="O2353" s="27" t="s">
        <v>43</v>
      </c>
      <c r="P2353" s="27" t="s">
        <v>17</v>
      </c>
      <c r="Q2353" s="27" t="s">
        <v>19</v>
      </c>
    </row>
    <row r="2354" spans="1:17" x14ac:dyDescent="0.3">
      <c r="A2354" s="22">
        <v>39</v>
      </c>
      <c r="B2354" s="19">
        <v>40.15</v>
      </c>
      <c r="C2354" s="20">
        <f>Sales!$B2354*Sales!$A2354</f>
        <v>1565.85</v>
      </c>
      <c r="D2354" s="21">
        <v>37669</v>
      </c>
      <c r="E2354" s="22" t="s">
        <v>9</v>
      </c>
      <c r="F2354" s="22">
        <v>1</v>
      </c>
      <c r="G2354" s="22">
        <v>2</v>
      </c>
      <c r="H2354" s="22">
        <v>2003</v>
      </c>
      <c r="I2354" s="22" t="s">
        <v>112</v>
      </c>
      <c r="J2354" s="20">
        <v>43</v>
      </c>
      <c r="K2354" s="20">
        <f>Sales!$B2354-Sales!$J2354</f>
        <v>-2.8500000000000014</v>
      </c>
      <c r="L2354" s="23">
        <f>(Sales!$J2354-Sales!$B2354)/Sales!$J2354</f>
        <v>6.6279069767441898E-2</v>
      </c>
      <c r="M2354" s="23" t="str">
        <f t="shared" si="36"/>
        <v>5%-10%</v>
      </c>
      <c r="N2354" s="22" t="s">
        <v>113</v>
      </c>
      <c r="O2354" s="22" t="s">
        <v>61</v>
      </c>
      <c r="P2354" s="22" t="s">
        <v>17</v>
      </c>
      <c r="Q2354" s="22" t="s">
        <v>14</v>
      </c>
    </row>
    <row r="2355" spans="1:17" x14ac:dyDescent="0.3">
      <c r="A2355" s="27">
        <v>49</v>
      </c>
      <c r="B2355" s="24">
        <v>50.62</v>
      </c>
      <c r="C2355" s="25">
        <f>Sales!$B2355*Sales!$A2355</f>
        <v>2480.3799999999997</v>
      </c>
      <c r="D2355" s="26">
        <v>37740</v>
      </c>
      <c r="E2355" s="27" t="s">
        <v>9</v>
      </c>
      <c r="F2355" s="27">
        <v>2</v>
      </c>
      <c r="G2355" s="27">
        <v>4</v>
      </c>
      <c r="H2355" s="27">
        <v>2003</v>
      </c>
      <c r="I2355" s="27" t="s">
        <v>112</v>
      </c>
      <c r="J2355" s="25">
        <v>43</v>
      </c>
      <c r="K2355" s="25">
        <f>Sales!$B2355-Sales!$J2355</f>
        <v>7.6199999999999974</v>
      </c>
      <c r="L2355" s="28">
        <f>(Sales!$J2355-Sales!$B2355)/Sales!$J2355</f>
        <v>-0.17720930232558132</v>
      </c>
      <c r="M2355" s="28" t="str">
        <f t="shared" si="36"/>
        <v>Below 0%</v>
      </c>
      <c r="N2355" s="27" t="s">
        <v>26</v>
      </c>
      <c r="O2355" s="27" t="s">
        <v>27</v>
      </c>
      <c r="P2355" s="27" t="s">
        <v>28</v>
      </c>
      <c r="Q2355" s="27" t="s">
        <v>14</v>
      </c>
    </row>
    <row r="2356" spans="1:17" x14ac:dyDescent="0.3">
      <c r="A2356" s="22">
        <v>27</v>
      </c>
      <c r="B2356" s="19">
        <v>50.19</v>
      </c>
      <c r="C2356" s="20">
        <f>Sales!$B2356*Sales!$A2356</f>
        <v>1355.1299999999999</v>
      </c>
      <c r="D2356" s="21">
        <v>37799</v>
      </c>
      <c r="E2356" s="22" t="s">
        <v>9</v>
      </c>
      <c r="F2356" s="22">
        <v>2</v>
      </c>
      <c r="G2356" s="22">
        <v>6</v>
      </c>
      <c r="H2356" s="22">
        <v>2003</v>
      </c>
      <c r="I2356" s="22" t="s">
        <v>112</v>
      </c>
      <c r="J2356" s="20">
        <v>43</v>
      </c>
      <c r="K2356" s="20">
        <f>Sales!$B2356-Sales!$J2356</f>
        <v>7.1899999999999977</v>
      </c>
      <c r="L2356" s="23">
        <f>(Sales!$J2356-Sales!$B2356)/Sales!$J2356</f>
        <v>-0.16720930232558134</v>
      </c>
      <c r="M2356" s="23" t="str">
        <f t="shared" si="36"/>
        <v>Below 0%</v>
      </c>
      <c r="N2356" s="22" t="s">
        <v>45</v>
      </c>
      <c r="O2356" s="22" t="s">
        <v>46</v>
      </c>
      <c r="P2356" s="22" t="s">
        <v>17</v>
      </c>
      <c r="Q2356" s="22" t="s">
        <v>14</v>
      </c>
    </row>
    <row r="2357" spans="1:17" x14ac:dyDescent="0.3">
      <c r="A2357" s="27">
        <v>34</v>
      </c>
      <c r="B2357" s="24">
        <v>36.659999999999997</v>
      </c>
      <c r="C2357" s="25">
        <f>Sales!$B2357*Sales!$A2357</f>
        <v>1246.4399999999998</v>
      </c>
      <c r="D2357" s="26">
        <v>37843</v>
      </c>
      <c r="E2357" s="27" t="s">
        <v>9</v>
      </c>
      <c r="F2357" s="27">
        <v>3</v>
      </c>
      <c r="G2357" s="27">
        <v>8</v>
      </c>
      <c r="H2357" s="27">
        <v>2003</v>
      </c>
      <c r="I2357" s="27" t="s">
        <v>112</v>
      </c>
      <c r="J2357" s="25">
        <v>43</v>
      </c>
      <c r="K2357" s="25">
        <f>Sales!$B2357-Sales!$J2357</f>
        <v>-6.3400000000000034</v>
      </c>
      <c r="L2357" s="28">
        <f>(Sales!$J2357-Sales!$B2357)/Sales!$J2357</f>
        <v>0.14744186046511637</v>
      </c>
      <c r="M2357" s="28" t="str">
        <f t="shared" si="36"/>
        <v>10%-15%</v>
      </c>
      <c r="N2357" s="27" t="s">
        <v>41</v>
      </c>
      <c r="O2357" s="27" t="s">
        <v>12</v>
      </c>
      <c r="P2357" s="27" t="s">
        <v>13</v>
      </c>
      <c r="Q2357" s="27" t="s">
        <v>14</v>
      </c>
    </row>
    <row r="2358" spans="1:17" x14ac:dyDescent="0.3">
      <c r="A2358" s="22">
        <v>20</v>
      </c>
      <c r="B2358" s="19">
        <v>41.02</v>
      </c>
      <c r="C2358" s="20">
        <f>Sales!$B2358*Sales!$A2358</f>
        <v>820.40000000000009</v>
      </c>
      <c r="D2358" s="21">
        <v>37902</v>
      </c>
      <c r="E2358" s="22" t="s">
        <v>9</v>
      </c>
      <c r="F2358" s="22">
        <v>4</v>
      </c>
      <c r="G2358" s="22">
        <v>10</v>
      </c>
      <c r="H2358" s="22">
        <v>2003</v>
      </c>
      <c r="I2358" s="22" t="s">
        <v>112</v>
      </c>
      <c r="J2358" s="20">
        <v>43</v>
      </c>
      <c r="K2358" s="20">
        <f>Sales!$B2358-Sales!$J2358</f>
        <v>-1.9799999999999969</v>
      </c>
      <c r="L2358" s="23">
        <f>(Sales!$J2358-Sales!$B2358)/Sales!$J2358</f>
        <v>4.6046511627906905E-2</v>
      </c>
      <c r="M2358" s="23" t="str">
        <f t="shared" si="36"/>
        <v>0%-5%</v>
      </c>
      <c r="N2358" s="22" t="s">
        <v>45</v>
      </c>
      <c r="O2358" s="22" t="s">
        <v>46</v>
      </c>
      <c r="P2358" s="22" t="s">
        <v>17</v>
      </c>
      <c r="Q2358" s="22" t="s">
        <v>14</v>
      </c>
    </row>
    <row r="2359" spans="1:17" x14ac:dyDescent="0.3">
      <c r="A2359" s="27">
        <v>48</v>
      </c>
      <c r="B2359" s="24">
        <v>51.93</v>
      </c>
      <c r="C2359" s="25">
        <f>Sales!$B2359*Sales!$A2359</f>
        <v>2492.64</v>
      </c>
      <c r="D2359" s="26">
        <v>37922</v>
      </c>
      <c r="E2359" s="27" t="s">
        <v>9</v>
      </c>
      <c r="F2359" s="27">
        <v>4</v>
      </c>
      <c r="G2359" s="27">
        <v>10</v>
      </c>
      <c r="H2359" s="27">
        <v>2003</v>
      </c>
      <c r="I2359" s="27" t="s">
        <v>112</v>
      </c>
      <c r="J2359" s="25">
        <v>43</v>
      </c>
      <c r="K2359" s="25">
        <f>Sales!$B2359-Sales!$J2359</f>
        <v>8.93</v>
      </c>
      <c r="L2359" s="28">
        <f>(Sales!$J2359-Sales!$B2359)/Sales!$J2359</f>
        <v>-0.20767441860465116</v>
      </c>
      <c r="M2359" s="28" t="str">
        <f t="shared" si="36"/>
        <v>Below 0%</v>
      </c>
      <c r="N2359" s="27" t="s">
        <v>22</v>
      </c>
      <c r="O2359" s="27" t="s">
        <v>12</v>
      </c>
      <c r="P2359" s="27" t="s">
        <v>13</v>
      </c>
      <c r="Q2359" s="27" t="s">
        <v>14</v>
      </c>
    </row>
    <row r="2360" spans="1:17" x14ac:dyDescent="0.3">
      <c r="A2360" s="22">
        <v>29</v>
      </c>
      <c r="B2360" s="19">
        <v>38.4</v>
      </c>
      <c r="C2360" s="20">
        <f>Sales!$B2360*Sales!$A2360</f>
        <v>1113.5999999999999</v>
      </c>
      <c r="D2360" s="21">
        <v>37956</v>
      </c>
      <c r="E2360" s="22" t="s">
        <v>9</v>
      </c>
      <c r="F2360" s="22">
        <v>4</v>
      </c>
      <c r="G2360" s="22">
        <v>12</v>
      </c>
      <c r="H2360" s="22">
        <v>2003</v>
      </c>
      <c r="I2360" s="22" t="s">
        <v>112</v>
      </c>
      <c r="J2360" s="20">
        <v>43</v>
      </c>
      <c r="K2360" s="20">
        <f>Sales!$B2360-Sales!$J2360</f>
        <v>-4.6000000000000014</v>
      </c>
      <c r="L2360" s="23">
        <f>(Sales!$J2360-Sales!$B2360)/Sales!$J2360</f>
        <v>0.10697674418604654</v>
      </c>
      <c r="M2360" s="23" t="str">
        <f t="shared" si="36"/>
        <v>10%-15%</v>
      </c>
      <c r="N2360" s="22" t="s">
        <v>57</v>
      </c>
      <c r="O2360" s="22" t="s">
        <v>12</v>
      </c>
      <c r="P2360" s="22" t="s">
        <v>13</v>
      </c>
      <c r="Q2360" s="22" t="s">
        <v>14</v>
      </c>
    </row>
    <row r="2361" spans="1:17" x14ac:dyDescent="0.3">
      <c r="A2361" s="27">
        <v>43</v>
      </c>
      <c r="B2361" s="24">
        <v>41.02</v>
      </c>
      <c r="C2361" s="25">
        <f>Sales!$B2361*Sales!$A2361</f>
        <v>1763.8600000000001</v>
      </c>
      <c r="D2361" s="26">
        <v>37998</v>
      </c>
      <c r="E2361" s="27" t="s">
        <v>9</v>
      </c>
      <c r="F2361" s="27">
        <v>1</v>
      </c>
      <c r="G2361" s="27">
        <v>1</v>
      </c>
      <c r="H2361" s="27">
        <v>2004</v>
      </c>
      <c r="I2361" s="27" t="s">
        <v>112</v>
      </c>
      <c r="J2361" s="25">
        <v>43</v>
      </c>
      <c r="K2361" s="25">
        <f>Sales!$B2361-Sales!$J2361</f>
        <v>-1.9799999999999969</v>
      </c>
      <c r="L2361" s="28">
        <f>(Sales!$J2361-Sales!$B2361)/Sales!$J2361</f>
        <v>4.6046511627906905E-2</v>
      </c>
      <c r="M2361" s="28" t="str">
        <f t="shared" si="36"/>
        <v>0%-5%</v>
      </c>
      <c r="N2361" s="27" t="s">
        <v>70</v>
      </c>
      <c r="O2361" s="27" t="s">
        <v>51</v>
      </c>
      <c r="P2361" s="27" t="s">
        <v>51</v>
      </c>
      <c r="Q2361" s="27" t="s">
        <v>14</v>
      </c>
    </row>
    <row r="2362" spans="1:17" x14ac:dyDescent="0.3">
      <c r="A2362" s="22">
        <v>41</v>
      </c>
      <c r="B2362" s="19">
        <v>46.26</v>
      </c>
      <c r="C2362" s="20">
        <f>Sales!$B2362*Sales!$A2362</f>
        <v>1896.6599999999999</v>
      </c>
      <c r="D2362" s="21">
        <v>38037</v>
      </c>
      <c r="E2362" s="22" t="s">
        <v>9</v>
      </c>
      <c r="F2362" s="22">
        <v>1</v>
      </c>
      <c r="G2362" s="22">
        <v>2</v>
      </c>
      <c r="H2362" s="22">
        <v>2004</v>
      </c>
      <c r="I2362" s="22" t="s">
        <v>112</v>
      </c>
      <c r="J2362" s="20">
        <v>43</v>
      </c>
      <c r="K2362" s="20">
        <f>Sales!$B2362-Sales!$J2362</f>
        <v>3.259999999999998</v>
      </c>
      <c r="L2362" s="23">
        <f>(Sales!$J2362-Sales!$B2362)/Sales!$J2362</f>
        <v>-7.5813953488372041E-2</v>
      </c>
      <c r="M2362" s="23" t="str">
        <f t="shared" si="36"/>
        <v>Below 0%</v>
      </c>
      <c r="N2362" s="22" t="s">
        <v>26</v>
      </c>
      <c r="O2362" s="22" t="s">
        <v>27</v>
      </c>
      <c r="P2362" s="22" t="s">
        <v>28</v>
      </c>
      <c r="Q2362" s="22" t="s">
        <v>14</v>
      </c>
    </row>
    <row r="2363" spans="1:17" x14ac:dyDescent="0.3">
      <c r="A2363" s="27">
        <v>41</v>
      </c>
      <c r="B2363" s="24">
        <v>35.35</v>
      </c>
      <c r="C2363" s="25">
        <f>Sales!$B2363*Sales!$A2363</f>
        <v>1449.3500000000001</v>
      </c>
      <c r="D2363" s="26">
        <v>38079</v>
      </c>
      <c r="E2363" s="27" t="s">
        <v>9</v>
      </c>
      <c r="F2363" s="27">
        <v>2</v>
      </c>
      <c r="G2363" s="27">
        <v>4</v>
      </c>
      <c r="H2363" s="27">
        <v>2004</v>
      </c>
      <c r="I2363" s="27" t="s">
        <v>112</v>
      </c>
      <c r="J2363" s="25">
        <v>43</v>
      </c>
      <c r="K2363" s="25">
        <f>Sales!$B2363-Sales!$J2363</f>
        <v>-7.6499999999999986</v>
      </c>
      <c r="L2363" s="28">
        <f>(Sales!$J2363-Sales!$B2363)/Sales!$J2363</f>
        <v>0.17790697674418601</v>
      </c>
      <c r="M2363" s="28" t="str">
        <f t="shared" si="36"/>
        <v>15%-20%</v>
      </c>
      <c r="N2363" s="27" t="s">
        <v>82</v>
      </c>
      <c r="O2363" s="27" t="s">
        <v>56</v>
      </c>
      <c r="P2363" s="27" t="s">
        <v>13</v>
      </c>
      <c r="Q2363" s="27" t="s">
        <v>14</v>
      </c>
    </row>
    <row r="2364" spans="1:17" x14ac:dyDescent="0.3">
      <c r="A2364" s="22">
        <v>36</v>
      </c>
      <c r="B2364" s="19">
        <v>51.93</v>
      </c>
      <c r="C2364" s="20">
        <f>Sales!$B2364*Sales!$A2364</f>
        <v>1869.48</v>
      </c>
      <c r="D2364" s="21">
        <v>38118</v>
      </c>
      <c r="E2364" s="22" t="s">
        <v>9</v>
      </c>
      <c r="F2364" s="22">
        <v>2</v>
      </c>
      <c r="G2364" s="22">
        <v>5</v>
      </c>
      <c r="H2364" s="22">
        <v>2004</v>
      </c>
      <c r="I2364" s="22" t="s">
        <v>112</v>
      </c>
      <c r="J2364" s="20">
        <v>43</v>
      </c>
      <c r="K2364" s="20">
        <f>Sales!$B2364-Sales!$J2364</f>
        <v>8.93</v>
      </c>
      <c r="L2364" s="23">
        <f>(Sales!$J2364-Sales!$B2364)/Sales!$J2364</f>
        <v>-0.20767441860465116</v>
      </c>
      <c r="M2364" s="23" t="str">
        <f t="shared" si="36"/>
        <v>Below 0%</v>
      </c>
      <c r="N2364" s="22" t="s">
        <v>86</v>
      </c>
      <c r="O2364" s="22" t="s">
        <v>12</v>
      </c>
      <c r="P2364" s="22" t="s">
        <v>13</v>
      </c>
      <c r="Q2364" s="22" t="s">
        <v>14</v>
      </c>
    </row>
    <row r="2365" spans="1:17" x14ac:dyDescent="0.3">
      <c r="A2365" s="27">
        <v>49</v>
      </c>
      <c r="B2365" s="24">
        <v>37.97</v>
      </c>
      <c r="C2365" s="25">
        <f>Sales!$B2365*Sales!$A2365</f>
        <v>1860.53</v>
      </c>
      <c r="D2365" s="26">
        <v>38162</v>
      </c>
      <c r="E2365" s="27" t="s">
        <v>75</v>
      </c>
      <c r="F2365" s="27">
        <v>2</v>
      </c>
      <c r="G2365" s="27">
        <v>6</v>
      </c>
      <c r="H2365" s="27">
        <v>2004</v>
      </c>
      <c r="I2365" s="27" t="s">
        <v>112</v>
      </c>
      <c r="J2365" s="25">
        <v>43</v>
      </c>
      <c r="K2365" s="25">
        <f>Sales!$B2365-Sales!$J2365</f>
        <v>-5.0300000000000011</v>
      </c>
      <c r="L2365" s="28">
        <f>(Sales!$J2365-Sales!$B2365)/Sales!$J2365</f>
        <v>0.11697674418604653</v>
      </c>
      <c r="M2365" s="28" t="str">
        <f t="shared" si="36"/>
        <v>10%-15%</v>
      </c>
      <c r="N2365" s="27" t="s">
        <v>45</v>
      </c>
      <c r="O2365" s="27" t="s">
        <v>46</v>
      </c>
      <c r="P2365" s="27" t="s">
        <v>17</v>
      </c>
      <c r="Q2365" s="27" t="s">
        <v>14</v>
      </c>
    </row>
    <row r="2366" spans="1:17" x14ac:dyDescent="0.3">
      <c r="A2366" s="22">
        <v>38</v>
      </c>
      <c r="B2366" s="19">
        <v>45.39</v>
      </c>
      <c r="C2366" s="20">
        <f>Sales!$B2366*Sales!$A2366</f>
        <v>1724.82</v>
      </c>
      <c r="D2366" s="21">
        <v>38191</v>
      </c>
      <c r="E2366" s="22" t="s">
        <v>9</v>
      </c>
      <c r="F2366" s="22">
        <v>3</v>
      </c>
      <c r="G2366" s="22">
        <v>7</v>
      </c>
      <c r="H2366" s="22">
        <v>2004</v>
      </c>
      <c r="I2366" s="22" t="s">
        <v>112</v>
      </c>
      <c r="J2366" s="20">
        <v>43</v>
      </c>
      <c r="K2366" s="20">
        <f>Sales!$B2366-Sales!$J2366</f>
        <v>2.3900000000000006</v>
      </c>
      <c r="L2366" s="23">
        <f>(Sales!$J2366-Sales!$B2366)/Sales!$J2366</f>
        <v>-5.5581395348837222E-2</v>
      </c>
      <c r="M2366" s="23" t="str">
        <f t="shared" si="36"/>
        <v>Below 0%</v>
      </c>
      <c r="N2366" s="22" t="s">
        <v>31</v>
      </c>
      <c r="O2366" s="22" t="s">
        <v>16</v>
      </c>
      <c r="P2366" s="22" t="s">
        <v>17</v>
      </c>
      <c r="Q2366" s="22" t="s">
        <v>14</v>
      </c>
    </row>
    <row r="2367" spans="1:17" x14ac:dyDescent="0.3">
      <c r="A2367" s="27">
        <v>33</v>
      </c>
      <c r="B2367" s="24">
        <v>51.93</v>
      </c>
      <c r="C2367" s="25">
        <f>Sales!$B2367*Sales!$A2367</f>
        <v>1713.69</v>
      </c>
      <c r="D2367" s="26">
        <v>38220</v>
      </c>
      <c r="E2367" s="27" t="s">
        <v>9</v>
      </c>
      <c r="F2367" s="27">
        <v>3</v>
      </c>
      <c r="G2367" s="27">
        <v>8</v>
      </c>
      <c r="H2367" s="27">
        <v>2004</v>
      </c>
      <c r="I2367" s="27" t="s">
        <v>112</v>
      </c>
      <c r="J2367" s="25">
        <v>43</v>
      </c>
      <c r="K2367" s="25">
        <f>Sales!$B2367-Sales!$J2367</f>
        <v>8.93</v>
      </c>
      <c r="L2367" s="28">
        <f>(Sales!$J2367-Sales!$B2367)/Sales!$J2367</f>
        <v>-0.20767441860465116</v>
      </c>
      <c r="M2367" s="28" t="str">
        <f t="shared" si="36"/>
        <v>Below 0%</v>
      </c>
      <c r="N2367" s="27" t="s">
        <v>110</v>
      </c>
      <c r="O2367" s="27" t="s">
        <v>25</v>
      </c>
      <c r="P2367" s="27" t="s">
        <v>17</v>
      </c>
      <c r="Q2367" s="27" t="s">
        <v>14</v>
      </c>
    </row>
    <row r="2368" spans="1:17" x14ac:dyDescent="0.3">
      <c r="A2368" s="22">
        <v>26</v>
      </c>
      <c r="B2368" s="19">
        <v>48.44</v>
      </c>
      <c r="C2368" s="20">
        <f>Sales!$B2368*Sales!$A2368</f>
        <v>1259.44</v>
      </c>
      <c r="D2368" s="21">
        <v>38245</v>
      </c>
      <c r="E2368" s="22" t="s">
        <v>9</v>
      </c>
      <c r="F2368" s="22">
        <v>3</v>
      </c>
      <c r="G2368" s="22">
        <v>9</v>
      </c>
      <c r="H2368" s="22">
        <v>2004</v>
      </c>
      <c r="I2368" s="22" t="s">
        <v>112</v>
      </c>
      <c r="J2368" s="20">
        <v>43</v>
      </c>
      <c r="K2368" s="20">
        <f>Sales!$B2368-Sales!$J2368</f>
        <v>5.4399999999999977</v>
      </c>
      <c r="L2368" s="23">
        <f>(Sales!$J2368-Sales!$B2368)/Sales!$J2368</f>
        <v>-0.1265116279069767</v>
      </c>
      <c r="M2368" s="23" t="str">
        <f t="shared" si="36"/>
        <v>Below 0%</v>
      </c>
      <c r="N2368" s="22" t="s">
        <v>116</v>
      </c>
      <c r="O2368" s="22" t="s">
        <v>94</v>
      </c>
      <c r="P2368" s="22" t="s">
        <v>17</v>
      </c>
      <c r="Q2368" s="22" t="s">
        <v>14</v>
      </c>
    </row>
    <row r="2369" spans="1:17" x14ac:dyDescent="0.3">
      <c r="A2369" s="27">
        <v>47</v>
      </c>
      <c r="B2369" s="24">
        <v>43.64</v>
      </c>
      <c r="C2369" s="25">
        <f>Sales!$B2369*Sales!$A2369</f>
        <v>2051.08</v>
      </c>
      <c r="D2369" s="26">
        <v>38275</v>
      </c>
      <c r="E2369" s="27" t="s">
        <v>9</v>
      </c>
      <c r="F2369" s="27">
        <v>4</v>
      </c>
      <c r="G2369" s="27">
        <v>10</v>
      </c>
      <c r="H2369" s="27">
        <v>2004</v>
      </c>
      <c r="I2369" s="27" t="s">
        <v>112</v>
      </c>
      <c r="J2369" s="25">
        <v>43</v>
      </c>
      <c r="K2369" s="25">
        <f>Sales!$B2369-Sales!$J2369</f>
        <v>0.64000000000000057</v>
      </c>
      <c r="L2369" s="28">
        <f>(Sales!$J2369-Sales!$B2369)/Sales!$J2369</f>
        <v>-1.4883720930232571E-2</v>
      </c>
      <c r="M2369" s="28" t="str">
        <f t="shared" si="36"/>
        <v>Below 0%</v>
      </c>
      <c r="N2369" s="27" t="s">
        <v>71</v>
      </c>
      <c r="O2369" s="27" t="s">
        <v>12</v>
      </c>
      <c r="P2369" s="27" t="s">
        <v>13</v>
      </c>
      <c r="Q2369" s="27" t="s">
        <v>14</v>
      </c>
    </row>
    <row r="2370" spans="1:17" x14ac:dyDescent="0.3">
      <c r="A2370" s="22">
        <v>34</v>
      </c>
      <c r="B2370" s="19">
        <v>47.57</v>
      </c>
      <c r="C2370" s="20">
        <f>Sales!$B2370*Sales!$A2370</f>
        <v>1617.38</v>
      </c>
      <c r="D2370" s="21">
        <v>38292</v>
      </c>
      <c r="E2370" s="22" t="s">
        <v>9</v>
      </c>
      <c r="F2370" s="22">
        <v>4</v>
      </c>
      <c r="G2370" s="22">
        <v>11</v>
      </c>
      <c r="H2370" s="22">
        <v>2004</v>
      </c>
      <c r="I2370" s="22" t="s">
        <v>112</v>
      </c>
      <c r="J2370" s="20">
        <v>43</v>
      </c>
      <c r="K2370" s="20">
        <f>Sales!$B2370-Sales!$J2370</f>
        <v>4.57</v>
      </c>
      <c r="L2370" s="23">
        <f>(Sales!$J2370-Sales!$B2370)/Sales!$J2370</f>
        <v>-0.10627906976744186</v>
      </c>
      <c r="M2370" s="23" t="str">
        <f t="shared" si="36"/>
        <v>Below 0%</v>
      </c>
      <c r="N2370" s="22" t="s">
        <v>84</v>
      </c>
      <c r="O2370" s="22" t="s">
        <v>43</v>
      </c>
      <c r="P2370" s="22" t="s">
        <v>17</v>
      </c>
      <c r="Q2370" s="22" t="s">
        <v>14</v>
      </c>
    </row>
    <row r="2371" spans="1:17" x14ac:dyDescent="0.3">
      <c r="A2371" s="27">
        <v>34</v>
      </c>
      <c r="B2371" s="24">
        <v>51.93</v>
      </c>
      <c r="C2371" s="25">
        <f>Sales!$B2371*Sales!$A2371</f>
        <v>1765.62</v>
      </c>
      <c r="D2371" s="26">
        <v>38303</v>
      </c>
      <c r="E2371" s="27" t="s">
        <v>9</v>
      </c>
      <c r="F2371" s="27">
        <v>4</v>
      </c>
      <c r="G2371" s="27">
        <v>11</v>
      </c>
      <c r="H2371" s="27">
        <v>2004</v>
      </c>
      <c r="I2371" s="27" t="s">
        <v>112</v>
      </c>
      <c r="J2371" s="25">
        <v>43</v>
      </c>
      <c r="K2371" s="25">
        <f>Sales!$B2371-Sales!$J2371</f>
        <v>8.93</v>
      </c>
      <c r="L2371" s="28">
        <f>(Sales!$J2371-Sales!$B2371)/Sales!$J2371</f>
        <v>-0.20767441860465116</v>
      </c>
      <c r="M2371" s="28" t="str">
        <f t="shared" ref="M2371:M2434" si="37">IF(L2371&lt;0%,"Below 0%",IF(L2371=0%,"0%",IF(AND(L2371&lt;=5%,L2371&gt;0%),"0%-5%",IF(AND(L2371&lt;=10%,L2371&gt;5%),"5%-10%",IF(AND(L2371&lt;=15%,L2371&gt;10%),"10%-15%",IF(AND(L2371&lt;=20%,L2371&gt;15%),"15%-20%","+20%"))))))</f>
        <v>Below 0%</v>
      </c>
      <c r="N2371" s="27" t="s">
        <v>113</v>
      </c>
      <c r="O2371" s="27" t="s">
        <v>61</v>
      </c>
      <c r="P2371" s="27" t="s">
        <v>17</v>
      </c>
      <c r="Q2371" s="27" t="s">
        <v>14</v>
      </c>
    </row>
    <row r="2372" spans="1:17" x14ac:dyDescent="0.3">
      <c r="A2372" s="22">
        <v>40</v>
      </c>
      <c r="B2372" s="19">
        <v>50.62</v>
      </c>
      <c r="C2372" s="20">
        <f>Sales!$B2372*Sales!$A2372</f>
        <v>2024.8</v>
      </c>
      <c r="D2372" s="21">
        <v>38315</v>
      </c>
      <c r="E2372" s="22" t="s">
        <v>9</v>
      </c>
      <c r="F2372" s="22">
        <v>4</v>
      </c>
      <c r="G2372" s="22">
        <v>11</v>
      </c>
      <c r="H2372" s="22">
        <v>2004</v>
      </c>
      <c r="I2372" s="22" t="s">
        <v>112</v>
      </c>
      <c r="J2372" s="20">
        <v>43</v>
      </c>
      <c r="K2372" s="20">
        <f>Sales!$B2372-Sales!$J2372</f>
        <v>7.6199999999999974</v>
      </c>
      <c r="L2372" s="23">
        <f>(Sales!$J2372-Sales!$B2372)/Sales!$J2372</f>
        <v>-0.17720930232558132</v>
      </c>
      <c r="M2372" s="23" t="str">
        <f t="shared" si="37"/>
        <v>Below 0%</v>
      </c>
      <c r="N2372" s="22" t="s">
        <v>77</v>
      </c>
      <c r="O2372" s="22" t="s">
        <v>46</v>
      </c>
      <c r="P2372" s="22" t="s">
        <v>17</v>
      </c>
      <c r="Q2372" s="22" t="s">
        <v>14</v>
      </c>
    </row>
    <row r="2373" spans="1:17" x14ac:dyDescent="0.3">
      <c r="A2373" s="27">
        <v>40</v>
      </c>
      <c r="B2373" s="24">
        <v>82.21</v>
      </c>
      <c r="C2373" s="25">
        <f>Sales!$B2373*Sales!$A2373</f>
        <v>3288.3999999999996</v>
      </c>
      <c r="D2373" s="26">
        <v>38325</v>
      </c>
      <c r="E2373" s="27" t="s">
        <v>9</v>
      </c>
      <c r="F2373" s="27">
        <v>4</v>
      </c>
      <c r="G2373" s="27">
        <v>12</v>
      </c>
      <c r="H2373" s="27">
        <v>2004</v>
      </c>
      <c r="I2373" s="27" t="s">
        <v>112</v>
      </c>
      <c r="J2373" s="25">
        <v>43</v>
      </c>
      <c r="K2373" s="25">
        <f>Sales!$B2373-Sales!$J2373</f>
        <v>39.209999999999994</v>
      </c>
      <c r="L2373" s="28">
        <f>(Sales!$J2373-Sales!$B2373)/Sales!$J2373</f>
        <v>-0.91186046511627894</v>
      </c>
      <c r="M2373" s="28" t="str">
        <f t="shared" si="37"/>
        <v>Below 0%</v>
      </c>
      <c r="N2373" s="27" t="s">
        <v>105</v>
      </c>
      <c r="O2373" s="27" t="s">
        <v>12</v>
      </c>
      <c r="P2373" s="27" t="s">
        <v>13</v>
      </c>
      <c r="Q2373" s="27" t="s">
        <v>19</v>
      </c>
    </row>
    <row r="2374" spans="1:17" x14ac:dyDescent="0.3">
      <c r="A2374" s="22">
        <v>33</v>
      </c>
      <c r="B2374" s="19">
        <v>82.59</v>
      </c>
      <c r="C2374" s="20">
        <f>Sales!$B2374*Sales!$A2374</f>
        <v>2725.4700000000003</v>
      </c>
      <c r="D2374" s="21">
        <v>38338</v>
      </c>
      <c r="E2374" s="22" t="s">
        <v>9</v>
      </c>
      <c r="F2374" s="22">
        <v>4</v>
      </c>
      <c r="G2374" s="22">
        <v>12</v>
      </c>
      <c r="H2374" s="22">
        <v>2004</v>
      </c>
      <c r="I2374" s="22" t="s">
        <v>112</v>
      </c>
      <c r="J2374" s="20">
        <v>43</v>
      </c>
      <c r="K2374" s="20">
        <f>Sales!$B2374-Sales!$J2374</f>
        <v>39.590000000000003</v>
      </c>
      <c r="L2374" s="23">
        <f>(Sales!$J2374-Sales!$B2374)/Sales!$J2374</f>
        <v>-0.92069767441860473</v>
      </c>
      <c r="M2374" s="23" t="str">
        <f t="shared" si="37"/>
        <v>Below 0%</v>
      </c>
      <c r="N2374" s="22" t="s">
        <v>40</v>
      </c>
      <c r="O2374" s="22" t="s">
        <v>27</v>
      </c>
      <c r="P2374" s="22" t="s">
        <v>28</v>
      </c>
      <c r="Q2374" s="22" t="s">
        <v>14</v>
      </c>
    </row>
    <row r="2375" spans="1:17" x14ac:dyDescent="0.3">
      <c r="A2375" s="27">
        <v>49</v>
      </c>
      <c r="B2375" s="24">
        <v>65.8</v>
      </c>
      <c r="C2375" s="25">
        <f>Sales!$B2375*Sales!$A2375</f>
        <v>3224.2</v>
      </c>
      <c r="D2375" s="26">
        <v>38386</v>
      </c>
      <c r="E2375" s="27" t="s">
        <v>9</v>
      </c>
      <c r="F2375" s="27">
        <v>1</v>
      </c>
      <c r="G2375" s="27">
        <v>2</v>
      </c>
      <c r="H2375" s="27">
        <v>2005</v>
      </c>
      <c r="I2375" s="27" t="s">
        <v>112</v>
      </c>
      <c r="J2375" s="25">
        <v>43</v>
      </c>
      <c r="K2375" s="25">
        <f>Sales!$B2375-Sales!$J2375</f>
        <v>22.799999999999997</v>
      </c>
      <c r="L2375" s="28">
        <f>(Sales!$J2375-Sales!$B2375)/Sales!$J2375</f>
        <v>-0.53023255813953485</v>
      </c>
      <c r="M2375" s="28" t="str">
        <f t="shared" si="37"/>
        <v>Below 0%</v>
      </c>
      <c r="N2375" s="27" t="s">
        <v>31</v>
      </c>
      <c r="O2375" s="27" t="s">
        <v>16</v>
      </c>
      <c r="P2375" s="27" t="s">
        <v>17</v>
      </c>
      <c r="Q2375" s="27" t="s">
        <v>19</v>
      </c>
    </row>
    <row r="2376" spans="1:17" x14ac:dyDescent="0.3">
      <c r="A2376" s="22">
        <v>27</v>
      </c>
      <c r="B2376" s="19">
        <v>100</v>
      </c>
      <c r="C2376" s="20">
        <f>Sales!$B2376*Sales!$A2376</f>
        <v>2700</v>
      </c>
      <c r="D2376" s="21">
        <v>38414</v>
      </c>
      <c r="E2376" s="22" t="s">
        <v>9</v>
      </c>
      <c r="F2376" s="22">
        <v>1</v>
      </c>
      <c r="G2376" s="22">
        <v>3</v>
      </c>
      <c r="H2376" s="22">
        <v>2005</v>
      </c>
      <c r="I2376" s="22" t="s">
        <v>112</v>
      </c>
      <c r="J2376" s="20">
        <v>43</v>
      </c>
      <c r="K2376" s="20">
        <f>Sales!$B2376-Sales!$J2376</f>
        <v>57</v>
      </c>
      <c r="L2376" s="23">
        <f>(Sales!$J2376-Sales!$B2376)/Sales!$J2376</f>
        <v>-1.3255813953488371</v>
      </c>
      <c r="M2376" s="23" t="str">
        <f t="shared" si="37"/>
        <v>Below 0%</v>
      </c>
      <c r="N2376" s="22" t="s">
        <v>41</v>
      </c>
      <c r="O2376" s="22" t="s">
        <v>12</v>
      </c>
      <c r="P2376" s="22" t="s">
        <v>13</v>
      </c>
      <c r="Q2376" s="22" t="s">
        <v>19</v>
      </c>
    </row>
    <row r="2377" spans="1:17" x14ac:dyDescent="0.3">
      <c r="A2377" s="27">
        <v>49</v>
      </c>
      <c r="B2377" s="24">
        <v>36.659999999999997</v>
      </c>
      <c r="C2377" s="25">
        <f>Sales!$B2377*Sales!$A2377</f>
        <v>1796.34</v>
      </c>
      <c r="D2377" s="26">
        <v>38441</v>
      </c>
      <c r="E2377" s="27" t="s">
        <v>9</v>
      </c>
      <c r="F2377" s="27">
        <v>1</v>
      </c>
      <c r="G2377" s="27">
        <v>3</v>
      </c>
      <c r="H2377" s="27">
        <v>2005</v>
      </c>
      <c r="I2377" s="27" t="s">
        <v>112</v>
      </c>
      <c r="J2377" s="25">
        <v>43</v>
      </c>
      <c r="K2377" s="25">
        <f>Sales!$B2377-Sales!$J2377</f>
        <v>-6.3400000000000034</v>
      </c>
      <c r="L2377" s="28">
        <f>(Sales!$J2377-Sales!$B2377)/Sales!$J2377</f>
        <v>0.14744186046511637</v>
      </c>
      <c r="M2377" s="28" t="str">
        <f t="shared" si="37"/>
        <v>10%-15%</v>
      </c>
      <c r="N2377" s="27" t="s">
        <v>15</v>
      </c>
      <c r="O2377" s="27" t="s">
        <v>16</v>
      </c>
      <c r="P2377" s="27" t="s">
        <v>17</v>
      </c>
      <c r="Q2377" s="27" t="s">
        <v>14</v>
      </c>
    </row>
    <row r="2378" spans="1:17" x14ac:dyDescent="0.3">
      <c r="A2378" s="22">
        <v>56</v>
      </c>
      <c r="B2378" s="19">
        <v>35.35</v>
      </c>
      <c r="C2378" s="20">
        <f>Sales!$B2378*Sales!$A2378</f>
        <v>1979.6000000000001</v>
      </c>
      <c r="D2378" s="21">
        <v>38445</v>
      </c>
      <c r="E2378" s="22" t="s">
        <v>87</v>
      </c>
      <c r="F2378" s="22">
        <v>2</v>
      </c>
      <c r="G2378" s="22">
        <v>4</v>
      </c>
      <c r="H2378" s="22">
        <v>2005</v>
      </c>
      <c r="I2378" s="22" t="s">
        <v>112</v>
      </c>
      <c r="J2378" s="20">
        <v>43</v>
      </c>
      <c r="K2378" s="20">
        <f>Sales!$B2378-Sales!$J2378</f>
        <v>-7.6499999999999986</v>
      </c>
      <c r="L2378" s="23">
        <f>(Sales!$J2378-Sales!$B2378)/Sales!$J2378</f>
        <v>0.17790697674418601</v>
      </c>
      <c r="M2378" s="23" t="str">
        <f t="shared" si="37"/>
        <v>15%-20%</v>
      </c>
      <c r="N2378" s="22" t="s">
        <v>29</v>
      </c>
      <c r="O2378" s="22" t="s">
        <v>12</v>
      </c>
      <c r="P2378" s="22" t="s">
        <v>13</v>
      </c>
      <c r="Q2378" s="22" t="s">
        <v>14</v>
      </c>
    </row>
    <row r="2379" spans="1:17" x14ac:dyDescent="0.3">
      <c r="A2379" s="27">
        <v>37</v>
      </c>
      <c r="B2379" s="24">
        <v>51.93</v>
      </c>
      <c r="C2379" s="25">
        <f>Sales!$B2379*Sales!$A2379</f>
        <v>1921.41</v>
      </c>
      <c r="D2379" s="26">
        <v>38482</v>
      </c>
      <c r="E2379" s="27" t="s">
        <v>9</v>
      </c>
      <c r="F2379" s="27">
        <v>2</v>
      </c>
      <c r="G2379" s="27">
        <v>5</v>
      </c>
      <c r="H2379" s="27">
        <v>2005</v>
      </c>
      <c r="I2379" s="27" t="s">
        <v>112</v>
      </c>
      <c r="J2379" s="25">
        <v>43</v>
      </c>
      <c r="K2379" s="25">
        <f>Sales!$B2379-Sales!$J2379</f>
        <v>8.93</v>
      </c>
      <c r="L2379" s="28">
        <f>(Sales!$J2379-Sales!$B2379)/Sales!$J2379</f>
        <v>-0.20767441860465116</v>
      </c>
      <c r="M2379" s="28" t="str">
        <f t="shared" si="37"/>
        <v>Below 0%</v>
      </c>
      <c r="N2379" s="27" t="s">
        <v>97</v>
      </c>
      <c r="O2379" s="27" t="s">
        <v>61</v>
      </c>
      <c r="P2379" s="27" t="s">
        <v>17</v>
      </c>
      <c r="Q2379" s="27" t="s">
        <v>14</v>
      </c>
    </row>
    <row r="2380" spans="1:17" x14ac:dyDescent="0.3">
      <c r="A2380" s="22">
        <v>33</v>
      </c>
      <c r="B2380" s="19">
        <v>100</v>
      </c>
      <c r="C2380" s="20">
        <f>Sales!$B2380*Sales!$A2380</f>
        <v>3300</v>
      </c>
      <c r="D2380" s="21">
        <v>37652</v>
      </c>
      <c r="E2380" s="22" t="s">
        <v>9</v>
      </c>
      <c r="F2380" s="22">
        <v>1</v>
      </c>
      <c r="G2380" s="22">
        <v>1</v>
      </c>
      <c r="H2380" s="22">
        <v>2003</v>
      </c>
      <c r="I2380" s="22" t="s">
        <v>104</v>
      </c>
      <c r="J2380" s="20">
        <v>115</v>
      </c>
      <c r="K2380" s="20">
        <f>Sales!$B2380-Sales!$J2380</f>
        <v>-15</v>
      </c>
      <c r="L2380" s="23">
        <f>(Sales!$J2380-Sales!$B2380)/Sales!$J2380</f>
        <v>0.13043478260869565</v>
      </c>
      <c r="M2380" s="23" t="str">
        <f t="shared" si="37"/>
        <v>10%-15%</v>
      </c>
      <c r="N2380" s="22" t="s">
        <v>45</v>
      </c>
      <c r="O2380" s="22" t="s">
        <v>46</v>
      </c>
      <c r="P2380" s="22" t="s">
        <v>17</v>
      </c>
      <c r="Q2380" s="22" t="s">
        <v>19</v>
      </c>
    </row>
    <row r="2381" spans="1:17" x14ac:dyDescent="0.3">
      <c r="A2381" s="27">
        <v>27</v>
      </c>
      <c r="B2381" s="24">
        <v>100</v>
      </c>
      <c r="C2381" s="25">
        <f>Sales!$B2381*Sales!$A2381</f>
        <v>2700</v>
      </c>
      <c r="D2381" s="26">
        <v>37715</v>
      </c>
      <c r="E2381" s="27" t="s">
        <v>9</v>
      </c>
      <c r="F2381" s="27">
        <v>2</v>
      </c>
      <c r="G2381" s="27">
        <v>4</v>
      </c>
      <c r="H2381" s="27">
        <v>2003</v>
      </c>
      <c r="I2381" s="27" t="s">
        <v>104</v>
      </c>
      <c r="J2381" s="25">
        <v>115</v>
      </c>
      <c r="K2381" s="25">
        <f>Sales!$B2381-Sales!$J2381</f>
        <v>-15</v>
      </c>
      <c r="L2381" s="28">
        <f>(Sales!$J2381-Sales!$B2381)/Sales!$J2381</f>
        <v>0.13043478260869565</v>
      </c>
      <c r="M2381" s="28" t="str">
        <f t="shared" si="37"/>
        <v>10%-15%</v>
      </c>
      <c r="N2381" s="27" t="s">
        <v>11</v>
      </c>
      <c r="O2381" s="27" t="s">
        <v>12</v>
      </c>
      <c r="P2381" s="27" t="s">
        <v>13</v>
      </c>
      <c r="Q2381" s="27" t="s">
        <v>14</v>
      </c>
    </row>
    <row r="2382" spans="1:17" x14ac:dyDescent="0.3">
      <c r="A2382" s="22">
        <v>46</v>
      </c>
      <c r="B2382" s="19">
        <v>100</v>
      </c>
      <c r="C2382" s="20">
        <f>Sales!$B2382*Sales!$A2382</f>
        <v>4600</v>
      </c>
      <c r="D2382" s="21">
        <v>37775</v>
      </c>
      <c r="E2382" s="22" t="s">
        <v>9</v>
      </c>
      <c r="F2382" s="22">
        <v>2</v>
      </c>
      <c r="G2382" s="22">
        <v>6</v>
      </c>
      <c r="H2382" s="22">
        <v>2003</v>
      </c>
      <c r="I2382" s="22" t="s">
        <v>104</v>
      </c>
      <c r="J2382" s="20">
        <v>115</v>
      </c>
      <c r="K2382" s="20">
        <f>Sales!$B2382-Sales!$J2382</f>
        <v>-15</v>
      </c>
      <c r="L2382" s="23">
        <f>(Sales!$J2382-Sales!$B2382)/Sales!$J2382</f>
        <v>0.13043478260869565</v>
      </c>
      <c r="M2382" s="23" t="str">
        <f t="shared" si="37"/>
        <v>10%-15%</v>
      </c>
      <c r="N2382" s="22" t="s">
        <v>11</v>
      </c>
      <c r="O2382" s="22" t="s">
        <v>12</v>
      </c>
      <c r="P2382" s="22" t="s">
        <v>13</v>
      </c>
      <c r="Q2382" s="22" t="s">
        <v>19</v>
      </c>
    </row>
    <row r="2383" spans="1:17" x14ac:dyDescent="0.3">
      <c r="A2383" s="27">
        <v>44</v>
      </c>
      <c r="B2383" s="24">
        <v>100</v>
      </c>
      <c r="C2383" s="25">
        <f>Sales!$B2383*Sales!$A2383</f>
        <v>4400</v>
      </c>
      <c r="D2383" s="26">
        <v>37834</v>
      </c>
      <c r="E2383" s="27" t="s">
        <v>9</v>
      </c>
      <c r="F2383" s="27">
        <v>3</v>
      </c>
      <c r="G2383" s="27">
        <v>8</v>
      </c>
      <c r="H2383" s="27">
        <v>2003</v>
      </c>
      <c r="I2383" s="27" t="s">
        <v>104</v>
      </c>
      <c r="J2383" s="25">
        <v>115</v>
      </c>
      <c r="K2383" s="25">
        <f>Sales!$B2383-Sales!$J2383</f>
        <v>-15</v>
      </c>
      <c r="L2383" s="28">
        <f>(Sales!$J2383-Sales!$B2383)/Sales!$J2383</f>
        <v>0.13043478260869565</v>
      </c>
      <c r="M2383" s="28" t="str">
        <f t="shared" si="37"/>
        <v>10%-15%</v>
      </c>
      <c r="N2383" s="27" t="s">
        <v>99</v>
      </c>
      <c r="O2383" s="27" t="s">
        <v>34</v>
      </c>
      <c r="P2383" s="27" t="s">
        <v>17</v>
      </c>
      <c r="Q2383" s="27" t="s">
        <v>19</v>
      </c>
    </row>
    <row r="2384" spans="1:17" x14ac:dyDescent="0.3">
      <c r="A2384" s="22">
        <v>26</v>
      </c>
      <c r="B2384" s="19">
        <v>100</v>
      </c>
      <c r="C2384" s="20">
        <f>Sales!$B2384*Sales!$A2384</f>
        <v>2600</v>
      </c>
      <c r="D2384" s="21">
        <v>37885</v>
      </c>
      <c r="E2384" s="22" t="s">
        <v>9</v>
      </c>
      <c r="F2384" s="22">
        <v>3</v>
      </c>
      <c r="G2384" s="22">
        <v>9</v>
      </c>
      <c r="H2384" s="22">
        <v>2003</v>
      </c>
      <c r="I2384" s="22" t="s">
        <v>104</v>
      </c>
      <c r="J2384" s="20">
        <v>115</v>
      </c>
      <c r="K2384" s="20">
        <f>Sales!$B2384-Sales!$J2384</f>
        <v>-15</v>
      </c>
      <c r="L2384" s="23">
        <f>(Sales!$J2384-Sales!$B2384)/Sales!$J2384</f>
        <v>0.13043478260869565</v>
      </c>
      <c r="M2384" s="23" t="str">
        <f t="shared" si="37"/>
        <v>10%-15%</v>
      </c>
      <c r="N2384" s="22" t="s">
        <v>85</v>
      </c>
      <c r="O2384" s="22" t="s">
        <v>34</v>
      </c>
      <c r="P2384" s="22" t="s">
        <v>17</v>
      </c>
      <c r="Q2384" s="22" t="s">
        <v>19</v>
      </c>
    </row>
    <row r="2385" spans="1:17" x14ac:dyDescent="0.3">
      <c r="A2385" s="27">
        <v>48</v>
      </c>
      <c r="B2385" s="24">
        <v>94.92</v>
      </c>
      <c r="C2385" s="25">
        <f>Sales!$B2385*Sales!$A2385</f>
        <v>4556.16</v>
      </c>
      <c r="D2385" s="26">
        <v>37916</v>
      </c>
      <c r="E2385" s="27" t="s">
        <v>9</v>
      </c>
      <c r="F2385" s="27">
        <v>4</v>
      </c>
      <c r="G2385" s="27">
        <v>10</v>
      </c>
      <c r="H2385" s="27">
        <v>2003</v>
      </c>
      <c r="I2385" s="27" t="s">
        <v>104</v>
      </c>
      <c r="J2385" s="25">
        <v>115</v>
      </c>
      <c r="K2385" s="25">
        <f>Sales!$B2385-Sales!$J2385</f>
        <v>-20.079999999999998</v>
      </c>
      <c r="L2385" s="28">
        <f>(Sales!$J2385-Sales!$B2385)/Sales!$J2385</f>
        <v>0.17460869565217391</v>
      </c>
      <c r="M2385" s="28" t="str">
        <f t="shared" si="37"/>
        <v>15%-20%</v>
      </c>
      <c r="N2385" s="27" t="s">
        <v>50</v>
      </c>
      <c r="O2385" s="27" t="s">
        <v>50</v>
      </c>
      <c r="P2385" s="27" t="s">
        <v>28</v>
      </c>
      <c r="Q2385" s="27" t="s">
        <v>19</v>
      </c>
    </row>
    <row r="2386" spans="1:17" x14ac:dyDescent="0.3">
      <c r="A2386" s="22">
        <v>23</v>
      </c>
      <c r="B2386" s="19">
        <v>100</v>
      </c>
      <c r="C2386" s="20">
        <f>Sales!$B2386*Sales!$A2386</f>
        <v>2300</v>
      </c>
      <c r="D2386" s="21">
        <v>37931</v>
      </c>
      <c r="E2386" s="22" t="s">
        <v>9</v>
      </c>
      <c r="F2386" s="22">
        <v>4</v>
      </c>
      <c r="G2386" s="22">
        <v>11</v>
      </c>
      <c r="H2386" s="22">
        <v>2003</v>
      </c>
      <c r="I2386" s="22" t="s">
        <v>104</v>
      </c>
      <c r="J2386" s="20">
        <v>115</v>
      </c>
      <c r="K2386" s="20">
        <f>Sales!$B2386-Sales!$J2386</f>
        <v>-15</v>
      </c>
      <c r="L2386" s="23">
        <f>(Sales!$J2386-Sales!$B2386)/Sales!$J2386</f>
        <v>0.13043478260869565</v>
      </c>
      <c r="M2386" s="23" t="str">
        <f t="shared" si="37"/>
        <v>10%-15%</v>
      </c>
      <c r="N2386" s="22" t="s">
        <v>97</v>
      </c>
      <c r="O2386" s="22" t="s">
        <v>61</v>
      </c>
      <c r="P2386" s="22" t="s">
        <v>17</v>
      </c>
      <c r="Q2386" s="22" t="s">
        <v>19</v>
      </c>
    </row>
    <row r="2387" spans="1:17" x14ac:dyDescent="0.3">
      <c r="A2387" s="27">
        <v>45</v>
      </c>
      <c r="B2387" s="24">
        <v>100</v>
      </c>
      <c r="C2387" s="25">
        <f>Sales!$B2387*Sales!$A2387</f>
        <v>4500</v>
      </c>
      <c r="D2387" s="26">
        <v>37939</v>
      </c>
      <c r="E2387" s="27" t="s">
        <v>9</v>
      </c>
      <c r="F2387" s="27">
        <v>4</v>
      </c>
      <c r="G2387" s="27">
        <v>11</v>
      </c>
      <c r="H2387" s="27">
        <v>2003</v>
      </c>
      <c r="I2387" s="27" t="s">
        <v>104</v>
      </c>
      <c r="J2387" s="25">
        <v>115</v>
      </c>
      <c r="K2387" s="25">
        <f>Sales!$B2387-Sales!$J2387</f>
        <v>-15</v>
      </c>
      <c r="L2387" s="28">
        <f>(Sales!$J2387-Sales!$B2387)/Sales!$J2387</f>
        <v>0.13043478260869565</v>
      </c>
      <c r="M2387" s="28" t="str">
        <f t="shared" si="37"/>
        <v>10%-15%</v>
      </c>
      <c r="N2387" s="27" t="s">
        <v>106</v>
      </c>
      <c r="O2387" s="27" t="s">
        <v>46</v>
      </c>
      <c r="P2387" s="27" t="s">
        <v>17</v>
      </c>
      <c r="Q2387" s="27" t="s">
        <v>19</v>
      </c>
    </row>
    <row r="2388" spans="1:17" x14ac:dyDescent="0.3">
      <c r="A2388" s="22">
        <v>49</v>
      </c>
      <c r="B2388" s="19">
        <v>100</v>
      </c>
      <c r="C2388" s="20">
        <f>Sales!$B2388*Sales!$A2388</f>
        <v>4900</v>
      </c>
      <c r="D2388" s="21">
        <v>37950</v>
      </c>
      <c r="E2388" s="22" t="s">
        <v>9</v>
      </c>
      <c r="F2388" s="22">
        <v>4</v>
      </c>
      <c r="G2388" s="22">
        <v>11</v>
      </c>
      <c r="H2388" s="22">
        <v>2003</v>
      </c>
      <c r="I2388" s="22" t="s">
        <v>104</v>
      </c>
      <c r="J2388" s="20">
        <v>115</v>
      </c>
      <c r="K2388" s="20">
        <f>Sales!$B2388-Sales!$J2388</f>
        <v>-15</v>
      </c>
      <c r="L2388" s="23">
        <f>(Sales!$J2388-Sales!$B2388)/Sales!$J2388</f>
        <v>0.13043478260869565</v>
      </c>
      <c r="M2388" s="23" t="str">
        <f t="shared" si="37"/>
        <v>10%-15%</v>
      </c>
      <c r="N2388" s="22" t="s">
        <v>71</v>
      </c>
      <c r="O2388" s="22" t="s">
        <v>12</v>
      </c>
      <c r="P2388" s="22" t="s">
        <v>13</v>
      </c>
      <c r="Q2388" s="22" t="s">
        <v>19</v>
      </c>
    </row>
    <row r="2389" spans="1:17" x14ac:dyDescent="0.3">
      <c r="A2389" s="27">
        <v>28</v>
      </c>
      <c r="B2389" s="24">
        <v>94.92</v>
      </c>
      <c r="C2389" s="25">
        <f>Sales!$B2389*Sales!$A2389</f>
        <v>2657.76</v>
      </c>
      <c r="D2389" s="26">
        <v>37964</v>
      </c>
      <c r="E2389" s="27" t="s">
        <v>9</v>
      </c>
      <c r="F2389" s="27">
        <v>4</v>
      </c>
      <c r="G2389" s="27">
        <v>12</v>
      </c>
      <c r="H2389" s="27">
        <v>2003</v>
      </c>
      <c r="I2389" s="27" t="s">
        <v>104</v>
      </c>
      <c r="J2389" s="25">
        <v>115</v>
      </c>
      <c r="K2389" s="25">
        <f>Sales!$B2389-Sales!$J2389</f>
        <v>-20.079999999999998</v>
      </c>
      <c r="L2389" s="28">
        <f>(Sales!$J2389-Sales!$B2389)/Sales!$J2389</f>
        <v>0.17460869565217391</v>
      </c>
      <c r="M2389" s="28" t="str">
        <f t="shared" si="37"/>
        <v>15%-20%</v>
      </c>
      <c r="N2389" s="27" t="s">
        <v>83</v>
      </c>
      <c r="O2389" s="27" t="s">
        <v>12</v>
      </c>
      <c r="P2389" s="27" t="s">
        <v>13</v>
      </c>
      <c r="Q2389" s="27" t="s">
        <v>14</v>
      </c>
    </row>
    <row r="2390" spans="1:17" x14ac:dyDescent="0.3">
      <c r="A2390" s="22">
        <v>37</v>
      </c>
      <c r="B2390" s="19">
        <v>100</v>
      </c>
      <c r="C2390" s="20">
        <f>Sales!$B2390*Sales!$A2390</f>
        <v>3700</v>
      </c>
      <c r="D2390" s="21">
        <v>38029</v>
      </c>
      <c r="E2390" s="22" t="s">
        <v>9</v>
      </c>
      <c r="F2390" s="22">
        <v>1</v>
      </c>
      <c r="G2390" s="22">
        <v>2</v>
      </c>
      <c r="H2390" s="22">
        <v>2004</v>
      </c>
      <c r="I2390" s="22" t="s">
        <v>104</v>
      </c>
      <c r="J2390" s="20">
        <v>115</v>
      </c>
      <c r="K2390" s="20">
        <f>Sales!$B2390-Sales!$J2390</f>
        <v>-15</v>
      </c>
      <c r="L2390" s="23">
        <f>(Sales!$J2390-Sales!$B2390)/Sales!$J2390</f>
        <v>0.13043478260869565</v>
      </c>
      <c r="M2390" s="23" t="str">
        <f t="shared" si="37"/>
        <v>10%-15%</v>
      </c>
      <c r="N2390" s="22" t="s">
        <v>100</v>
      </c>
      <c r="O2390" s="22" t="s">
        <v>101</v>
      </c>
      <c r="P2390" s="22" t="s">
        <v>17</v>
      </c>
      <c r="Q2390" s="22" t="s">
        <v>19</v>
      </c>
    </row>
    <row r="2391" spans="1:17" x14ac:dyDescent="0.3">
      <c r="A2391" s="27">
        <v>34</v>
      </c>
      <c r="B2391" s="24">
        <v>100</v>
      </c>
      <c r="C2391" s="25">
        <f>Sales!$B2391*Sales!$A2391</f>
        <v>3400</v>
      </c>
      <c r="D2391" s="26">
        <v>38061</v>
      </c>
      <c r="E2391" s="27" t="s">
        <v>9</v>
      </c>
      <c r="F2391" s="27">
        <v>1</v>
      </c>
      <c r="G2391" s="27">
        <v>3</v>
      </c>
      <c r="H2391" s="27">
        <v>2004</v>
      </c>
      <c r="I2391" s="27" t="s">
        <v>104</v>
      </c>
      <c r="J2391" s="25">
        <v>115</v>
      </c>
      <c r="K2391" s="25">
        <f>Sales!$B2391-Sales!$J2391</f>
        <v>-15</v>
      </c>
      <c r="L2391" s="28">
        <f>(Sales!$J2391-Sales!$B2391)/Sales!$J2391</f>
        <v>0.13043478260869565</v>
      </c>
      <c r="M2391" s="28" t="str">
        <f t="shared" si="37"/>
        <v>10%-15%</v>
      </c>
      <c r="N2391" s="27" t="s">
        <v>98</v>
      </c>
      <c r="O2391" s="27" t="s">
        <v>94</v>
      </c>
      <c r="P2391" s="27" t="s">
        <v>17</v>
      </c>
      <c r="Q2391" s="27" t="s">
        <v>19</v>
      </c>
    </row>
    <row r="2392" spans="1:17" x14ac:dyDescent="0.3">
      <c r="A2392" s="22">
        <v>22</v>
      </c>
      <c r="B2392" s="19">
        <v>100</v>
      </c>
      <c r="C2392" s="20">
        <f>Sales!$B2392*Sales!$A2392</f>
        <v>2200</v>
      </c>
      <c r="D2392" s="21">
        <v>38112</v>
      </c>
      <c r="E2392" s="22" t="s">
        <v>9</v>
      </c>
      <c r="F2392" s="22">
        <v>2</v>
      </c>
      <c r="G2392" s="22">
        <v>5</v>
      </c>
      <c r="H2392" s="22">
        <v>2004</v>
      </c>
      <c r="I2392" s="22" t="s">
        <v>104</v>
      </c>
      <c r="J2392" s="20">
        <v>115</v>
      </c>
      <c r="K2392" s="20">
        <f>Sales!$B2392-Sales!$J2392</f>
        <v>-15</v>
      </c>
      <c r="L2392" s="23">
        <f>(Sales!$J2392-Sales!$B2392)/Sales!$J2392</f>
        <v>0.13043478260869565</v>
      </c>
      <c r="M2392" s="23" t="str">
        <f t="shared" si="37"/>
        <v>10%-15%</v>
      </c>
      <c r="N2392" s="22" t="s">
        <v>45</v>
      </c>
      <c r="O2392" s="22" t="s">
        <v>46</v>
      </c>
      <c r="P2392" s="22" t="s">
        <v>17</v>
      </c>
      <c r="Q2392" s="22" t="s">
        <v>14</v>
      </c>
    </row>
    <row r="2393" spans="1:17" x14ac:dyDescent="0.3">
      <c r="A2393" s="27">
        <v>29</v>
      </c>
      <c r="B2393" s="24">
        <v>100</v>
      </c>
      <c r="C2393" s="25">
        <f>Sales!$B2393*Sales!$A2393</f>
        <v>2900</v>
      </c>
      <c r="D2393" s="26">
        <v>38153</v>
      </c>
      <c r="E2393" s="27" t="s">
        <v>9</v>
      </c>
      <c r="F2393" s="27">
        <v>2</v>
      </c>
      <c r="G2393" s="27">
        <v>6</v>
      </c>
      <c r="H2393" s="27">
        <v>2004</v>
      </c>
      <c r="I2393" s="27" t="s">
        <v>104</v>
      </c>
      <c r="J2393" s="25">
        <v>115</v>
      </c>
      <c r="K2393" s="25">
        <f>Sales!$B2393-Sales!$J2393</f>
        <v>-15</v>
      </c>
      <c r="L2393" s="28">
        <f>(Sales!$J2393-Sales!$B2393)/Sales!$J2393</f>
        <v>0.13043478260869565</v>
      </c>
      <c r="M2393" s="28" t="str">
        <f t="shared" si="37"/>
        <v>10%-15%</v>
      </c>
      <c r="N2393" s="27" t="s">
        <v>50</v>
      </c>
      <c r="O2393" s="27" t="s">
        <v>50</v>
      </c>
      <c r="P2393" s="27" t="s">
        <v>28</v>
      </c>
      <c r="Q2393" s="27" t="s">
        <v>19</v>
      </c>
    </row>
    <row r="2394" spans="1:17" x14ac:dyDescent="0.3">
      <c r="A2394" s="22">
        <v>34</v>
      </c>
      <c r="B2394" s="19">
        <v>98.39</v>
      </c>
      <c r="C2394" s="20">
        <f>Sales!$B2394*Sales!$A2394</f>
        <v>3345.26</v>
      </c>
      <c r="D2394" s="21">
        <v>38188</v>
      </c>
      <c r="E2394" s="22" t="s">
        <v>9</v>
      </c>
      <c r="F2394" s="22">
        <v>3</v>
      </c>
      <c r="G2394" s="22">
        <v>7</v>
      </c>
      <c r="H2394" s="22">
        <v>2004</v>
      </c>
      <c r="I2394" s="22" t="s">
        <v>104</v>
      </c>
      <c r="J2394" s="20">
        <v>115</v>
      </c>
      <c r="K2394" s="20">
        <f>Sales!$B2394-Sales!$J2394</f>
        <v>-16.61</v>
      </c>
      <c r="L2394" s="23">
        <f>(Sales!$J2394-Sales!$B2394)/Sales!$J2394</f>
        <v>0.14443478260869566</v>
      </c>
      <c r="M2394" s="23" t="str">
        <f t="shared" si="37"/>
        <v>10%-15%</v>
      </c>
      <c r="N2394" s="22" t="s">
        <v>64</v>
      </c>
      <c r="O2394" s="22" t="s">
        <v>12</v>
      </c>
      <c r="P2394" s="22" t="s">
        <v>13</v>
      </c>
      <c r="Q2394" s="22" t="s">
        <v>19</v>
      </c>
    </row>
    <row r="2395" spans="1:17" x14ac:dyDescent="0.3">
      <c r="A2395" s="27">
        <v>38</v>
      </c>
      <c r="B2395" s="24">
        <v>100</v>
      </c>
      <c r="C2395" s="25">
        <f>Sales!$B2395*Sales!$A2395</f>
        <v>3800</v>
      </c>
      <c r="D2395" s="26">
        <v>38219</v>
      </c>
      <c r="E2395" s="27" t="s">
        <v>9</v>
      </c>
      <c r="F2395" s="27">
        <v>3</v>
      </c>
      <c r="G2395" s="27">
        <v>8</v>
      </c>
      <c r="H2395" s="27">
        <v>2004</v>
      </c>
      <c r="I2395" s="27" t="s">
        <v>104</v>
      </c>
      <c r="J2395" s="25">
        <v>115</v>
      </c>
      <c r="K2395" s="25">
        <f>Sales!$B2395-Sales!$J2395</f>
        <v>-15</v>
      </c>
      <c r="L2395" s="28">
        <f>(Sales!$J2395-Sales!$B2395)/Sales!$J2395</f>
        <v>0.13043478260869565</v>
      </c>
      <c r="M2395" s="28" t="str">
        <f t="shared" si="37"/>
        <v>10%-15%</v>
      </c>
      <c r="N2395" s="27" t="s">
        <v>64</v>
      </c>
      <c r="O2395" s="27" t="s">
        <v>12</v>
      </c>
      <c r="P2395" s="27" t="s">
        <v>13</v>
      </c>
      <c r="Q2395" s="27" t="s">
        <v>19</v>
      </c>
    </row>
    <row r="2396" spans="1:17" x14ac:dyDescent="0.3">
      <c r="A2396" s="22">
        <v>41</v>
      </c>
      <c r="B2396" s="19">
        <v>100</v>
      </c>
      <c r="C2396" s="20">
        <f>Sales!$B2396*Sales!$A2396</f>
        <v>4100</v>
      </c>
      <c r="D2396" s="21">
        <v>38238</v>
      </c>
      <c r="E2396" s="22" t="s">
        <v>9</v>
      </c>
      <c r="F2396" s="22">
        <v>3</v>
      </c>
      <c r="G2396" s="22">
        <v>9</v>
      </c>
      <c r="H2396" s="22">
        <v>2004</v>
      </c>
      <c r="I2396" s="22" t="s">
        <v>104</v>
      </c>
      <c r="J2396" s="20">
        <v>115</v>
      </c>
      <c r="K2396" s="20">
        <f>Sales!$B2396-Sales!$J2396</f>
        <v>-15</v>
      </c>
      <c r="L2396" s="23">
        <f>(Sales!$J2396-Sales!$B2396)/Sales!$J2396</f>
        <v>0.13043478260869565</v>
      </c>
      <c r="M2396" s="23" t="str">
        <f t="shared" si="37"/>
        <v>10%-15%</v>
      </c>
      <c r="N2396" s="22" t="s">
        <v>11</v>
      </c>
      <c r="O2396" s="22" t="s">
        <v>12</v>
      </c>
      <c r="P2396" s="22" t="s">
        <v>13</v>
      </c>
      <c r="Q2396" s="22" t="s">
        <v>19</v>
      </c>
    </row>
    <row r="2397" spans="1:17" x14ac:dyDescent="0.3">
      <c r="A2397" s="27">
        <v>42</v>
      </c>
      <c r="B2397" s="24">
        <v>100</v>
      </c>
      <c r="C2397" s="25">
        <f>Sales!$B2397*Sales!$A2397</f>
        <v>4200</v>
      </c>
      <c r="D2397" s="26">
        <v>38273</v>
      </c>
      <c r="E2397" s="27" t="s">
        <v>9</v>
      </c>
      <c r="F2397" s="27">
        <v>4</v>
      </c>
      <c r="G2397" s="27">
        <v>10</v>
      </c>
      <c r="H2397" s="27">
        <v>2004</v>
      </c>
      <c r="I2397" s="27" t="s">
        <v>104</v>
      </c>
      <c r="J2397" s="25">
        <v>115</v>
      </c>
      <c r="K2397" s="25">
        <f>Sales!$B2397-Sales!$J2397</f>
        <v>-15</v>
      </c>
      <c r="L2397" s="28">
        <f>(Sales!$J2397-Sales!$B2397)/Sales!$J2397</f>
        <v>0.13043478260869565</v>
      </c>
      <c r="M2397" s="28" t="str">
        <f t="shared" si="37"/>
        <v>10%-15%</v>
      </c>
      <c r="N2397" s="27" t="s">
        <v>32</v>
      </c>
      <c r="O2397" s="27" t="s">
        <v>12</v>
      </c>
      <c r="P2397" s="27" t="s">
        <v>13</v>
      </c>
      <c r="Q2397" s="27" t="s">
        <v>19</v>
      </c>
    </row>
    <row r="2398" spans="1:17" x14ac:dyDescent="0.3">
      <c r="A2398" s="22">
        <v>28</v>
      </c>
      <c r="B2398" s="19">
        <v>100</v>
      </c>
      <c r="C2398" s="20">
        <f>Sales!$B2398*Sales!$A2398</f>
        <v>2800</v>
      </c>
      <c r="D2398" s="21">
        <v>38282</v>
      </c>
      <c r="E2398" s="22" t="s">
        <v>9</v>
      </c>
      <c r="F2398" s="22">
        <v>4</v>
      </c>
      <c r="G2398" s="22">
        <v>10</v>
      </c>
      <c r="H2398" s="22">
        <v>2004</v>
      </c>
      <c r="I2398" s="22" t="s">
        <v>104</v>
      </c>
      <c r="J2398" s="20">
        <v>115</v>
      </c>
      <c r="K2398" s="20">
        <f>Sales!$B2398-Sales!$J2398</f>
        <v>-15</v>
      </c>
      <c r="L2398" s="23">
        <f>(Sales!$J2398-Sales!$B2398)/Sales!$J2398</f>
        <v>0.13043478260869565</v>
      </c>
      <c r="M2398" s="23" t="str">
        <f t="shared" si="37"/>
        <v>10%-15%</v>
      </c>
      <c r="N2398" s="22" t="s">
        <v>103</v>
      </c>
      <c r="O2398" s="22" t="s">
        <v>73</v>
      </c>
      <c r="P2398" s="22" t="s">
        <v>17</v>
      </c>
      <c r="Q2398" s="22" t="s">
        <v>19</v>
      </c>
    </row>
    <row r="2399" spans="1:17" x14ac:dyDescent="0.3">
      <c r="A2399" s="27">
        <v>38</v>
      </c>
      <c r="B2399" s="24">
        <v>100</v>
      </c>
      <c r="C2399" s="25">
        <f>Sales!$B2399*Sales!$A2399</f>
        <v>3800</v>
      </c>
      <c r="D2399" s="26">
        <v>38296</v>
      </c>
      <c r="E2399" s="27" t="s">
        <v>9</v>
      </c>
      <c r="F2399" s="27">
        <v>4</v>
      </c>
      <c r="G2399" s="27">
        <v>11</v>
      </c>
      <c r="H2399" s="27">
        <v>2004</v>
      </c>
      <c r="I2399" s="27" t="s">
        <v>104</v>
      </c>
      <c r="J2399" s="25">
        <v>115</v>
      </c>
      <c r="K2399" s="25">
        <f>Sales!$B2399-Sales!$J2399</f>
        <v>-15</v>
      </c>
      <c r="L2399" s="28">
        <f>(Sales!$J2399-Sales!$B2399)/Sales!$J2399</f>
        <v>0.13043478260869565</v>
      </c>
      <c r="M2399" s="28" t="str">
        <f t="shared" si="37"/>
        <v>10%-15%</v>
      </c>
      <c r="N2399" s="27" t="s">
        <v>35</v>
      </c>
      <c r="O2399" s="27" t="s">
        <v>25</v>
      </c>
      <c r="P2399" s="27" t="s">
        <v>17</v>
      </c>
      <c r="Q2399" s="27" t="s">
        <v>19</v>
      </c>
    </row>
    <row r="2400" spans="1:17" x14ac:dyDescent="0.3">
      <c r="A2400" s="22">
        <v>23</v>
      </c>
      <c r="B2400" s="19">
        <v>100</v>
      </c>
      <c r="C2400" s="20">
        <f>Sales!$B2400*Sales!$A2400</f>
        <v>2300</v>
      </c>
      <c r="D2400" s="21">
        <v>38311</v>
      </c>
      <c r="E2400" s="22" t="s">
        <v>9</v>
      </c>
      <c r="F2400" s="22">
        <v>4</v>
      </c>
      <c r="G2400" s="22">
        <v>11</v>
      </c>
      <c r="H2400" s="22">
        <v>2004</v>
      </c>
      <c r="I2400" s="22" t="s">
        <v>104</v>
      </c>
      <c r="J2400" s="20">
        <v>115</v>
      </c>
      <c r="K2400" s="20">
        <f>Sales!$B2400-Sales!$J2400</f>
        <v>-15</v>
      </c>
      <c r="L2400" s="23">
        <f>(Sales!$J2400-Sales!$B2400)/Sales!$J2400</f>
        <v>0.13043478260869565</v>
      </c>
      <c r="M2400" s="23" t="str">
        <f t="shared" si="37"/>
        <v>10%-15%</v>
      </c>
      <c r="N2400" s="22" t="s">
        <v>18</v>
      </c>
      <c r="O2400" s="22" t="s">
        <v>16</v>
      </c>
      <c r="P2400" s="22" t="s">
        <v>17</v>
      </c>
      <c r="Q2400" s="22" t="s">
        <v>19</v>
      </c>
    </row>
    <row r="2401" spans="1:17" x14ac:dyDescent="0.3">
      <c r="A2401" s="27">
        <v>31</v>
      </c>
      <c r="B2401" s="24">
        <v>71.400000000000006</v>
      </c>
      <c r="C2401" s="25">
        <f>Sales!$B2401*Sales!$A2401</f>
        <v>2213.4</v>
      </c>
      <c r="D2401" s="26">
        <v>38323</v>
      </c>
      <c r="E2401" s="27" t="s">
        <v>9</v>
      </c>
      <c r="F2401" s="27">
        <v>4</v>
      </c>
      <c r="G2401" s="27">
        <v>12</v>
      </c>
      <c r="H2401" s="27">
        <v>2004</v>
      </c>
      <c r="I2401" s="27" t="s">
        <v>104</v>
      </c>
      <c r="J2401" s="25">
        <v>115</v>
      </c>
      <c r="K2401" s="25">
        <f>Sales!$B2401-Sales!$J2401</f>
        <v>-43.599999999999994</v>
      </c>
      <c r="L2401" s="28">
        <f>(Sales!$J2401-Sales!$B2401)/Sales!$J2401</f>
        <v>0.37913043478260866</v>
      </c>
      <c r="M2401" s="28" t="str">
        <f t="shared" si="37"/>
        <v>+20%</v>
      </c>
      <c r="N2401" s="27" t="s">
        <v>45</v>
      </c>
      <c r="O2401" s="27" t="s">
        <v>46</v>
      </c>
      <c r="P2401" s="27" t="s">
        <v>17</v>
      </c>
      <c r="Q2401" s="27" t="s">
        <v>14</v>
      </c>
    </row>
    <row r="2402" spans="1:17" x14ac:dyDescent="0.3">
      <c r="A2402" s="22">
        <v>46</v>
      </c>
      <c r="B2402" s="19">
        <v>100</v>
      </c>
      <c r="C2402" s="20">
        <f>Sales!$B2402*Sales!$A2402</f>
        <v>4600</v>
      </c>
      <c r="D2402" s="21">
        <v>38336</v>
      </c>
      <c r="E2402" s="22" t="s">
        <v>9</v>
      </c>
      <c r="F2402" s="22">
        <v>4</v>
      </c>
      <c r="G2402" s="22">
        <v>12</v>
      </c>
      <c r="H2402" s="22">
        <v>2004</v>
      </c>
      <c r="I2402" s="22" t="s">
        <v>104</v>
      </c>
      <c r="J2402" s="20">
        <v>115</v>
      </c>
      <c r="K2402" s="20">
        <f>Sales!$B2402-Sales!$J2402</f>
        <v>-15</v>
      </c>
      <c r="L2402" s="23">
        <f>(Sales!$J2402-Sales!$B2402)/Sales!$J2402</f>
        <v>0.13043478260869565</v>
      </c>
      <c r="M2402" s="23" t="str">
        <f t="shared" si="37"/>
        <v>10%-15%</v>
      </c>
      <c r="N2402" s="22" t="s">
        <v>15</v>
      </c>
      <c r="O2402" s="22" t="s">
        <v>16</v>
      </c>
      <c r="P2402" s="22" t="s">
        <v>17</v>
      </c>
      <c r="Q2402" s="22" t="s">
        <v>19</v>
      </c>
    </row>
    <row r="2403" spans="1:17" x14ac:dyDescent="0.3">
      <c r="A2403" s="27">
        <v>48</v>
      </c>
      <c r="B2403" s="24">
        <v>56.55</v>
      </c>
      <c r="C2403" s="25">
        <f>Sales!$B2403*Sales!$A2403</f>
        <v>2714.3999999999996</v>
      </c>
      <c r="D2403" s="26">
        <v>38375</v>
      </c>
      <c r="E2403" s="27" t="s">
        <v>9</v>
      </c>
      <c r="F2403" s="27">
        <v>1</v>
      </c>
      <c r="G2403" s="27">
        <v>1</v>
      </c>
      <c r="H2403" s="27">
        <v>2005</v>
      </c>
      <c r="I2403" s="27" t="s">
        <v>104</v>
      </c>
      <c r="J2403" s="25">
        <v>115</v>
      </c>
      <c r="K2403" s="25">
        <f>Sales!$B2403-Sales!$J2403</f>
        <v>-58.45</v>
      </c>
      <c r="L2403" s="28">
        <f>(Sales!$J2403-Sales!$B2403)/Sales!$J2403</f>
        <v>0.50826086956521743</v>
      </c>
      <c r="M2403" s="28" t="str">
        <f t="shared" si="37"/>
        <v>+20%</v>
      </c>
      <c r="N2403" s="27" t="s">
        <v>64</v>
      </c>
      <c r="O2403" s="27" t="s">
        <v>12</v>
      </c>
      <c r="P2403" s="27" t="s">
        <v>13</v>
      </c>
      <c r="Q2403" s="27" t="s">
        <v>14</v>
      </c>
    </row>
    <row r="2404" spans="1:17" x14ac:dyDescent="0.3">
      <c r="A2404" s="22">
        <v>29</v>
      </c>
      <c r="B2404" s="19">
        <v>100</v>
      </c>
      <c r="C2404" s="20">
        <f>Sales!$B2404*Sales!$A2404</f>
        <v>2900</v>
      </c>
      <c r="D2404" s="21">
        <v>38405</v>
      </c>
      <c r="E2404" s="22" t="s">
        <v>9</v>
      </c>
      <c r="F2404" s="22">
        <v>1</v>
      </c>
      <c r="G2404" s="22">
        <v>2</v>
      </c>
      <c r="H2404" s="22">
        <v>2005</v>
      </c>
      <c r="I2404" s="22" t="s">
        <v>104</v>
      </c>
      <c r="J2404" s="20">
        <v>115</v>
      </c>
      <c r="K2404" s="20">
        <f>Sales!$B2404-Sales!$J2404</f>
        <v>-15</v>
      </c>
      <c r="L2404" s="23">
        <f>(Sales!$J2404-Sales!$B2404)/Sales!$J2404</f>
        <v>0.13043478260869565</v>
      </c>
      <c r="M2404" s="23" t="str">
        <f t="shared" si="37"/>
        <v>10%-15%</v>
      </c>
      <c r="N2404" s="22" t="s">
        <v>45</v>
      </c>
      <c r="O2404" s="22" t="s">
        <v>46</v>
      </c>
      <c r="P2404" s="22" t="s">
        <v>17</v>
      </c>
      <c r="Q2404" s="22" t="s">
        <v>19</v>
      </c>
    </row>
    <row r="2405" spans="1:17" x14ac:dyDescent="0.3">
      <c r="A2405" s="27">
        <v>46</v>
      </c>
      <c r="B2405" s="24">
        <v>100</v>
      </c>
      <c r="C2405" s="25">
        <f>Sales!$B2405*Sales!$A2405</f>
        <v>4600</v>
      </c>
      <c r="D2405" s="26">
        <v>38428</v>
      </c>
      <c r="E2405" s="27" t="s">
        <v>9</v>
      </c>
      <c r="F2405" s="27">
        <v>1</v>
      </c>
      <c r="G2405" s="27">
        <v>3</v>
      </c>
      <c r="H2405" s="27">
        <v>2005</v>
      </c>
      <c r="I2405" s="27" t="s">
        <v>104</v>
      </c>
      <c r="J2405" s="25">
        <v>115</v>
      </c>
      <c r="K2405" s="25">
        <f>Sales!$B2405-Sales!$J2405</f>
        <v>-15</v>
      </c>
      <c r="L2405" s="28">
        <f>(Sales!$J2405-Sales!$B2405)/Sales!$J2405</f>
        <v>0.13043478260869565</v>
      </c>
      <c r="M2405" s="28" t="str">
        <f t="shared" si="37"/>
        <v>10%-15%</v>
      </c>
      <c r="N2405" s="27" t="s">
        <v>18</v>
      </c>
      <c r="O2405" s="27" t="s">
        <v>16</v>
      </c>
      <c r="P2405" s="27" t="s">
        <v>17</v>
      </c>
      <c r="Q2405" s="27" t="s">
        <v>19</v>
      </c>
    </row>
    <row r="2406" spans="1:17" x14ac:dyDescent="0.3">
      <c r="A2406" s="22">
        <v>26</v>
      </c>
      <c r="B2406" s="19">
        <v>100</v>
      </c>
      <c r="C2406" s="20">
        <f>Sales!$B2406*Sales!$A2406</f>
        <v>2600</v>
      </c>
      <c r="D2406" s="21">
        <v>38475</v>
      </c>
      <c r="E2406" s="22" t="s">
        <v>9</v>
      </c>
      <c r="F2406" s="22">
        <v>2</v>
      </c>
      <c r="G2406" s="22">
        <v>5</v>
      </c>
      <c r="H2406" s="22">
        <v>2005</v>
      </c>
      <c r="I2406" s="22" t="s">
        <v>104</v>
      </c>
      <c r="J2406" s="20">
        <v>115</v>
      </c>
      <c r="K2406" s="20">
        <f>Sales!$B2406-Sales!$J2406</f>
        <v>-15</v>
      </c>
      <c r="L2406" s="23">
        <f>(Sales!$J2406-Sales!$B2406)/Sales!$J2406</f>
        <v>0.13043478260869565</v>
      </c>
      <c r="M2406" s="23" t="str">
        <f t="shared" si="37"/>
        <v>10%-15%</v>
      </c>
      <c r="N2406" s="22" t="s">
        <v>45</v>
      </c>
      <c r="O2406" s="22" t="s">
        <v>46</v>
      </c>
      <c r="P2406" s="22" t="s">
        <v>17</v>
      </c>
      <c r="Q2406" s="22" t="s">
        <v>19</v>
      </c>
    </row>
    <row r="2407" spans="1:17" x14ac:dyDescent="0.3">
      <c r="A2407" s="27">
        <v>18</v>
      </c>
      <c r="B2407" s="24">
        <v>100</v>
      </c>
      <c r="C2407" s="25">
        <f>Sales!$B2407*Sales!$A2407</f>
        <v>1800</v>
      </c>
      <c r="D2407" s="26">
        <v>38503</v>
      </c>
      <c r="E2407" s="27" t="s">
        <v>69</v>
      </c>
      <c r="F2407" s="27">
        <v>2</v>
      </c>
      <c r="G2407" s="27">
        <v>5</v>
      </c>
      <c r="H2407" s="27">
        <v>2005</v>
      </c>
      <c r="I2407" s="27" t="s">
        <v>104</v>
      </c>
      <c r="J2407" s="25">
        <v>115</v>
      </c>
      <c r="K2407" s="25">
        <f>Sales!$B2407-Sales!$J2407</f>
        <v>-15</v>
      </c>
      <c r="L2407" s="28">
        <f>(Sales!$J2407-Sales!$B2407)/Sales!$J2407</f>
        <v>0.13043478260869565</v>
      </c>
      <c r="M2407" s="28" t="str">
        <f t="shared" si="37"/>
        <v>10%-15%</v>
      </c>
      <c r="N2407" s="27" t="s">
        <v>31</v>
      </c>
      <c r="O2407" s="27" t="s">
        <v>16</v>
      </c>
      <c r="P2407" s="27" t="s">
        <v>17</v>
      </c>
      <c r="Q2407" s="27" t="s">
        <v>14</v>
      </c>
    </row>
    <row r="2408" spans="1:17" x14ac:dyDescent="0.3">
      <c r="A2408" s="22">
        <v>32</v>
      </c>
      <c r="B2408" s="19">
        <v>53.31</v>
      </c>
      <c r="C2408" s="20">
        <f>Sales!$B2408*Sales!$A2408</f>
        <v>1705.92</v>
      </c>
      <c r="D2408" s="21">
        <v>37652</v>
      </c>
      <c r="E2408" s="22" t="s">
        <v>9</v>
      </c>
      <c r="F2408" s="22">
        <v>1</v>
      </c>
      <c r="G2408" s="22">
        <v>1</v>
      </c>
      <c r="H2408" s="22">
        <v>2003</v>
      </c>
      <c r="I2408" s="22" t="s">
        <v>119</v>
      </c>
      <c r="J2408" s="20">
        <v>58</v>
      </c>
      <c r="K2408" s="20">
        <f>Sales!$B2408-Sales!$J2408</f>
        <v>-4.6899999999999977</v>
      </c>
      <c r="L2408" s="23">
        <f>(Sales!$J2408-Sales!$B2408)/Sales!$J2408</f>
        <v>8.0862068965517203E-2</v>
      </c>
      <c r="M2408" s="23" t="str">
        <f t="shared" si="37"/>
        <v>5%-10%</v>
      </c>
      <c r="N2408" s="22" t="s">
        <v>45</v>
      </c>
      <c r="O2408" s="22" t="s">
        <v>46</v>
      </c>
      <c r="P2408" s="22" t="s">
        <v>17</v>
      </c>
      <c r="Q2408" s="22" t="s">
        <v>14</v>
      </c>
    </row>
    <row r="2409" spans="1:17" x14ac:dyDescent="0.3">
      <c r="A2409" s="27">
        <v>21</v>
      </c>
      <c r="B2409" s="24">
        <v>49.21</v>
      </c>
      <c r="C2409" s="25">
        <f>Sales!$B2409*Sales!$A2409</f>
        <v>1033.4100000000001</v>
      </c>
      <c r="D2409" s="26">
        <v>37727</v>
      </c>
      <c r="E2409" s="27" t="s">
        <v>9</v>
      </c>
      <c r="F2409" s="27">
        <v>2</v>
      </c>
      <c r="G2409" s="27">
        <v>4</v>
      </c>
      <c r="H2409" s="27">
        <v>2003</v>
      </c>
      <c r="I2409" s="27" t="s">
        <v>119</v>
      </c>
      <c r="J2409" s="25">
        <v>58</v>
      </c>
      <c r="K2409" s="25">
        <f>Sales!$B2409-Sales!$J2409</f>
        <v>-8.7899999999999991</v>
      </c>
      <c r="L2409" s="28">
        <f>(Sales!$J2409-Sales!$B2409)/Sales!$J2409</f>
        <v>0.15155172413793103</v>
      </c>
      <c r="M2409" s="28" t="s">
        <v>132</v>
      </c>
      <c r="N2409" s="27" t="s">
        <v>50</v>
      </c>
      <c r="O2409" s="27" t="s">
        <v>50</v>
      </c>
      <c r="P2409" s="27" t="s">
        <v>28</v>
      </c>
      <c r="Q2409" s="27" t="s">
        <v>14</v>
      </c>
    </row>
    <row r="2410" spans="1:17" x14ac:dyDescent="0.3">
      <c r="A2410" s="22">
        <v>46</v>
      </c>
      <c r="B2410" s="19">
        <v>69.12</v>
      </c>
      <c r="C2410" s="20">
        <f>Sales!$B2410*Sales!$A2410</f>
        <v>3179.5200000000004</v>
      </c>
      <c r="D2410" s="21">
        <v>37775</v>
      </c>
      <c r="E2410" s="22" t="s">
        <v>9</v>
      </c>
      <c r="F2410" s="22">
        <v>2</v>
      </c>
      <c r="G2410" s="22">
        <v>6</v>
      </c>
      <c r="H2410" s="22">
        <v>2003</v>
      </c>
      <c r="I2410" s="22" t="s">
        <v>119</v>
      </c>
      <c r="J2410" s="20">
        <v>58</v>
      </c>
      <c r="K2410" s="20">
        <f>Sales!$B2410-Sales!$J2410</f>
        <v>11.120000000000005</v>
      </c>
      <c r="L2410" s="23">
        <f>(Sales!$J2410-Sales!$B2410)/Sales!$J2410</f>
        <v>-0.19172413793103457</v>
      </c>
      <c r="M2410" s="23" t="str">
        <f t="shared" si="37"/>
        <v>Below 0%</v>
      </c>
      <c r="N2410" s="22" t="s">
        <v>11</v>
      </c>
      <c r="O2410" s="22" t="s">
        <v>12</v>
      </c>
      <c r="P2410" s="22" t="s">
        <v>13</v>
      </c>
      <c r="Q2410" s="22" t="s">
        <v>19</v>
      </c>
    </row>
    <row r="2411" spans="1:17" x14ac:dyDescent="0.3">
      <c r="A2411" s="27">
        <v>42</v>
      </c>
      <c r="B2411" s="24">
        <v>49.79</v>
      </c>
      <c r="C2411" s="25">
        <f>Sales!$B2411*Sales!$A2411</f>
        <v>2091.1799999999998</v>
      </c>
      <c r="D2411" s="26">
        <v>37841</v>
      </c>
      <c r="E2411" s="27" t="s">
        <v>9</v>
      </c>
      <c r="F2411" s="27">
        <v>3</v>
      </c>
      <c r="G2411" s="27">
        <v>8</v>
      </c>
      <c r="H2411" s="27">
        <v>2003</v>
      </c>
      <c r="I2411" s="27" t="s">
        <v>119</v>
      </c>
      <c r="J2411" s="25">
        <v>58</v>
      </c>
      <c r="K2411" s="25">
        <f>Sales!$B2411-Sales!$J2411</f>
        <v>-8.2100000000000009</v>
      </c>
      <c r="L2411" s="28">
        <f>(Sales!$J2411-Sales!$B2411)/Sales!$J2411</f>
        <v>0.14155172413793105</v>
      </c>
      <c r="M2411" s="28" t="str">
        <f t="shared" si="37"/>
        <v>10%-15%</v>
      </c>
      <c r="N2411" s="27" t="s">
        <v>64</v>
      </c>
      <c r="O2411" s="27" t="s">
        <v>12</v>
      </c>
      <c r="P2411" s="27" t="s">
        <v>13</v>
      </c>
      <c r="Q2411" s="27" t="s">
        <v>14</v>
      </c>
    </row>
    <row r="2412" spans="1:17" x14ac:dyDescent="0.3">
      <c r="A2412" s="22">
        <v>31</v>
      </c>
      <c r="B2412" s="19">
        <v>57.41</v>
      </c>
      <c r="C2412" s="20">
        <f>Sales!$B2412*Sales!$A2412</f>
        <v>1779.7099999999998</v>
      </c>
      <c r="D2412" s="21">
        <v>37892</v>
      </c>
      <c r="E2412" s="22" t="s">
        <v>9</v>
      </c>
      <c r="F2412" s="22">
        <v>3</v>
      </c>
      <c r="G2412" s="22">
        <v>9</v>
      </c>
      <c r="H2412" s="22">
        <v>2003</v>
      </c>
      <c r="I2412" s="22" t="s">
        <v>119</v>
      </c>
      <c r="J2412" s="20">
        <v>58</v>
      </c>
      <c r="K2412" s="20">
        <f>Sales!$B2412-Sales!$J2412</f>
        <v>-0.59000000000000341</v>
      </c>
      <c r="L2412" s="23">
        <f>(Sales!$J2412-Sales!$B2412)/Sales!$J2412</f>
        <v>1.0172413793103506E-2</v>
      </c>
      <c r="M2412" s="23" t="str">
        <f t="shared" si="37"/>
        <v>0%-5%</v>
      </c>
      <c r="N2412" s="22" t="s">
        <v>45</v>
      </c>
      <c r="O2412" s="22" t="s">
        <v>46</v>
      </c>
      <c r="P2412" s="22" t="s">
        <v>17</v>
      </c>
      <c r="Q2412" s="22" t="s">
        <v>14</v>
      </c>
    </row>
    <row r="2413" spans="1:17" x14ac:dyDescent="0.3">
      <c r="A2413" s="27">
        <v>38</v>
      </c>
      <c r="B2413" s="24">
        <v>66.78</v>
      </c>
      <c r="C2413" s="25">
        <f>Sales!$B2413*Sales!$A2413</f>
        <v>2537.64</v>
      </c>
      <c r="D2413" s="26">
        <v>37916</v>
      </c>
      <c r="E2413" s="27" t="s">
        <v>9</v>
      </c>
      <c r="F2413" s="27">
        <v>4</v>
      </c>
      <c r="G2413" s="27">
        <v>10</v>
      </c>
      <c r="H2413" s="27">
        <v>2003</v>
      </c>
      <c r="I2413" s="27" t="s">
        <v>119</v>
      </c>
      <c r="J2413" s="25">
        <v>58</v>
      </c>
      <c r="K2413" s="25">
        <f>Sales!$B2413-Sales!$J2413</f>
        <v>8.7800000000000011</v>
      </c>
      <c r="L2413" s="28">
        <f>(Sales!$J2413-Sales!$B2413)/Sales!$J2413</f>
        <v>-0.1513793103448276</v>
      </c>
      <c r="M2413" s="28" t="str">
        <f t="shared" si="37"/>
        <v>Below 0%</v>
      </c>
      <c r="N2413" s="27" t="s">
        <v>50</v>
      </c>
      <c r="O2413" s="27" t="s">
        <v>50</v>
      </c>
      <c r="P2413" s="27" t="s">
        <v>28</v>
      </c>
      <c r="Q2413" s="27" t="s">
        <v>14</v>
      </c>
    </row>
    <row r="2414" spans="1:17" x14ac:dyDescent="0.3">
      <c r="A2414" s="22">
        <v>38</v>
      </c>
      <c r="B2414" s="19">
        <v>64.44</v>
      </c>
      <c r="C2414" s="20">
        <f>Sales!$B2414*Sales!$A2414</f>
        <v>2448.7199999999998</v>
      </c>
      <c r="D2414" s="21">
        <v>37931</v>
      </c>
      <c r="E2414" s="22" t="s">
        <v>9</v>
      </c>
      <c r="F2414" s="22">
        <v>4</v>
      </c>
      <c r="G2414" s="22">
        <v>11</v>
      </c>
      <c r="H2414" s="22">
        <v>2003</v>
      </c>
      <c r="I2414" s="22" t="s">
        <v>119</v>
      </c>
      <c r="J2414" s="20">
        <v>58</v>
      </c>
      <c r="K2414" s="20">
        <f>Sales!$B2414-Sales!$J2414</f>
        <v>6.4399999999999977</v>
      </c>
      <c r="L2414" s="23">
        <f>(Sales!$J2414-Sales!$B2414)/Sales!$J2414</f>
        <v>-0.11103448275862066</v>
      </c>
      <c r="M2414" s="23" t="str">
        <f t="shared" si="37"/>
        <v>Below 0%</v>
      </c>
      <c r="N2414" s="22" t="s">
        <v>97</v>
      </c>
      <c r="O2414" s="22" t="s">
        <v>61</v>
      </c>
      <c r="P2414" s="22" t="s">
        <v>17</v>
      </c>
      <c r="Q2414" s="22" t="s">
        <v>14</v>
      </c>
    </row>
    <row r="2415" spans="1:17" x14ac:dyDescent="0.3">
      <c r="A2415" s="27">
        <v>20</v>
      </c>
      <c r="B2415" s="24">
        <v>48.62</v>
      </c>
      <c r="C2415" s="25">
        <f>Sales!$B2415*Sales!$A2415</f>
        <v>972.4</v>
      </c>
      <c r="D2415" s="26">
        <v>37939</v>
      </c>
      <c r="E2415" s="27" t="s">
        <v>9</v>
      </c>
      <c r="F2415" s="27">
        <v>4</v>
      </c>
      <c r="G2415" s="27">
        <v>11</v>
      </c>
      <c r="H2415" s="27">
        <v>2003</v>
      </c>
      <c r="I2415" s="27" t="s">
        <v>119</v>
      </c>
      <c r="J2415" s="25">
        <v>58</v>
      </c>
      <c r="K2415" s="25">
        <f>Sales!$B2415-Sales!$J2415</f>
        <v>-9.3800000000000026</v>
      </c>
      <c r="L2415" s="28">
        <f>(Sales!$J2415-Sales!$B2415)/Sales!$J2415</f>
        <v>0.16172413793103452</v>
      </c>
      <c r="M2415" s="28" t="str">
        <f t="shared" si="37"/>
        <v>15%-20%</v>
      </c>
      <c r="N2415" s="27" t="s">
        <v>41</v>
      </c>
      <c r="O2415" s="27" t="s">
        <v>12</v>
      </c>
      <c r="P2415" s="27" t="s">
        <v>13</v>
      </c>
      <c r="Q2415" s="27" t="s">
        <v>14</v>
      </c>
    </row>
    <row r="2416" spans="1:17" x14ac:dyDescent="0.3">
      <c r="A2416" s="22">
        <v>46</v>
      </c>
      <c r="B2416" s="19">
        <v>62.09</v>
      </c>
      <c r="C2416" s="20">
        <f>Sales!$B2416*Sales!$A2416</f>
        <v>2856.1400000000003</v>
      </c>
      <c r="D2416" s="21">
        <v>37951</v>
      </c>
      <c r="E2416" s="22" t="s">
        <v>9</v>
      </c>
      <c r="F2416" s="22">
        <v>4</v>
      </c>
      <c r="G2416" s="22">
        <v>11</v>
      </c>
      <c r="H2416" s="22">
        <v>2003</v>
      </c>
      <c r="I2416" s="22" t="s">
        <v>119</v>
      </c>
      <c r="J2416" s="20">
        <v>58</v>
      </c>
      <c r="K2416" s="20">
        <f>Sales!$B2416-Sales!$J2416</f>
        <v>4.0900000000000034</v>
      </c>
      <c r="L2416" s="23">
        <f>(Sales!$J2416-Sales!$B2416)/Sales!$J2416</f>
        <v>-7.0517241379310397E-2</v>
      </c>
      <c r="M2416" s="23" t="str">
        <f t="shared" si="37"/>
        <v>Below 0%</v>
      </c>
      <c r="N2416" s="22" t="s">
        <v>58</v>
      </c>
      <c r="O2416" s="22" t="s">
        <v>12</v>
      </c>
      <c r="P2416" s="22" t="s">
        <v>13</v>
      </c>
      <c r="Q2416" s="22" t="s">
        <v>14</v>
      </c>
    </row>
    <row r="2417" spans="1:17" x14ac:dyDescent="0.3">
      <c r="A2417" s="27">
        <v>30</v>
      </c>
      <c r="B2417" s="24">
        <v>65.61</v>
      </c>
      <c r="C2417" s="25">
        <f>Sales!$B2417*Sales!$A2417</f>
        <v>1968.3</v>
      </c>
      <c r="D2417" s="26">
        <v>37988</v>
      </c>
      <c r="E2417" s="27" t="s">
        <v>9</v>
      </c>
      <c r="F2417" s="27">
        <v>1</v>
      </c>
      <c r="G2417" s="27">
        <v>1</v>
      </c>
      <c r="H2417" s="27">
        <v>2004</v>
      </c>
      <c r="I2417" s="27" t="s">
        <v>119</v>
      </c>
      <c r="J2417" s="25">
        <v>58</v>
      </c>
      <c r="K2417" s="25">
        <f>Sales!$B2417-Sales!$J2417</f>
        <v>7.6099999999999994</v>
      </c>
      <c r="L2417" s="28">
        <f>(Sales!$J2417-Sales!$B2417)/Sales!$J2417</f>
        <v>-0.13120689655172413</v>
      </c>
      <c r="M2417" s="28" t="str">
        <f t="shared" si="37"/>
        <v>Below 0%</v>
      </c>
      <c r="N2417" s="27" t="s">
        <v>54</v>
      </c>
      <c r="O2417" s="27" t="s">
        <v>16</v>
      </c>
      <c r="P2417" s="27" t="s">
        <v>17</v>
      </c>
      <c r="Q2417" s="27" t="s">
        <v>14</v>
      </c>
    </row>
    <row r="2418" spans="1:17" x14ac:dyDescent="0.3">
      <c r="A2418" s="22">
        <v>30</v>
      </c>
      <c r="B2418" s="19">
        <v>68.540000000000006</v>
      </c>
      <c r="C2418" s="20">
        <f>Sales!$B2418*Sales!$A2418</f>
        <v>2056.2000000000003</v>
      </c>
      <c r="D2418" s="21">
        <v>38029</v>
      </c>
      <c r="E2418" s="22" t="s">
        <v>9</v>
      </c>
      <c r="F2418" s="22">
        <v>1</v>
      </c>
      <c r="G2418" s="22">
        <v>2</v>
      </c>
      <c r="H2418" s="22">
        <v>2004</v>
      </c>
      <c r="I2418" s="22" t="s">
        <v>119</v>
      </c>
      <c r="J2418" s="20">
        <v>58</v>
      </c>
      <c r="K2418" s="20">
        <f>Sales!$B2418-Sales!$J2418</f>
        <v>10.540000000000006</v>
      </c>
      <c r="L2418" s="23">
        <f>(Sales!$J2418-Sales!$B2418)/Sales!$J2418</f>
        <v>-0.18172413793103459</v>
      </c>
      <c r="M2418" s="23" t="str">
        <f t="shared" si="37"/>
        <v>Below 0%</v>
      </c>
      <c r="N2418" s="22" t="s">
        <v>100</v>
      </c>
      <c r="O2418" s="22" t="s">
        <v>101</v>
      </c>
      <c r="P2418" s="22" t="s">
        <v>17</v>
      </c>
      <c r="Q2418" s="22" t="s">
        <v>14</v>
      </c>
    </row>
    <row r="2419" spans="1:17" x14ac:dyDescent="0.3">
      <c r="A2419" s="27">
        <v>43</v>
      </c>
      <c r="B2419" s="24">
        <v>52.14</v>
      </c>
      <c r="C2419" s="25">
        <f>Sales!$B2419*Sales!$A2419</f>
        <v>2242.02</v>
      </c>
      <c r="D2419" s="26">
        <v>38061</v>
      </c>
      <c r="E2419" s="27" t="s">
        <v>9</v>
      </c>
      <c r="F2419" s="27">
        <v>1</v>
      </c>
      <c r="G2419" s="27">
        <v>3</v>
      </c>
      <c r="H2419" s="27">
        <v>2004</v>
      </c>
      <c r="I2419" s="27" t="s">
        <v>119</v>
      </c>
      <c r="J2419" s="25">
        <v>58</v>
      </c>
      <c r="K2419" s="25">
        <f>Sales!$B2419-Sales!$J2419</f>
        <v>-5.8599999999999994</v>
      </c>
      <c r="L2419" s="28">
        <f>(Sales!$J2419-Sales!$B2419)/Sales!$J2419</f>
        <v>0.10103448275862068</v>
      </c>
      <c r="M2419" s="28" t="s">
        <v>134</v>
      </c>
      <c r="N2419" s="27" t="s">
        <v>98</v>
      </c>
      <c r="O2419" s="27" t="s">
        <v>94</v>
      </c>
      <c r="P2419" s="27" t="s">
        <v>17</v>
      </c>
      <c r="Q2419" s="27" t="s">
        <v>14</v>
      </c>
    </row>
    <row r="2420" spans="1:17" x14ac:dyDescent="0.3">
      <c r="A2420" s="22">
        <v>49</v>
      </c>
      <c r="B2420" s="19">
        <v>63.85</v>
      </c>
      <c r="C2420" s="20">
        <f>Sales!$B2420*Sales!$A2420</f>
        <v>3128.65</v>
      </c>
      <c r="D2420" s="21">
        <v>38112</v>
      </c>
      <c r="E2420" s="22" t="s">
        <v>9</v>
      </c>
      <c r="F2420" s="22">
        <v>2</v>
      </c>
      <c r="G2420" s="22">
        <v>5</v>
      </c>
      <c r="H2420" s="22">
        <v>2004</v>
      </c>
      <c r="I2420" s="22" t="s">
        <v>119</v>
      </c>
      <c r="J2420" s="20">
        <v>58</v>
      </c>
      <c r="K2420" s="20">
        <f>Sales!$B2420-Sales!$J2420</f>
        <v>5.8500000000000014</v>
      </c>
      <c r="L2420" s="23">
        <f>(Sales!$J2420-Sales!$B2420)/Sales!$J2420</f>
        <v>-0.10086206896551726</v>
      </c>
      <c r="M2420" s="23" t="str">
        <f t="shared" si="37"/>
        <v>Below 0%</v>
      </c>
      <c r="N2420" s="22" t="s">
        <v>99</v>
      </c>
      <c r="O2420" s="22" t="s">
        <v>34</v>
      </c>
      <c r="P2420" s="22" t="s">
        <v>17</v>
      </c>
      <c r="Q2420" s="22" t="s">
        <v>19</v>
      </c>
    </row>
    <row r="2421" spans="1:17" x14ac:dyDescent="0.3">
      <c r="A2421" s="27">
        <v>43</v>
      </c>
      <c r="B2421" s="24">
        <v>56.82</v>
      </c>
      <c r="C2421" s="25">
        <f>Sales!$B2421*Sales!$A2421</f>
        <v>2443.2600000000002</v>
      </c>
      <c r="D2421" s="26">
        <v>38188</v>
      </c>
      <c r="E2421" s="27" t="s">
        <v>9</v>
      </c>
      <c r="F2421" s="27">
        <v>3</v>
      </c>
      <c r="G2421" s="27">
        <v>7</v>
      </c>
      <c r="H2421" s="27">
        <v>2004</v>
      </c>
      <c r="I2421" s="27" t="s">
        <v>119</v>
      </c>
      <c r="J2421" s="25">
        <v>58</v>
      </c>
      <c r="K2421" s="25">
        <f>Sales!$B2421-Sales!$J2421</f>
        <v>-1.1799999999999997</v>
      </c>
      <c r="L2421" s="28">
        <f>(Sales!$J2421-Sales!$B2421)/Sales!$J2421</f>
        <v>2.0344827586206891E-2</v>
      </c>
      <c r="M2421" s="28" t="str">
        <f t="shared" si="37"/>
        <v>0%-5%</v>
      </c>
      <c r="N2421" s="27" t="s">
        <v>36</v>
      </c>
      <c r="O2421" s="27" t="s">
        <v>12</v>
      </c>
      <c r="P2421" s="27" t="s">
        <v>13</v>
      </c>
      <c r="Q2421" s="27" t="s">
        <v>14</v>
      </c>
    </row>
    <row r="2422" spans="1:17" x14ac:dyDescent="0.3">
      <c r="A2422" s="22">
        <v>37</v>
      </c>
      <c r="B2422" s="19">
        <v>66.78</v>
      </c>
      <c r="C2422" s="20">
        <f>Sales!$B2422*Sales!$A2422</f>
        <v>2470.86</v>
      </c>
      <c r="D2422" s="21">
        <v>38219</v>
      </c>
      <c r="E2422" s="22" t="s">
        <v>9</v>
      </c>
      <c r="F2422" s="22">
        <v>3</v>
      </c>
      <c r="G2422" s="22">
        <v>8</v>
      </c>
      <c r="H2422" s="22">
        <v>2004</v>
      </c>
      <c r="I2422" s="22" t="s">
        <v>119</v>
      </c>
      <c r="J2422" s="20">
        <v>58</v>
      </c>
      <c r="K2422" s="20">
        <f>Sales!$B2422-Sales!$J2422</f>
        <v>8.7800000000000011</v>
      </c>
      <c r="L2422" s="23">
        <f>(Sales!$J2422-Sales!$B2422)/Sales!$J2422</f>
        <v>-0.1513793103448276</v>
      </c>
      <c r="M2422" s="23" t="str">
        <f t="shared" si="37"/>
        <v>Below 0%</v>
      </c>
      <c r="N2422" s="22" t="s">
        <v>64</v>
      </c>
      <c r="O2422" s="22" t="s">
        <v>12</v>
      </c>
      <c r="P2422" s="22" t="s">
        <v>13</v>
      </c>
      <c r="Q2422" s="22" t="s">
        <v>14</v>
      </c>
    </row>
    <row r="2423" spans="1:17" x14ac:dyDescent="0.3">
      <c r="A2423" s="27">
        <v>35</v>
      </c>
      <c r="B2423" s="24">
        <v>55.07</v>
      </c>
      <c r="C2423" s="25">
        <f>Sales!$B2423*Sales!$A2423</f>
        <v>1927.45</v>
      </c>
      <c r="D2423" s="26">
        <v>38238</v>
      </c>
      <c r="E2423" s="27" t="s">
        <v>9</v>
      </c>
      <c r="F2423" s="27">
        <v>3</v>
      </c>
      <c r="G2423" s="27">
        <v>9</v>
      </c>
      <c r="H2423" s="27">
        <v>2004</v>
      </c>
      <c r="I2423" s="27" t="s">
        <v>119</v>
      </c>
      <c r="J2423" s="25">
        <v>58</v>
      </c>
      <c r="K2423" s="25">
        <f>Sales!$B2423-Sales!$J2423</f>
        <v>-2.9299999999999997</v>
      </c>
      <c r="L2423" s="28">
        <f>(Sales!$J2423-Sales!$B2423)/Sales!$J2423</f>
        <v>5.0517241379310338E-2</v>
      </c>
      <c r="M2423" s="28" t="s">
        <v>131</v>
      </c>
      <c r="N2423" s="27" t="s">
        <v>11</v>
      </c>
      <c r="O2423" s="27" t="s">
        <v>12</v>
      </c>
      <c r="P2423" s="27" t="s">
        <v>13</v>
      </c>
      <c r="Q2423" s="27" t="s">
        <v>14</v>
      </c>
    </row>
    <row r="2424" spans="1:17" x14ac:dyDescent="0.3">
      <c r="A2424" s="22">
        <v>34</v>
      </c>
      <c r="B2424" s="19">
        <v>60.34</v>
      </c>
      <c r="C2424" s="20">
        <f>Sales!$B2424*Sales!$A2424</f>
        <v>2051.56</v>
      </c>
      <c r="D2424" s="21">
        <v>38274</v>
      </c>
      <c r="E2424" s="22" t="s">
        <v>9</v>
      </c>
      <c r="F2424" s="22">
        <v>4</v>
      </c>
      <c r="G2424" s="22">
        <v>10</v>
      </c>
      <c r="H2424" s="22">
        <v>2004</v>
      </c>
      <c r="I2424" s="22" t="s">
        <v>119</v>
      </c>
      <c r="J2424" s="20">
        <v>58</v>
      </c>
      <c r="K2424" s="20">
        <f>Sales!$B2424-Sales!$J2424</f>
        <v>2.3400000000000034</v>
      </c>
      <c r="L2424" s="23">
        <f>(Sales!$J2424-Sales!$B2424)/Sales!$J2424</f>
        <v>-4.0344827586206958E-2</v>
      </c>
      <c r="M2424" s="23" t="str">
        <f t="shared" si="37"/>
        <v>Below 0%</v>
      </c>
      <c r="N2424" s="22" t="s">
        <v>102</v>
      </c>
      <c r="O2424" s="22" t="s">
        <v>43</v>
      </c>
      <c r="P2424" s="22" t="s">
        <v>17</v>
      </c>
      <c r="Q2424" s="22" t="s">
        <v>14</v>
      </c>
    </row>
    <row r="2425" spans="1:17" x14ac:dyDescent="0.3">
      <c r="A2425" s="27">
        <v>38</v>
      </c>
      <c r="B2425" s="24">
        <v>61.51</v>
      </c>
      <c r="C2425" s="25">
        <f>Sales!$B2425*Sales!$A2425</f>
        <v>2337.38</v>
      </c>
      <c r="D2425" s="26">
        <v>38282</v>
      </c>
      <c r="E2425" s="27" t="s">
        <v>9</v>
      </c>
      <c r="F2425" s="27">
        <v>4</v>
      </c>
      <c r="G2425" s="27">
        <v>10</v>
      </c>
      <c r="H2425" s="27">
        <v>2004</v>
      </c>
      <c r="I2425" s="27" t="s">
        <v>119</v>
      </c>
      <c r="J2425" s="25">
        <v>58</v>
      </c>
      <c r="K2425" s="25">
        <f>Sales!$B2425-Sales!$J2425</f>
        <v>3.509999999999998</v>
      </c>
      <c r="L2425" s="28">
        <f>(Sales!$J2425-Sales!$B2425)/Sales!$J2425</f>
        <v>-6.0517241379310312E-2</v>
      </c>
      <c r="M2425" s="28" t="str">
        <f t="shared" si="37"/>
        <v>Below 0%</v>
      </c>
      <c r="N2425" s="27" t="s">
        <v>103</v>
      </c>
      <c r="O2425" s="27" t="s">
        <v>73</v>
      </c>
      <c r="P2425" s="27" t="s">
        <v>17</v>
      </c>
      <c r="Q2425" s="27" t="s">
        <v>14</v>
      </c>
    </row>
    <row r="2426" spans="1:17" x14ac:dyDescent="0.3">
      <c r="A2426" s="22">
        <v>44</v>
      </c>
      <c r="B2426" s="19">
        <v>100</v>
      </c>
      <c r="C2426" s="20">
        <f>Sales!$B2426*Sales!$A2426</f>
        <v>4400</v>
      </c>
      <c r="D2426" s="21">
        <v>38296</v>
      </c>
      <c r="E2426" s="22" t="s">
        <v>9</v>
      </c>
      <c r="F2426" s="22">
        <v>4</v>
      </c>
      <c r="G2426" s="22">
        <v>11</v>
      </c>
      <c r="H2426" s="22">
        <v>2004</v>
      </c>
      <c r="I2426" s="22" t="s">
        <v>119</v>
      </c>
      <c r="J2426" s="20">
        <v>58</v>
      </c>
      <c r="K2426" s="20">
        <f>Sales!$B2426-Sales!$J2426</f>
        <v>42</v>
      </c>
      <c r="L2426" s="23">
        <f>(Sales!$J2426-Sales!$B2426)/Sales!$J2426</f>
        <v>-0.72413793103448276</v>
      </c>
      <c r="M2426" s="23" t="str">
        <f t="shared" si="37"/>
        <v>Below 0%</v>
      </c>
      <c r="N2426" s="22" t="s">
        <v>35</v>
      </c>
      <c r="O2426" s="22" t="s">
        <v>25</v>
      </c>
      <c r="P2426" s="22" t="s">
        <v>17</v>
      </c>
      <c r="Q2426" s="22" t="s">
        <v>19</v>
      </c>
    </row>
    <row r="2427" spans="1:17" x14ac:dyDescent="0.3">
      <c r="A2427" s="27">
        <v>21</v>
      </c>
      <c r="B2427" s="24">
        <v>100</v>
      </c>
      <c r="C2427" s="25">
        <f>Sales!$B2427*Sales!$A2427</f>
        <v>2100</v>
      </c>
      <c r="D2427" s="26">
        <v>38312</v>
      </c>
      <c r="E2427" s="27" t="s">
        <v>9</v>
      </c>
      <c r="F2427" s="27">
        <v>4</v>
      </c>
      <c r="G2427" s="27">
        <v>11</v>
      </c>
      <c r="H2427" s="27">
        <v>2004</v>
      </c>
      <c r="I2427" s="27" t="s">
        <v>119</v>
      </c>
      <c r="J2427" s="25">
        <v>58</v>
      </c>
      <c r="K2427" s="25">
        <f>Sales!$B2427-Sales!$J2427</f>
        <v>42</v>
      </c>
      <c r="L2427" s="28">
        <f>(Sales!$J2427-Sales!$B2427)/Sales!$J2427</f>
        <v>-0.72413793103448276</v>
      </c>
      <c r="M2427" s="28" t="str">
        <f t="shared" si="37"/>
        <v>Below 0%</v>
      </c>
      <c r="N2427" s="27" t="s">
        <v>11</v>
      </c>
      <c r="O2427" s="27" t="s">
        <v>12</v>
      </c>
      <c r="P2427" s="27" t="s">
        <v>13</v>
      </c>
      <c r="Q2427" s="27" t="s">
        <v>14</v>
      </c>
    </row>
    <row r="2428" spans="1:17" x14ac:dyDescent="0.3">
      <c r="A2428" s="22">
        <v>44</v>
      </c>
      <c r="B2428" s="19">
        <v>100</v>
      </c>
      <c r="C2428" s="20">
        <f>Sales!$B2428*Sales!$A2428</f>
        <v>4400</v>
      </c>
      <c r="D2428" s="21">
        <v>38323</v>
      </c>
      <c r="E2428" s="22" t="s">
        <v>9</v>
      </c>
      <c r="F2428" s="22">
        <v>4</v>
      </c>
      <c r="G2428" s="22">
        <v>12</v>
      </c>
      <c r="H2428" s="22">
        <v>2004</v>
      </c>
      <c r="I2428" s="22" t="s">
        <v>119</v>
      </c>
      <c r="J2428" s="20">
        <v>58</v>
      </c>
      <c r="K2428" s="20">
        <f>Sales!$B2428-Sales!$J2428</f>
        <v>42</v>
      </c>
      <c r="L2428" s="23">
        <f>(Sales!$J2428-Sales!$B2428)/Sales!$J2428</f>
        <v>-0.72413793103448276</v>
      </c>
      <c r="M2428" s="23" t="str">
        <f t="shared" si="37"/>
        <v>Below 0%</v>
      </c>
      <c r="N2428" s="22" t="s">
        <v>45</v>
      </c>
      <c r="O2428" s="22" t="s">
        <v>46</v>
      </c>
      <c r="P2428" s="22" t="s">
        <v>17</v>
      </c>
      <c r="Q2428" s="22" t="s">
        <v>19</v>
      </c>
    </row>
    <row r="2429" spans="1:17" x14ac:dyDescent="0.3">
      <c r="A2429" s="27">
        <v>25</v>
      </c>
      <c r="B2429" s="24">
        <v>64.930000000000007</v>
      </c>
      <c r="C2429" s="25">
        <f>Sales!$B2429*Sales!$A2429</f>
        <v>1623.2500000000002</v>
      </c>
      <c r="D2429" s="26">
        <v>38336</v>
      </c>
      <c r="E2429" s="27" t="s">
        <v>9</v>
      </c>
      <c r="F2429" s="27">
        <v>4</v>
      </c>
      <c r="G2429" s="27">
        <v>12</v>
      </c>
      <c r="H2429" s="27">
        <v>2004</v>
      </c>
      <c r="I2429" s="27" t="s">
        <v>119</v>
      </c>
      <c r="J2429" s="25">
        <v>58</v>
      </c>
      <c r="K2429" s="25">
        <f>Sales!$B2429-Sales!$J2429</f>
        <v>6.9300000000000068</v>
      </c>
      <c r="L2429" s="28">
        <f>(Sales!$J2429-Sales!$B2429)/Sales!$J2429</f>
        <v>-0.11948275862068977</v>
      </c>
      <c r="M2429" s="28" t="str">
        <f t="shared" si="37"/>
        <v>Below 0%</v>
      </c>
      <c r="N2429" s="27" t="s">
        <v>15</v>
      </c>
      <c r="O2429" s="27" t="s">
        <v>16</v>
      </c>
      <c r="P2429" s="27" t="s">
        <v>17</v>
      </c>
      <c r="Q2429" s="27" t="s">
        <v>14</v>
      </c>
    </row>
    <row r="2430" spans="1:17" x14ac:dyDescent="0.3">
      <c r="A2430" s="22">
        <v>24</v>
      </c>
      <c r="B2430" s="19">
        <v>58.58</v>
      </c>
      <c r="C2430" s="20">
        <f>Sales!$B2430*Sales!$A2430</f>
        <v>1405.92</v>
      </c>
      <c r="D2430" s="21">
        <v>38378</v>
      </c>
      <c r="E2430" s="22" t="s">
        <v>9</v>
      </c>
      <c r="F2430" s="22">
        <v>1</v>
      </c>
      <c r="G2430" s="22">
        <v>1</v>
      </c>
      <c r="H2430" s="22">
        <v>2005</v>
      </c>
      <c r="I2430" s="22" t="s">
        <v>119</v>
      </c>
      <c r="J2430" s="20">
        <v>58</v>
      </c>
      <c r="K2430" s="20">
        <f>Sales!$B2430-Sales!$J2430</f>
        <v>0.57999999999999829</v>
      </c>
      <c r="L2430" s="23">
        <f>(Sales!$J2430-Sales!$B2430)/Sales!$J2430</f>
        <v>-9.9999999999999707E-3</v>
      </c>
      <c r="M2430" s="23" t="str">
        <f t="shared" si="37"/>
        <v>Below 0%</v>
      </c>
      <c r="N2430" s="22" t="s">
        <v>59</v>
      </c>
      <c r="O2430" s="22" t="s">
        <v>51</v>
      </c>
      <c r="P2430" s="22" t="s">
        <v>51</v>
      </c>
      <c r="Q2430" s="22" t="s">
        <v>14</v>
      </c>
    </row>
    <row r="2431" spans="1:17" x14ac:dyDescent="0.3">
      <c r="A2431" s="27">
        <v>38</v>
      </c>
      <c r="B2431" s="24">
        <v>60.06</v>
      </c>
      <c r="C2431" s="25">
        <f>Sales!$B2431*Sales!$A2431</f>
        <v>2282.2800000000002</v>
      </c>
      <c r="D2431" s="26">
        <v>38405</v>
      </c>
      <c r="E2431" s="27" t="s">
        <v>9</v>
      </c>
      <c r="F2431" s="27">
        <v>1</v>
      </c>
      <c r="G2431" s="27">
        <v>2</v>
      </c>
      <c r="H2431" s="27">
        <v>2005</v>
      </c>
      <c r="I2431" s="27" t="s">
        <v>119</v>
      </c>
      <c r="J2431" s="25">
        <v>58</v>
      </c>
      <c r="K2431" s="25">
        <f>Sales!$B2431-Sales!$J2431</f>
        <v>2.0600000000000023</v>
      </c>
      <c r="L2431" s="28">
        <f>(Sales!$J2431-Sales!$B2431)/Sales!$J2431</f>
        <v>-3.5517241379310387E-2</v>
      </c>
      <c r="M2431" s="28" t="str">
        <f t="shared" si="37"/>
        <v>Below 0%</v>
      </c>
      <c r="N2431" s="27" t="s">
        <v>45</v>
      </c>
      <c r="O2431" s="27" t="s">
        <v>46</v>
      </c>
      <c r="P2431" s="27" t="s">
        <v>17</v>
      </c>
      <c r="Q2431" s="27" t="s">
        <v>14</v>
      </c>
    </row>
    <row r="2432" spans="1:17" x14ac:dyDescent="0.3">
      <c r="A2432" s="22">
        <v>45</v>
      </c>
      <c r="B2432" s="19">
        <v>100</v>
      </c>
      <c r="C2432" s="20">
        <f>Sales!$B2432*Sales!$A2432</f>
        <v>4500</v>
      </c>
      <c r="D2432" s="21">
        <v>38428</v>
      </c>
      <c r="E2432" s="22" t="s">
        <v>9</v>
      </c>
      <c r="F2432" s="22">
        <v>1</v>
      </c>
      <c r="G2432" s="22">
        <v>3</v>
      </c>
      <c r="H2432" s="22">
        <v>2005</v>
      </c>
      <c r="I2432" s="22" t="s">
        <v>119</v>
      </c>
      <c r="J2432" s="20">
        <v>58</v>
      </c>
      <c r="K2432" s="20">
        <f>Sales!$B2432-Sales!$J2432</f>
        <v>42</v>
      </c>
      <c r="L2432" s="23">
        <f>(Sales!$J2432-Sales!$B2432)/Sales!$J2432</f>
        <v>-0.72413793103448276</v>
      </c>
      <c r="M2432" s="23" t="str">
        <f t="shared" si="37"/>
        <v>Below 0%</v>
      </c>
      <c r="N2432" s="22" t="s">
        <v>18</v>
      </c>
      <c r="O2432" s="22" t="s">
        <v>16</v>
      </c>
      <c r="P2432" s="22" t="s">
        <v>17</v>
      </c>
      <c r="Q2432" s="22" t="s">
        <v>39</v>
      </c>
    </row>
    <row r="2433" spans="1:17" x14ac:dyDescent="0.3">
      <c r="A2433" s="27">
        <v>51</v>
      </c>
      <c r="B2433" s="24">
        <v>63.85</v>
      </c>
      <c r="C2433" s="25">
        <f>Sales!$B2433*Sales!$A2433</f>
        <v>3256.35</v>
      </c>
      <c r="D2433" s="26">
        <v>38477</v>
      </c>
      <c r="E2433" s="27" t="s">
        <v>9</v>
      </c>
      <c r="F2433" s="27">
        <v>2</v>
      </c>
      <c r="G2433" s="27">
        <v>5</v>
      </c>
      <c r="H2433" s="27">
        <v>2005</v>
      </c>
      <c r="I2433" s="27" t="s">
        <v>119</v>
      </c>
      <c r="J2433" s="25">
        <v>58</v>
      </c>
      <c r="K2433" s="25">
        <f>Sales!$B2433-Sales!$J2433</f>
        <v>5.8500000000000014</v>
      </c>
      <c r="L2433" s="28">
        <f>(Sales!$J2433-Sales!$B2433)/Sales!$J2433</f>
        <v>-0.10086206896551726</v>
      </c>
      <c r="M2433" s="28" t="str">
        <f t="shared" si="37"/>
        <v>Below 0%</v>
      </c>
      <c r="N2433" s="27" t="s">
        <v>30</v>
      </c>
      <c r="O2433" s="27" t="s">
        <v>12</v>
      </c>
      <c r="P2433" s="27" t="s">
        <v>13</v>
      </c>
      <c r="Q2433" s="27" t="s">
        <v>19</v>
      </c>
    </row>
    <row r="2434" spans="1:17" x14ac:dyDescent="0.3">
      <c r="A2434" s="22">
        <v>34</v>
      </c>
      <c r="B2434" s="19">
        <v>82.99</v>
      </c>
      <c r="C2434" s="20">
        <f>Sales!$B2434*Sales!$A2434</f>
        <v>2821.66</v>
      </c>
      <c r="D2434" s="21">
        <v>37683</v>
      </c>
      <c r="E2434" s="22" t="s">
        <v>9</v>
      </c>
      <c r="F2434" s="22">
        <v>1</v>
      </c>
      <c r="G2434" s="22">
        <v>3</v>
      </c>
      <c r="H2434" s="22">
        <v>2003</v>
      </c>
      <c r="I2434" s="22" t="s">
        <v>10</v>
      </c>
      <c r="J2434" s="20">
        <v>81</v>
      </c>
      <c r="K2434" s="20">
        <f>Sales!$B2434-Sales!$J2434</f>
        <v>1.9899999999999949</v>
      </c>
      <c r="L2434" s="23">
        <f>(Sales!$J2434-Sales!$B2434)/Sales!$J2434</f>
        <v>-2.4567901234567837E-2</v>
      </c>
      <c r="M2434" s="23" t="str">
        <f t="shared" si="37"/>
        <v>Below 0%</v>
      </c>
      <c r="N2434" s="22" t="s">
        <v>90</v>
      </c>
      <c r="O2434" s="22" t="s">
        <v>91</v>
      </c>
      <c r="P2434" s="22" t="s">
        <v>28</v>
      </c>
      <c r="Q2434" s="22" t="s">
        <v>14</v>
      </c>
    </row>
    <row r="2435" spans="1:17" x14ac:dyDescent="0.3">
      <c r="A2435" s="27">
        <v>44</v>
      </c>
      <c r="B2435" s="24">
        <v>74.849999999999994</v>
      </c>
      <c r="C2435" s="25">
        <f>Sales!$B2435*Sales!$A2435</f>
        <v>3293.3999999999996</v>
      </c>
      <c r="D2435" s="26">
        <v>37748</v>
      </c>
      <c r="E2435" s="27" t="s">
        <v>9</v>
      </c>
      <c r="F2435" s="27">
        <v>2</v>
      </c>
      <c r="G2435" s="27">
        <v>5</v>
      </c>
      <c r="H2435" s="27">
        <v>2003</v>
      </c>
      <c r="I2435" s="27" t="s">
        <v>10</v>
      </c>
      <c r="J2435" s="25">
        <v>81</v>
      </c>
      <c r="K2435" s="25">
        <f>Sales!$B2435-Sales!$J2435</f>
        <v>-6.1500000000000057</v>
      </c>
      <c r="L2435" s="28">
        <f>(Sales!$J2435-Sales!$B2435)/Sales!$J2435</f>
        <v>7.5925925925925994E-2</v>
      </c>
      <c r="M2435" s="28" t="str">
        <f t="shared" ref="M2435:M2498" si="38">IF(L2435&lt;0%,"Below 0%",IF(L2435=0%,"0%",IF(AND(L2435&lt;=5%,L2435&gt;0%),"0%-5%",IF(AND(L2435&lt;=10%,L2435&gt;5%),"5%-10%",IF(AND(L2435&lt;=15%,L2435&gt;10%),"10%-15%",IF(AND(L2435&lt;=20%,L2435&gt;15%),"15%-20%","+20%"))))))</f>
        <v>5%-10%</v>
      </c>
      <c r="N2435" s="27" t="s">
        <v>15</v>
      </c>
      <c r="O2435" s="27" t="s">
        <v>16</v>
      </c>
      <c r="P2435" s="27" t="s">
        <v>17</v>
      </c>
      <c r="Q2435" s="27" t="s">
        <v>19</v>
      </c>
    </row>
    <row r="2436" spans="1:17" x14ac:dyDescent="0.3">
      <c r="A2436" s="22">
        <v>44</v>
      </c>
      <c r="B2436" s="19">
        <v>96</v>
      </c>
      <c r="C2436" s="20">
        <f>Sales!$B2436*Sales!$A2436</f>
        <v>4224</v>
      </c>
      <c r="D2436" s="21">
        <v>37804</v>
      </c>
      <c r="E2436" s="22" t="s">
        <v>9</v>
      </c>
      <c r="F2436" s="22">
        <v>3</v>
      </c>
      <c r="G2436" s="22">
        <v>7</v>
      </c>
      <c r="H2436" s="22">
        <v>2003</v>
      </c>
      <c r="I2436" s="22" t="s">
        <v>10</v>
      </c>
      <c r="J2436" s="20">
        <v>81</v>
      </c>
      <c r="K2436" s="20">
        <f>Sales!$B2436-Sales!$J2436</f>
        <v>15</v>
      </c>
      <c r="L2436" s="23">
        <f>(Sales!$J2436-Sales!$B2436)/Sales!$J2436</f>
        <v>-0.18518518518518517</v>
      </c>
      <c r="M2436" s="23" t="str">
        <f t="shared" si="38"/>
        <v>Below 0%</v>
      </c>
      <c r="N2436" s="22" t="s">
        <v>64</v>
      </c>
      <c r="O2436" s="22" t="s">
        <v>12</v>
      </c>
      <c r="P2436" s="22" t="s">
        <v>13</v>
      </c>
      <c r="Q2436" s="22" t="s">
        <v>19</v>
      </c>
    </row>
    <row r="2437" spans="1:17" x14ac:dyDescent="0.3">
      <c r="A2437" s="27">
        <v>38</v>
      </c>
      <c r="B2437" s="24">
        <v>81.36</v>
      </c>
      <c r="C2437" s="25">
        <f>Sales!$B2437*Sales!$A2437</f>
        <v>3091.68</v>
      </c>
      <c r="D2437" s="26">
        <v>37858</v>
      </c>
      <c r="E2437" s="27" t="s">
        <v>9</v>
      </c>
      <c r="F2437" s="27">
        <v>3</v>
      </c>
      <c r="G2437" s="27">
        <v>8</v>
      </c>
      <c r="H2437" s="27">
        <v>2003</v>
      </c>
      <c r="I2437" s="27" t="s">
        <v>10</v>
      </c>
      <c r="J2437" s="25">
        <v>81</v>
      </c>
      <c r="K2437" s="25">
        <f>Sales!$B2437-Sales!$J2437</f>
        <v>0.35999999999999943</v>
      </c>
      <c r="L2437" s="28">
        <f>(Sales!$J2437-Sales!$B2437)/Sales!$J2437</f>
        <v>-4.4444444444444375E-3</v>
      </c>
      <c r="M2437" s="28" t="s">
        <v>130</v>
      </c>
      <c r="N2437" s="27" t="s">
        <v>20</v>
      </c>
      <c r="O2437" s="27" t="s">
        <v>12</v>
      </c>
      <c r="P2437" s="27" t="s">
        <v>13</v>
      </c>
      <c r="Q2437" s="27" t="s">
        <v>19</v>
      </c>
    </row>
    <row r="2438" spans="1:17" x14ac:dyDescent="0.3">
      <c r="A2438" s="22">
        <v>31</v>
      </c>
      <c r="B2438" s="19">
        <v>71.599999999999994</v>
      </c>
      <c r="C2438" s="20">
        <f>Sales!$B2438*Sales!$A2438</f>
        <v>2219.6</v>
      </c>
      <c r="D2438" s="21">
        <v>37904</v>
      </c>
      <c r="E2438" s="22" t="s">
        <v>9</v>
      </c>
      <c r="F2438" s="22">
        <v>4</v>
      </c>
      <c r="G2438" s="22">
        <v>10</v>
      </c>
      <c r="H2438" s="22">
        <v>2003</v>
      </c>
      <c r="I2438" s="22" t="s">
        <v>10</v>
      </c>
      <c r="J2438" s="20">
        <v>81</v>
      </c>
      <c r="K2438" s="20">
        <f>Sales!$B2438-Sales!$J2438</f>
        <v>-9.4000000000000057</v>
      </c>
      <c r="L2438" s="23">
        <f>(Sales!$J2438-Sales!$B2438)/Sales!$J2438</f>
        <v>0.11604938271604945</v>
      </c>
      <c r="M2438" s="23" t="str">
        <f t="shared" si="38"/>
        <v>10%-15%</v>
      </c>
      <c r="N2438" s="22" t="s">
        <v>21</v>
      </c>
      <c r="O2438" s="22" t="s">
        <v>12</v>
      </c>
      <c r="P2438" s="22" t="s">
        <v>13</v>
      </c>
      <c r="Q2438" s="22" t="s">
        <v>14</v>
      </c>
    </row>
    <row r="2439" spans="1:17" x14ac:dyDescent="0.3">
      <c r="A2439" s="27">
        <v>48</v>
      </c>
      <c r="B2439" s="24">
        <v>80.55</v>
      </c>
      <c r="C2439" s="25">
        <f>Sales!$B2439*Sales!$A2439</f>
        <v>3866.3999999999996</v>
      </c>
      <c r="D2439" s="26">
        <v>37929</v>
      </c>
      <c r="E2439" s="27" t="s">
        <v>9</v>
      </c>
      <c r="F2439" s="27">
        <v>4</v>
      </c>
      <c r="G2439" s="27">
        <v>11</v>
      </c>
      <c r="H2439" s="27">
        <v>2003</v>
      </c>
      <c r="I2439" s="27" t="s">
        <v>10</v>
      </c>
      <c r="J2439" s="25">
        <v>81</v>
      </c>
      <c r="K2439" s="25">
        <f>Sales!$B2439-Sales!$J2439</f>
        <v>-0.45000000000000284</v>
      </c>
      <c r="L2439" s="28">
        <f>(Sales!$J2439-Sales!$B2439)/Sales!$J2439</f>
        <v>5.5555555555555905E-3</v>
      </c>
      <c r="M2439" s="28" t="str">
        <f t="shared" si="38"/>
        <v>0%-5%</v>
      </c>
      <c r="N2439" s="27" t="s">
        <v>67</v>
      </c>
      <c r="O2439" s="27" t="s">
        <v>27</v>
      </c>
      <c r="P2439" s="27" t="s">
        <v>28</v>
      </c>
      <c r="Q2439" s="27" t="s">
        <v>19</v>
      </c>
    </row>
    <row r="2440" spans="1:17" x14ac:dyDescent="0.3">
      <c r="A2440" s="22">
        <v>21</v>
      </c>
      <c r="B2440" s="19">
        <v>93.56</v>
      </c>
      <c r="C2440" s="20">
        <f>Sales!$B2440*Sales!$A2440</f>
        <v>1964.76</v>
      </c>
      <c r="D2440" s="21">
        <v>37936</v>
      </c>
      <c r="E2440" s="22" t="s">
        <v>9</v>
      </c>
      <c r="F2440" s="22">
        <v>4</v>
      </c>
      <c r="G2440" s="22">
        <v>11</v>
      </c>
      <c r="H2440" s="22">
        <v>2003</v>
      </c>
      <c r="I2440" s="22" t="s">
        <v>10</v>
      </c>
      <c r="J2440" s="20">
        <v>81</v>
      </c>
      <c r="K2440" s="20">
        <f>Sales!$B2440-Sales!$J2440</f>
        <v>12.560000000000002</v>
      </c>
      <c r="L2440" s="23">
        <f>(Sales!$J2440-Sales!$B2440)/Sales!$J2440</f>
        <v>-0.15506172839506174</v>
      </c>
      <c r="M2440" s="23" t="str">
        <f t="shared" si="38"/>
        <v>Below 0%</v>
      </c>
      <c r="N2440" s="22" t="s">
        <v>23</v>
      </c>
      <c r="O2440" s="22" t="s">
        <v>16</v>
      </c>
      <c r="P2440" s="22" t="s">
        <v>17</v>
      </c>
      <c r="Q2440" s="22" t="s">
        <v>14</v>
      </c>
    </row>
    <row r="2441" spans="1:17" x14ac:dyDescent="0.3">
      <c r="A2441" s="27">
        <v>40</v>
      </c>
      <c r="B2441" s="24">
        <v>66.72</v>
      </c>
      <c r="C2441" s="25">
        <f>Sales!$B2441*Sales!$A2441</f>
        <v>2668.8</v>
      </c>
      <c r="D2441" s="26">
        <v>37944</v>
      </c>
      <c r="E2441" s="27" t="s">
        <v>9</v>
      </c>
      <c r="F2441" s="27">
        <v>4</v>
      </c>
      <c r="G2441" s="27">
        <v>11</v>
      </c>
      <c r="H2441" s="27">
        <v>2003</v>
      </c>
      <c r="I2441" s="27" t="s">
        <v>10</v>
      </c>
      <c r="J2441" s="25">
        <v>81</v>
      </c>
      <c r="K2441" s="25">
        <f>Sales!$B2441-Sales!$J2441</f>
        <v>-14.280000000000001</v>
      </c>
      <c r="L2441" s="28">
        <f>(Sales!$J2441-Sales!$B2441)/Sales!$J2441</f>
        <v>0.17629629629629631</v>
      </c>
      <c r="M2441" s="28" t="str">
        <f t="shared" si="38"/>
        <v>15%-20%</v>
      </c>
      <c r="N2441" s="27" t="s">
        <v>45</v>
      </c>
      <c r="O2441" s="27" t="s">
        <v>46</v>
      </c>
      <c r="P2441" s="27" t="s">
        <v>17</v>
      </c>
      <c r="Q2441" s="27" t="s">
        <v>14</v>
      </c>
    </row>
    <row r="2442" spans="1:17" x14ac:dyDescent="0.3">
      <c r="A2442" s="22">
        <v>40</v>
      </c>
      <c r="B2442" s="19">
        <v>80.55</v>
      </c>
      <c r="C2442" s="20">
        <f>Sales!$B2442*Sales!$A2442</f>
        <v>3222</v>
      </c>
      <c r="D2442" s="21">
        <v>38001</v>
      </c>
      <c r="E2442" s="22" t="s">
        <v>9</v>
      </c>
      <c r="F2442" s="22">
        <v>1</v>
      </c>
      <c r="G2442" s="22">
        <v>1</v>
      </c>
      <c r="H2442" s="22">
        <v>2004</v>
      </c>
      <c r="I2442" s="22" t="s">
        <v>10</v>
      </c>
      <c r="J2442" s="20">
        <v>81</v>
      </c>
      <c r="K2442" s="20">
        <f>Sales!$B2442-Sales!$J2442</f>
        <v>-0.45000000000000284</v>
      </c>
      <c r="L2442" s="23">
        <f>(Sales!$J2442-Sales!$B2442)/Sales!$J2442</f>
        <v>5.5555555555555905E-3</v>
      </c>
      <c r="M2442" s="23" t="str">
        <f t="shared" si="38"/>
        <v>0%-5%</v>
      </c>
      <c r="N2442" s="22" t="s">
        <v>18</v>
      </c>
      <c r="O2442" s="22" t="s">
        <v>16</v>
      </c>
      <c r="P2442" s="22" t="s">
        <v>17</v>
      </c>
      <c r="Q2442" s="22" t="s">
        <v>19</v>
      </c>
    </row>
    <row r="2443" spans="1:17" x14ac:dyDescent="0.3">
      <c r="A2443" s="27">
        <v>50</v>
      </c>
      <c r="B2443" s="24">
        <v>77.290000000000006</v>
      </c>
      <c r="C2443" s="25">
        <f>Sales!$B2443*Sales!$A2443</f>
        <v>3864.5000000000005</v>
      </c>
      <c r="D2443" s="26">
        <v>38038</v>
      </c>
      <c r="E2443" s="27" t="s">
        <v>9</v>
      </c>
      <c r="F2443" s="27">
        <v>1</v>
      </c>
      <c r="G2443" s="27">
        <v>2</v>
      </c>
      <c r="H2443" s="27">
        <v>2004</v>
      </c>
      <c r="I2443" s="27" t="s">
        <v>10</v>
      </c>
      <c r="J2443" s="25">
        <v>81</v>
      </c>
      <c r="K2443" s="25">
        <f>Sales!$B2443-Sales!$J2443</f>
        <v>-3.7099999999999937</v>
      </c>
      <c r="L2443" s="28">
        <f>(Sales!$J2443-Sales!$B2443)/Sales!$J2443</f>
        <v>4.5802469135802389E-2</v>
      </c>
      <c r="M2443" s="28" t="str">
        <f t="shared" si="38"/>
        <v>0%-5%</v>
      </c>
      <c r="N2443" s="27" t="s">
        <v>23</v>
      </c>
      <c r="O2443" s="27" t="s">
        <v>16</v>
      </c>
      <c r="P2443" s="27" t="s">
        <v>17</v>
      </c>
      <c r="Q2443" s="27" t="s">
        <v>19</v>
      </c>
    </row>
    <row r="2444" spans="1:17" x14ac:dyDescent="0.3">
      <c r="A2444" s="22">
        <v>20</v>
      </c>
      <c r="B2444" s="19">
        <v>68.34</v>
      </c>
      <c r="C2444" s="20">
        <f>Sales!$B2444*Sales!$A2444</f>
        <v>1366.8000000000002</v>
      </c>
      <c r="D2444" s="21">
        <v>38082</v>
      </c>
      <c r="E2444" s="22" t="s">
        <v>9</v>
      </c>
      <c r="F2444" s="22">
        <v>2</v>
      </c>
      <c r="G2444" s="22">
        <v>4</v>
      </c>
      <c r="H2444" s="22">
        <v>2004</v>
      </c>
      <c r="I2444" s="22" t="s">
        <v>10</v>
      </c>
      <c r="J2444" s="20">
        <v>81</v>
      </c>
      <c r="K2444" s="20">
        <f>Sales!$B2444-Sales!$J2444</f>
        <v>-12.659999999999997</v>
      </c>
      <c r="L2444" s="23">
        <f>(Sales!$J2444-Sales!$B2444)/Sales!$J2444</f>
        <v>0.15629629629629627</v>
      </c>
      <c r="M2444" s="23" t="str">
        <f t="shared" si="38"/>
        <v>15%-20%</v>
      </c>
      <c r="N2444" s="22" t="s">
        <v>11</v>
      </c>
      <c r="O2444" s="22" t="s">
        <v>12</v>
      </c>
      <c r="P2444" s="22" t="s">
        <v>13</v>
      </c>
      <c r="Q2444" s="22" t="s">
        <v>14</v>
      </c>
    </row>
    <row r="2445" spans="1:17" x14ac:dyDescent="0.3">
      <c r="A2445" s="27">
        <v>48</v>
      </c>
      <c r="B2445" s="24">
        <v>72.41</v>
      </c>
      <c r="C2445" s="25">
        <f>Sales!$B2445*Sales!$A2445</f>
        <v>3475.68</v>
      </c>
      <c r="D2445" s="26">
        <v>38133</v>
      </c>
      <c r="E2445" s="27" t="s">
        <v>9</v>
      </c>
      <c r="F2445" s="27">
        <v>2</v>
      </c>
      <c r="G2445" s="27">
        <v>5</v>
      </c>
      <c r="H2445" s="27">
        <v>2004</v>
      </c>
      <c r="I2445" s="27" t="s">
        <v>10</v>
      </c>
      <c r="J2445" s="25">
        <v>81</v>
      </c>
      <c r="K2445" s="25">
        <f>Sales!$B2445-Sales!$J2445</f>
        <v>-8.5900000000000034</v>
      </c>
      <c r="L2445" s="28">
        <f>(Sales!$J2445-Sales!$B2445)/Sales!$J2445</f>
        <v>0.10604938271604943</v>
      </c>
      <c r="M2445" s="28" t="str">
        <f t="shared" si="38"/>
        <v>10%-15%</v>
      </c>
      <c r="N2445" s="27" t="s">
        <v>18</v>
      </c>
      <c r="O2445" s="27" t="s">
        <v>16</v>
      </c>
      <c r="P2445" s="27" t="s">
        <v>17</v>
      </c>
      <c r="Q2445" s="27" t="s">
        <v>19</v>
      </c>
    </row>
    <row r="2446" spans="1:17" x14ac:dyDescent="0.3">
      <c r="A2446" s="22">
        <v>47</v>
      </c>
      <c r="B2446" s="19">
        <v>89.5</v>
      </c>
      <c r="C2446" s="20">
        <f>Sales!$B2446*Sales!$A2446</f>
        <v>4206.5</v>
      </c>
      <c r="D2446" s="21">
        <v>38168</v>
      </c>
      <c r="E2446" s="22" t="s">
        <v>9</v>
      </c>
      <c r="F2446" s="22">
        <v>2</v>
      </c>
      <c r="G2446" s="22">
        <v>6</v>
      </c>
      <c r="H2446" s="22">
        <v>2004</v>
      </c>
      <c r="I2446" s="22" t="s">
        <v>10</v>
      </c>
      <c r="J2446" s="20">
        <v>81</v>
      </c>
      <c r="K2446" s="20">
        <f>Sales!$B2446-Sales!$J2446</f>
        <v>8.5</v>
      </c>
      <c r="L2446" s="23">
        <f>(Sales!$J2446-Sales!$B2446)/Sales!$J2446</f>
        <v>-0.10493827160493827</v>
      </c>
      <c r="M2446" s="23" t="str">
        <f t="shared" si="38"/>
        <v>Below 0%</v>
      </c>
      <c r="N2446" s="22" t="s">
        <v>83</v>
      </c>
      <c r="O2446" s="22" t="s">
        <v>12</v>
      </c>
      <c r="P2446" s="22" t="s">
        <v>13</v>
      </c>
      <c r="Q2446" s="22" t="s">
        <v>19</v>
      </c>
    </row>
    <row r="2447" spans="1:17" x14ac:dyDescent="0.3">
      <c r="A2447" s="27">
        <v>21</v>
      </c>
      <c r="B2447" s="24">
        <v>70.78</v>
      </c>
      <c r="C2447" s="25">
        <f>Sales!$B2447*Sales!$A2447</f>
        <v>1486.38</v>
      </c>
      <c r="D2447" s="26">
        <v>38201</v>
      </c>
      <c r="E2447" s="27" t="s">
        <v>9</v>
      </c>
      <c r="F2447" s="27">
        <v>3</v>
      </c>
      <c r="G2447" s="27">
        <v>8</v>
      </c>
      <c r="H2447" s="27">
        <v>2004</v>
      </c>
      <c r="I2447" s="27" t="s">
        <v>10</v>
      </c>
      <c r="J2447" s="25">
        <v>81</v>
      </c>
      <c r="K2447" s="25">
        <f>Sales!$B2447-Sales!$J2447</f>
        <v>-10.219999999999999</v>
      </c>
      <c r="L2447" s="28">
        <f>(Sales!$J2447-Sales!$B2447)/Sales!$J2447</f>
        <v>0.12617283950617283</v>
      </c>
      <c r="M2447" s="28" t="str">
        <f t="shared" si="38"/>
        <v>10%-15%</v>
      </c>
      <c r="N2447" s="27" t="s">
        <v>66</v>
      </c>
      <c r="O2447" s="27" t="s">
        <v>12</v>
      </c>
      <c r="P2447" s="27" t="s">
        <v>13</v>
      </c>
      <c r="Q2447" s="27" t="s">
        <v>14</v>
      </c>
    </row>
    <row r="2448" spans="1:17" x14ac:dyDescent="0.3">
      <c r="A2448" s="22">
        <v>39</v>
      </c>
      <c r="B2448" s="19">
        <v>78.92</v>
      </c>
      <c r="C2448" s="20">
        <f>Sales!$B2448*Sales!$A2448</f>
        <v>3077.88</v>
      </c>
      <c r="D2448" s="21">
        <v>38226</v>
      </c>
      <c r="E2448" s="22" t="s">
        <v>9</v>
      </c>
      <c r="F2448" s="22">
        <v>3</v>
      </c>
      <c r="G2448" s="22">
        <v>8</v>
      </c>
      <c r="H2448" s="22">
        <v>2004</v>
      </c>
      <c r="I2448" s="22" t="s">
        <v>10</v>
      </c>
      <c r="J2448" s="20">
        <v>81</v>
      </c>
      <c r="K2448" s="20">
        <f>Sales!$B2448-Sales!$J2448</f>
        <v>-2.0799999999999983</v>
      </c>
      <c r="L2448" s="23">
        <f>(Sales!$J2448-Sales!$B2448)/Sales!$J2448</f>
        <v>2.567901234567899E-2</v>
      </c>
      <c r="M2448" s="23" t="str">
        <f t="shared" si="38"/>
        <v>0%-5%</v>
      </c>
      <c r="N2448" s="22" t="s">
        <v>32</v>
      </c>
      <c r="O2448" s="22" t="s">
        <v>12</v>
      </c>
      <c r="P2448" s="22" t="s">
        <v>13</v>
      </c>
      <c r="Q2448" s="22" t="s">
        <v>19</v>
      </c>
    </row>
    <row r="2449" spans="1:17" x14ac:dyDescent="0.3">
      <c r="A2449" s="27">
        <v>44</v>
      </c>
      <c r="B2449" s="24">
        <v>80.55</v>
      </c>
      <c r="C2449" s="25">
        <f>Sales!$B2449*Sales!$A2449</f>
        <v>3544.2</v>
      </c>
      <c r="D2449" s="26">
        <v>38260</v>
      </c>
      <c r="E2449" s="27" t="s">
        <v>9</v>
      </c>
      <c r="F2449" s="27">
        <v>3</v>
      </c>
      <c r="G2449" s="27">
        <v>9</v>
      </c>
      <c r="H2449" s="27">
        <v>2004</v>
      </c>
      <c r="I2449" s="27" t="s">
        <v>10</v>
      </c>
      <c r="J2449" s="25">
        <v>81</v>
      </c>
      <c r="K2449" s="25">
        <f>Sales!$B2449-Sales!$J2449</f>
        <v>-0.45000000000000284</v>
      </c>
      <c r="L2449" s="28">
        <f>(Sales!$J2449-Sales!$B2449)/Sales!$J2449</f>
        <v>5.5555555555555905E-3</v>
      </c>
      <c r="M2449" s="28" t="str">
        <f t="shared" si="38"/>
        <v>0%-5%</v>
      </c>
      <c r="N2449" s="27" t="s">
        <v>33</v>
      </c>
      <c r="O2449" s="27" t="s">
        <v>34</v>
      </c>
      <c r="P2449" s="27" t="s">
        <v>17</v>
      </c>
      <c r="Q2449" s="27" t="s">
        <v>19</v>
      </c>
    </row>
    <row r="2450" spans="1:17" x14ac:dyDescent="0.3">
      <c r="A2450" s="22">
        <v>28</v>
      </c>
      <c r="B2450" s="19">
        <v>88.68</v>
      </c>
      <c r="C2450" s="20">
        <f>Sales!$B2450*Sales!$A2450</f>
        <v>2483.04</v>
      </c>
      <c r="D2450" s="21">
        <v>38275</v>
      </c>
      <c r="E2450" s="22" t="s">
        <v>9</v>
      </c>
      <c r="F2450" s="22">
        <v>4</v>
      </c>
      <c r="G2450" s="22">
        <v>10</v>
      </c>
      <c r="H2450" s="22">
        <v>2004</v>
      </c>
      <c r="I2450" s="22" t="s">
        <v>10</v>
      </c>
      <c r="J2450" s="20">
        <v>81</v>
      </c>
      <c r="K2450" s="20">
        <f>Sales!$B2450-Sales!$J2450</f>
        <v>7.6800000000000068</v>
      </c>
      <c r="L2450" s="23">
        <f>(Sales!$J2450-Sales!$B2450)/Sales!$J2450</f>
        <v>-9.4814814814814893E-2</v>
      </c>
      <c r="M2450" s="23" t="str">
        <f t="shared" si="38"/>
        <v>Below 0%</v>
      </c>
      <c r="N2450" s="22" t="s">
        <v>35</v>
      </c>
      <c r="O2450" s="22" t="s">
        <v>25</v>
      </c>
      <c r="P2450" s="22" t="s">
        <v>17</v>
      </c>
      <c r="Q2450" s="22" t="s">
        <v>14</v>
      </c>
    </row>
    <row r="2451" spans="1:17" x14ac:dyDescent="0.3">
      <c r="A2451" s="27">
        <v>45</v>
      </c>
      <c r="B2451" s="24">
        <v>77.290000000000006</v>
      </c>
      <c r="C2451" s="25">
        <f>Sales!$B2451*Sales!$A2451</f>
        <v>3478.05</v>
      </c>
      <c r="D2451" s="26">
        <v>38294</v>
      </c>
      <c r="E2451" s="27" t="s">
        <v>9</v>
      </c>
      <c r="F2451" s="27">
        <v>4</v>
      </c>
      <c r="G2451" s="27">
        <v>11</v>
      </c>
      <c r="H2451" s="27">
        <v>2004</v>
      </c>
      <c r="I2451" s="27" t="s">
        <v>10</v>
      </c>
      <c r="J2451" s="25">
        <v>81</v>
      </c>
      <c r="K2451" s="25">
        <f>Sales!$B2451-Sales!$J2451</f>
        <v>-3.7099999999999937</v>
      </c>
      <c r="L2451" s="28">
        <f>(Sales!$J2451-Sales!$B2451)/Sales!$J2451</f>
        <v>4.5802469135802389E-2</v>
      </c>
      <c r="M2451" s="28" t="str">
        <f t="shared" si="38"/>
        <v>0%-5%</v>
      </c>
      <c r="N2451" s="27" t="s">
        <v>11</v>
      </c>
      <c r="O2451" s="27" t="s">
        <v>12</v>
      </c>
      <c r="P2451" s="27" t="s">
        <v>13</v>
      </c>
      <c r="Q2451" s="27" t="s">
        <v>19</v>
      </c>
    </row>
    <row r="2452" spans="1:17" x14ac:dyDescent="0.3">
      <c r="A2452" s="22">
        <v>20</v>
      </c>
      <c r="B2452" s="19">
        <v>100</v>
      </c>
      <c r="C2452" s="20">
        <f>Sales!$B2452*Sales!$A2452</f>
        <v>2000</v>
      </c>
      <c r="D2452" s="21">
        <v>38308</v>
      </c>
      <c r="E2452" s="22" t="s">
        <v>9</v>
      </c>
      <c r="F2452" s="22">
        <v>4</v>
      </c>
      <c r="G2452" s="22">
        <v>11</v>
      </c>
      <c r="H2452" s="22">
        <v>2004</v>
      </c>
      <c r="I2452" s="22" t="s">
        <v>10</v>
      </c>
      <c r="J2452" s="20">
        <v>81</v>
      </c>
      <c r="K2452" s="20">
        <f>Sales!$B2452-Sales!$J2452</f>
        <v>19</v>
      </c>
      <c r="L2452" s="23">
        <f>(Sales!$J2452-Sales!$B2452)/Sales!$J2452</f>
        <v>-0.23456790123456789</v>
      </c>
      <c r="M2452" s="23" t="str">
        <f t="shared" si="38"/>
        <v>Below 0%</v>
      </c>
      <c r="N2452" s="22" t="s">
        <v>53</v>
      </c>
      <c r="O2452" s="22" t="s">
        <v>12</v>
      </c>
      <c r="P2452" s="22" t="s">
        <v>13</v>
      </c>
      <c r="Q2452" s="22" t="s">
        <v>19</v>
      </c>
    </row>
    <row r="2453" spans="1:17" x14ac:dyDescent="0.3">
      <c r="A2453" s="27">
        <v>38</v>
      </c>
      <c r="B2453" s="24">
        <v>100</v>
      </c>
      <c r="C2453" s="25">
        <f>Sales!$B2453*Sales!$A2453</f>
        <v>3800</v>
      </c>
      <c r="D2453" s="26">
        <v>38315</v>
      </c>
      <c r="E2453" s="27" t="s">
        <v>9</v>
      </c>
      <c r="F2453" s="27">
        <v>4</v>
      </c>
      <c r="G2453" s="27">
        <v>11</v>
      </c>
      <c r="H2453" s="27">
        <v>2004</v>
      </c>
      <c r="I2453" s="27" t="s">
        <v>10</v>
      </c>
      <c r="J2453" s="25">
        <v>81</v>
      </c>
      <c r="K2453" s="25">
        <f>Sales!$B2453-Sales!$J2453</f>
        <v>19</v>
      </c>
      <c r="L2453" s="28">
        <f>(Sales!$J2453-Sales!$B2453)/Sales!$J2453</f>
        <v>-0.23456790123456789</v>
      </c>
      <c r="M2453" s="28" t="str">
        <f t="shared" si="38"/>
        <v>Below 0%</v>
      </c>
      <c r="N2453" s="27" t="s">
        <v>37</v>
      </c>
      <c r="O2453" s="27" t="s">
        <v>38</v>
      </c>
      <c r="P2453" s="27" t="s">
        <v>17</v>
      </c>
      <c r="Q2453" s="27" t="s">
        <v>19</v>
      </c>
    </row>
    <row r="2454" spans="1:17" x14ac:dyDescent="0.3">
      <c r="A2454" s="22">
        <v>26</v>
      </c>
      <c r="B2454" s="19">
        <v>100</v>
      </c>
      <c r="C2454" s="20">
        <f>Sales!$B2454*Sales!$A2454</f>
        <v>2600</v>
      </c>
      <c r="D2454" s="21">
        <v>38330</v>
      </c>
      <c r="E2454" s="22" t="s">
        <v>9</v>
      </c>
      <c r="F2454" s="22">
        <v>4</v>
      </c>
      <c r="G2454" s="22">
        <v>12</v>
      </c>
      <c r="H2454" s="22">
        <v>2004</v>
      </c>
      <c r="I2454" s="22" t="s">
        <v>10</v>
      </c>
      <c r="J2454" s="20">
        <v>81</v>
      </c>
      <c r="K2454" s="20">
        <f>Sales!$B2454-Sales!$J2454</f>
        <v>19</v>
      </c>
      <c r="L2454" s="23">
        <f>(Sales!$J2454-Sales!$B2454)/Sales!$J2454</f>
        <v>-0.23456790123456789</v>
      </c>
      <c r="M2454" s="23" t="str">
        <f t="shared" si="38"/>
        <v>Below 0%</v>
      </c>
      <c r="N2454" s="22" t="s">
        <v>18</v>
      </c>
      <c r="O2454" s="22" t="s">
        <v>16</v>
      </c>
      <c r="P2454" s="22" t="s">
        <v>17</v>
      </c>
      <c r="Q2454" s="22" t="s">
        <v>19</v>
      </c>
    </row>
    <row r="2455" spans="1:17" x14ac:dyDescent="0.3">
      <c r="A2455" s="27">
        <v>44</v>
      </c>
      <c r="B2455" s="24">
        <v>100</v>
      </c>
      <c r="C2455" s="25">
        <f>Sales!$B2455*Sales!$A2455</f>
        <v>4400</v>
      </c>
      <c r="D2455" s="26">
        <v>38359</v>
      </c>
      <c r="E2455" s="27" t="s">
        <v>9</v>
      </c>
      <c r="F2455" s="27">
        <v>1</v>
      </c>
      <c r="G2455" s="27">
        <v>1</v>
      </c>
      <c r="H2455" s="27">
        <v>2005</v>
      </c>
      <c r="I2455" s="27" t="s">
        <v>10</v>
      </c>
      <c r="J2455" s="25">
        <v>81</v>
      </c>
      <c r="K2455" s="25">
        <f>Sales!$B2455-Sales!$J2455</f>
        <v>19</v>
      </c>
      <c r="L2455" s="28">
        <f>(Sales!$J2455-Sales!$B2455)/Sales!$J2455</f>
        <v>-0.23456790123456789</v>
      </c>
      <c r="M2455" s="28" t="str">
        <f t="shared" si="38"/>
        <v>Below 0%</v>
      </c>
      <c r="N2455" s="27" t="s">
        <v>41</v>
      </c>
      <c r="O2455" s="27" t="s">
        <v>12</v>
      </c>
      <c r="P2455" s="27" t="s">
        <v>13</v>
      </c>
      <c r="Q2455" s="27" t="s">
        <v>19</v>
      </c>
    </row>
    <row r="2456" spans="1:17" x14ac:dyDescent="0.3">
      <c r="A2456" s="22">
        <v>49</v>
      </c>
      <c r="B2456" s="19">
        <v>100</v>
      </c>
      <c r="C2456" s="20">
        <f>Sales!$B2456*Sales!$A2456</f>
        <v>4900</v>
      </c>
      <c r="D2456" s="21">
        <v>38386</v>
      </c>
      <c r="E2456" s="22" t="s">
        <v>9</v>
      </c>
      <c r="F2456" s="22">
        <v>1</v>
      </c>
      <c r="G2456" s="22">
        <v>2</v>
      </c>
      <c r="H2456" s="22">
        <v>2005</v>
      </c>
      <c r="I2456" s="22" t="s">
        <v>10</v>
      </c>
      <c r="J2456" s="20">
        <v>81</v>
      </c>
      <c r="K2456" s="20">
        <f>Sales!$B2456-Sales!$J2456</f>
        <v>19</v>
      </c>
      <c r="L2456" s="23">
        <f>(Sales!$J2456-Sales!$B2456)/Sales!$J2456</f>
        <v>-0.23456790123456789</v>
      </c>
      <c r="M2456" s="23" t="str">
        <f t="shared" si="38"/>
        <v>Below 0%</v>
      </c>
      <c r="N2456" s="22" t="s">
        <v>31</v>
      </c>
      <c r="O2456" s="22" t="s">
        <v>16</v>
      </c>
      <c r="P2456" s="22" t="s">
        <v>17</v>
      </c>
      <c r="Q2456" s="22" t="s">
        <v>19</v>
      </c>
    </row>
    <row r="2457" spans="1:17" x14ac:dyDescent="0.3">
      <c r="A2457" s="27">
        <v>22</v>
      </c>
      <c r="B2457" s="24">
        <v>100</v>
      </c>
      <c r="C2457" s="25">
        <f>Sales!$B2457*Sales!$A2457</f>
        <v>2200</v>
      </c>
      <c r="D2457" s="26">
        <v>38415</v>
      </c>
      <c r="E2457" s="27" t="s">
        <v>9</v>
      </c>
      <c r="F2457" s="27">
        <v>1</v>
      </c>
      <c r="G2457" s="27">
        <v>3</v>
      </c>
      <c r="H2457" s="27">
        <v>2005</v>
      </c>
      <c r="I2457" s="27" t="s">
        <v>10</v>
      </c>
      <c r="J2457" s="25">
        <v>81</v>
      </c>
      <c r="K2457" s="25">
        <f>Sales!$B2457-Sales!$J2457</f>
        <v>19</v>
      </c>
      <c r="L2457" s="28">
        <f>(Sales!$J2457-Sales!$B2457)/Sales!$J2457</f>
        <v>-0.23456790123456789</v>
      </c>
      <c r="M2457" s="28" t="str">
        <f t="shared" si="38"/>
        <v>Below 0%</v>
      </c>
      <c r="N2457" s="27" t="s">
        <v>64</v>
      </c>
      <c r="O2457" s="27" t="s">
        <v>12</v>
      </c>
      <c r="P2457" s="27" t="s">
        <v>13</v>
      </c>
      <c r="Q2457" s="27" t="s">
        <v>19</v>
      </c>
    </row>
    <row r="2458" spans="1:17" x14ac:dyDescent="0.3">
      <c r="A2458" s="22">
        <v>31</v>
      </c>
      <c r="B2458" s="19">
        <v>68.34</v>
      </c>
      <c r="C2458" s="20">
        <f>Sales!$B2458*Sales!$A2458</f>
        <v>2118.54</v>
      </c>
      <c r="D2458" s="21">
        <v>38450</v>
      </c>
      <c r="E2458" s="22" t="s">
        <v>9</v>
      </c>
      <c r="F2458" s="22">
        <v>2</v>
      </c>
      <c r="G2458" s="22">
        <v>4</v>
      </c>
      <c r="H2458" s="22">
        <v>2005</v>
      </c>
      <c r="I2458" s="22" t="s">
        <v>10</v>
      </c>
      <c r="J2458" s="20">
        <v>81</v>
      </c>
      <c r="K2458" s="20">
        <f>Sales!$B2458-Sales!$J2458</f>
        <v>-12.659999999999997</v>
      </c>
      <c r="L2458" s="23">
        <f>(Sales!$J2458-Sales!$B2458)/Sales!$J2458</f>
        <v>0.15629629629629627</v>
      </c>
      <c r="M2458" s="23" t="str">
        <f t="shared" si="38"/>
        <v>15%-20%</v>
      </c>
      <c r="N2458" s="22" t="s">
        <v>42</v>
      </c>
      <c r="O2458" s="22" t="s">
        <v>43</v>
      </c>
      <c r="P2458" s="22" t="s">
        <v>17</v>
      </c>
      <c r="Q2458" s="22" t="s">
        <v>14</v>
      </c>
    </row>
    <row r="2459" spans="1:17" x14ac:dyDescent="0.3">
      <c r="A2459" s="27">
        <v>41</v>
      </c>
      <c r="B2459" s="24">
        <v>70.67</v>
      </c>
      <c r="C2459" s="25">
        <f>Sales!$B2459*Sales!$A2459</f>
        <v>2897.4700000000003</v>
      </c>
      <c r="D2459" s="26">
        <v>37663</v>
      </c>
      <c r="E2459" s="27" t="s">
        <v>9</v>
      </c>
      <c r="F2459" s="27">
        <v>1</v>
      </c>
      <c r="G2459" s="27">
        <v>2</v>
      </c>
      <c r="H2459" s="27">
        <v>2003</v>
      </c>
      <c r="I2459" s="27" t="s">
        <v>118</v>
      </c>
      <c r="J2459" s="25">
        <v>66</v>
      </c>
      <c r="K2459" s="25">
        <f>Sales!$B2459-Sales!$J2459</f>
        <v>4.6700000000000017</v>
      </c>
      <c r="L2459" s="28">
        <f>(Sales!$J2459-Sales!$B2459)/Sales!$J2459</f>
        <v>-7.0757575757575783E-2</v>
      </c>
      <c r="M2459" s="28" t="str">
        <f t="shared" si="38"/>
        <v>Below 0%</v>
      </c>
      <c r="N2459" s="27" t="s">
        <v>72</v>
      </c>
      <c r="O2459" s="27" t="s">
        <v>73</v>
      </c>
      <c r="P2459" s="27" t="s">
        <v>17</v>
      </c>
      <c r="Q2459" s="27" t="s">
        <v>14</v>
      </c>
    </row>
    <row r="2460" spans="1:17" x14ac:dyDescent="0.3">
      <c r="A2460" s="22">
        <v>25</v>
      </c>
      <c r="B2460" s="19">
        <v>76.67</v>
      </c>
      <c r="C2460" s="20">
        <f>Sales!$B2460*Sales!$A2460</f>
        <v>1916.75</v>
      </c>
      <c r="D2460" s="21">
        <v>37739</v>
      </c>
      <c r="E2460" s="22" t="s">
        <v>9</v>
      </c>
      <c r="F2460" s="22">
        <v>2</v>
      </c>
      <c r="G2460" s="22">
        <v>4</v>
      </c>
      <c r="H2460" s="22">
        <v>2003</v>
      </c>
      <c r="I2460" s="22" t="s">
        <v>118</v>
      </c>
      <c r="J2460" s="20">
        <v>66</v>
      </c>
      <c r="K2460" s="20">
        <f>Sales!$B2460-Sales!$J2460</f>
        <v>10.670000000000002</v>
      </c>
      <c r="L2460" s="23">
        <f>(Sales!$J2460-Sales!$B2460)/Sales!$J2460</f>
        <v>-0.16166666666666668</v>
      </c>
      <c r="M2460" s="23" t="str">
        <f t="shared" si="38"/>
        <v>Below 0%</v>
      </c>
      <c r="N2460" s="22" t="s">
        <v>37</v>
      </c>
      <c r="O2460" s="22" t="s">
        <v>38</v>
      </c>
      <c r="P2460" s="22" t="s">
        <v>17</v>
      </c>
      <c r="Q2460" s="22" t="s">
        <v>14</v>
      </c>
    </row>
    <row r="2461" spans="1:17" x14ac:dyDescent="0.3">
      <c r="A2461" s="27">
        <v>31</v>
      </c>
      <c r="B2461" s="24">
        <v>60</v>
      </c>
      <c r="C2461" s="25">
        <f>Sales!$B2461*Sales!$A2461</f>
        <v>1860</v>
      </c>
      <c r="D2461" s="26">
        <v>37784</v>
      </c>
      <c r="E2461" s="27" t="s">
        <v>9</v>
      </c>
      <c r="F2461" s="27">
        <v>2</v>
      </c>
      <c r="G2461" s="27">
        <v>6</v>
      </c>
      <c r="H2461" s="27">
        <v>2003</v>
      </c>
      <c r="I2461" s="27" t="s">
        <v>118</v>
      </c>
      <c r="J2461" s="25">
        <v>66</v>
      </c>
      <c r="K2461" s="25">
        <f>Sales!$B2461-Sales!$J2461</f>
        <v>-6</v>
      </c>
      <c r="L2461" s="28">
        <f>(Sales!$J2461-Sales!$B2461)/Sales!$J2461</f>
        <v>9.0909090909090912E-2</v>
      </c>
      <c r="M2461" s="28" t="str">
        <f t="shared" si="38"/>
        <v>5%-10%</v>
      </c>
      <c r="N2461" s="27" t="s">
        <v>74</v>
      </c>
      <c r="O2461" s="27" t="s">
        <v>43</v>
      </c>
      <c r="P2461" s="27" t="s">
        <v>17</v>
      </c>
      <c r="Q2461" s="27" t="s">
        <v>14</v>
      </c>
    </row>
    <row r="2462" spans="1:17" x14ac:dyDescent="0.3">
      <c r="A2462" s="22">
        <v>41</v>
      </c>
      <c r="B2462" s="19">
        <v>64</v>
      </c>
      <c r="C2462" s="20">
        <f>Sales!$B2462*Sales!$A2462</f>
        <v>2624</v>
      </c>
      <c r="D2462" s="21">
        <v>37841</v>
      </c>
      <c r="E2462" s="22" t="s">
        <v>9</v>
      </c>
      <c r="F2462" s="22">
        <v>3</v>
      </c>
      <c r="G2462" s="22">
        <v>8</v>
      </c>
      <c r="H2462" s="22">
        <v>2003</v>
      </c>
      <c r="I2462" s="22" t="s">
        <v>118</v>
      </c>
      <c r="J2462" s="20">
        <v>66</v>
      </c>
      <c r="K2462" s="20">
        <f>Sales!$B2462-Sales!$J2462</f>
        <v>-2</v>
      </c>
      <c r="L2462" s="23">
        <f>(Sales!$J2462-Sales!$B2462)/Sales!$J2462</f>
        <v>3.0303030303030304E-2</v>
      </c>
      <c r="M2462" s="23" t="str">
        <f t="shared" si="38"/>
        <v>0%-5%</v>
      </c>
      <c r="N2462" s="22" t="s">
        <v>64</v>
      </c>
      <c r="O2462" s="22" t="s">
        <v>12</v>
      </c>
      <c r="P2462" s="22" t="s">
        <v>13</v>
      </c>
      <c r="Q2462" s="22" t="s">
        <v>14</v>
      </c>
    </row>
    <row r="2463" spans="1:17" x14ac:dyDescent="0.3">
      <c r="A2463" s="27">
        <v>43</v>
      </c>
      <c r="B2463" s="24">
        <v>64.67</v>
      </c>
      <c r="C2463" s="25">
        <f>Sales!$B2463*Sales!$A2463</f>
        <v>2780.81</v>
      </c>
      <c r="D2463" s="26">
        <v>37892</v>
      </c>
      <c r="E2463" s="27" t="s">
        <v>9</v>
      </c>
      <c r="F2463" s="27">
        <v>3</v>
      </c>
      <c r="G2463" s="27">
        <v>9</v>
      </c>
      <c r="H2463" s="27">
        <v>2003</v>
      </c>
      <c r="I2463" s="27" t="s">
        <v>118</v>
      </c>
      <c r="J2463" s="25">
        <v>66</v>
      </c>
      <c r="K2463" s="25">
        <f>Sales!$B2463-Sales!$J2463</f>
        <v>-1.3299999999999983</v>
      </c>
      <c r="L2463" s="28">
        <f>(Sales!$J2463-Sales!$B2463)/Sales!$J2463</f>
        <v>2.0151515151515125E-2</v>
      </c>
      <c r="M2463" s="28" t="str">
        <f t="shared" si="38"/>
        <v>0%-5%</v>
      </c>
      <c r="N2463" s="27" t="s">
        <v>45</v>
      </c>
      <c r="O2463" s="27" t="s">
        <v>46</v>
      </c>
      <c r="P2463" s="27" t="s">
        <v>17</v>
      </c>
      <c r="Q2463" s="27" t="s">
        <v>14</v>
      </c>
    </row>
    <row r="2464" spans="1:17" x14ac:dyDescent="0.3">
      <c r="A2464" s="22">
        <v>43</v>
      </c>
      <c r="B2464" s="19">
        <v>75.34</v>
      </c>
      <c r="C2464" s="20">
        <f>Sales!$B2464*Sales!$A2464</f>
        <v>3239.6200000000003</v>
      </c>
      <c r="D2464" s="21">
        <v>37917</v>
      </c>
      <c r="E2464" s="22" t="s">
        <v>75</v>
      </c>
      <c r="F2464" s="22">
        <v>4</v>
      </c>
      <c r="G2464" s="22">
        <v>10</v>
      </c>
      <c r="H2464" s="22">
        <v>2003</v>
      </c>
      <c r="I2464" s="22" t="s">
        <v>118</v>
      </c>
      <c r="J2464" s="20">
        <v>66</v>
      </c>
      <c r="K2464" s="20">
        <f>Sales!$B2464-Sales!$J2464</f>
        <v>9.3400000000000034</v>
      </c>
      <c r="L2464" s="23">
        <f>(Sales!$J2464-Sales!$B2464)/Sales!$J2464</f>
        <v>-0.14151515151515157</v>
      </c>
      <c r="M2464" s="23" t="str">
        <f t="shared" si="38"/>
        <v>Below 0%</v>
      </c>
      <c r="N2464" s="22" t="s">
        <v>62</v>
      </c>
      <c r="O2464" s="22" t="s">
        <v>49</v>
      </c>
      <c r="P2464" s="22" t="s">
        <v>17</v>
      </c>
      <c r="Q2464" s="22" t="s">
        <v>19</v>
      </c>
    </row>
    <row r="2465" spans="1:17" x14ac:dyDescent="0.3">
      <c r="A2465" s="27">
        <v>24</v>
      </c>
      <c r="B2465" s="24">
        <v>76</v>
      </c>
      <c r="C2465" s="25">
        <f>Sales!$B2465*Sales!$A2465</f>
        <v>1824</v>
      </c>
      <c r="D2465" s="26">
        <v>37932</v>
      </c>
      <c r="E2465" s="27" t="s">
        <v>9</v>
      </c>
      <c r="F2465" s="27">
        <v>4</v>
      </c>
      <c r="G2465" s="27">
        <v>11</v>
      </c>
      <c r="H2465" s="27">
        <v>2003</v>
      </c>
      <c r="I2465" s="27" t="s">
        <v>118</v>
      </c>
      <c r="J2465" s="25">
        <v>66</v>
      </c>
      <c r="K2465" s="25">
        <f>Sales!$B2465-Sales!$J2465</f>
        <v>10</v>
      </c>
      <c r="L2465" s="28">
        <f>(Sales!$J2465-Sales!$B2465)/Sales!$J2465</f>
        <v>-0.15151515151515152</v>
      </c>
      <c r="M2465" s="28" t="str">
        <f t="shared" si="38"/>
        <v>Below 0%</v>
      </c>
      <c r="N2465" s="27" t="s">
        <v>45</v>
      </c>
      <c r="O2465" s="27" t="s">
        <v>46</v>
      </c>
      <c r="P2465" s="27" t="s">
        <v>17</v>
      </c>
      <c r="Q2465" s="27" t="s">
        <v>14</v>
      </c>
    </row>
    <row r="2466" spans="1:17" x14ac:dyDescent="0.3">
      <c r="A2466" s="22">
        <v>21</v>
      </c>
      <c r="B2466" s="19">
        <v>54</v>
      </c>
      <c r="C2466" s="20">
        <f>Sales!$B2466*Sales!$A2466</f>
        <v>1134</v>
      </c>
      <c r="D2466" s="21">
        <v>37939</v>
      </c>
      <c r="E2466" s="22" t="s">
        <v>9</v>
      </c>
      <c r="F2466" s="22">
        <v>4</v>
      </c>
      <c r="G2466" s="22">
        <v>11</v>
      </c>
      <c r="H2466" s="22">
        <v>2003</v>
      </c>
      <c r="I2466" s="22" t="s">
        <v>118</v>
      </c>
      <c r="J2466" s="20">
        <v>66</v>
      </c>
      <c r="K2466" s="20">
        <f>Sales!$B2466-Sales!$J2466</f>
        <v>-12</v>
      </c>
      <c r="L2466" s="23">
        <f>(Sales!$J2466-Sales!$B2466)/Sales!$J2466</f>
        <v>0.18181818181818182</v>
      </c>
      <c r="M2466" s="23" t="str">
        <f t="shared" si="38"/>
        <v>15%-20%</v>
      </c>
      <c r="N2466" s="22" t="s">
        <v>41</v>
      </c>
      <c r="O2466" s="22" t="s">
        <v>12</v>
      </c>
      <c r="P2466" s="22" t="s">
        <v>13</v>
      </c>
      <c r="Q2466" s="22" t="s">
        <v>14</v>
      </c>
    </row>
    <row r="2467" spans="1:17" x14ac:dyDescent="0.3">
      <c r="A2467" s="27">
        <v>23</v>
      </c>
      <c r="B2467" s="24">
        <v>64.67</v>
      </c>
      <c r="C2467" s="25">
        <f>Sales!$B2467*Sales!$A2467</f>
        <v>1487.41</v>
      </c>
      <c r="D2467" s="26">
        <v>37951</v>
      </c>
      <c r="E2467" s="27" t="s">
        <v>9</v>
      </c>
      <c r="F2467" s="27">
        <v>4</v>
      </c>
      <c r="G2467" s="27">
        <v>11</v>
      </c>
      <c r="H2467" s="27">
        <v>2003</v>
      </c>
      <c r="I2467" s="27" t="s">
        <v>118</v>
      </c>
      <c r="J2467" s="25">
        <v>66</v>
      </c>
      <c r="K2467" s="25">
        <f>Sales!$B2467-Sales!$J2467</f>
        <v>-1.3299999999999983</v>
      </c>
      <c r="L2467" s="28">
        <f>(Sales!$J2467-Sales!$B2467)/Sales!$J2467</f>
        <v>2.0151515151515125E-2</v>
      </c>
      <c r="M2467" s="28" t="str">
        <f t="shared" si="38"/>
        <v>0%-5%</v>
      </c>
      <c r="N2467" s="27" t="s">
        <v>77</v>
      </c>
      <c r="O2467" s="27" t="s">
        <v>46</v>
      </c>
      <c r="P2467" s="27" t="s">
        <v>17</v>
      </c>
      <c r="Q2467" s="27" t="s">
        <v>14</v>
      </c>
    </row>
    <row r="2468" spans="1:17" x14ac:dyDescent="0.3">
      <c r="A2468" s="22">
        <v>38</v>
      </c>
      <c r="B2468" s="19">
        <v>74.67</v>
      </c>
      <c r="C2468" s="20">
        <f>Sales!$B2468*Sales!$A2468</f>
        <v>2837.46</v>
      </c>
      <c r="D2468" s="21">
        <v>37988</v>
      </c>
      <c r="E2468" s="22" t="s">
        <v>9</v>
      </c>
      <c r="F2468" s="22">
        <v>1</v>
      </c>
      <c r="G2468" s="22">
        <v>1</v>
      </c>
      <c r="H2468" s="22">
        <v>2004</v>
      </c>
      <c r="I2468" s="22" t="s">
        <v>118</v>
      </c>
      <c r="J2468" s="20">
        <v>66</v>
      </c>
      <c r="K2468" s="20">
        <f>Sales!$B2468-Sales!$J2468</f>
        <v>8.6700000000000017</v>
      </c>
      <c r="L2468" s="23">
        <f>(Sales!$J2468-Sales!$B2468)/Sales!$J2468</f>
        <v>-0.13136363636363638</v>
      </c>
      <c r="M2468" s="23" t="str">
        <f t="shared" si="38"/>
        <v>Below 0%</v>
      </c>
      <c r="N2468" s="22" t="s">
        <v>54</v>
      </c>
      <c r="O2468" s="22" t="s">
        <v>16</v>
      </c>
      <c r="P2468" s="22" t="s">
        <v>17</v>
      </c>
      <c r="Q2468" s="22" t="s">
        <v>14</v>
      </c>
    </row>
    <row r="2469" spans="1:17" x14ac:dyDescent="0.3">
      <c r="A2469" s="27">
        <v>31</v>
      </c>
      <c r="B2469" s="24">
        <v>62.67</v>
      </c>
      <c r="C2469" s="25">
        <f>Sales!$B2469*Sales!$A2469</f>
        <v>1942.77</v>
      </c>
      <c r="D2469" s="26">
        <v>38036</v>
      </c>
      <c r="E2469" s="27" t="s">
        <v>9</v>
      </c>
      <c r="F2469" s="27">
        <v>1</v>
      </c>
      <c r="G2469" s="27">
        <v>2</v>
      </c>
      <c r="H2469" s="27">
        <v>2004</v>
      </c>
      <c r="I2469" s="27" t="s">
        <v>118</v>
      </c>
      <c r="J2469" s="25">
        <v>66</v>
      </c>
      <c r="K2469" s="25">
        <f>Sales!$B2469-Sales!$J2469</f>
        <v>-3.3299999999999983</v>
      </c>
      <c r="L2469" s="28">
        <f>(Sales!$J2469-Sales!$B2469)/Sales!$J2469</f>
        <v>5.0454545454545426E-2</v>
      </c>
      <c r="M2469" s="28" t="s">
        <v>131</v>
      </c>
      <c r="N2469" s="27" t="s">
        <v>79</v>
      </c>
      <c r="O2469" s="27" t="s">
        <v>12</v>
      </c>
      <c r="P2469" s="27" t="s">
        <v>13</v>
      </c>
      <c r="Q2469" s="27" t="s">
        <v>14</v>
      </c>
    </row>
    <row r="2470" spans="1:17" x14ac:dyDescent="0.3">
      <c r="A2470" s="22">
        <v>36</v>
      </c>
      <c r="B2470" s="19">
        <v>70.67</v>
      </c>
      <c r="C2470" s="20">
        <f>Sales!$B2470*Sales!$A2470</f>
        <v>2544.12</v>
      </c>
      <c r="D2470" s="21">
        <v>38075</v>
      </c>
      <c r="E2470" s="22" t="s">
        <v>9</v>
      </c>
      <c r="F2470" s="22">
        <v>1</v>
      </c>
      <c r="G2470" s="22">
        <v>3</v>
      </c>
      <c r="H2470" s="22">
        <v>2004</v>
      </c>
      <c r="I2470" s="22" t="s">
        <v>118</v>
      </c>
      <c r="J2470" s="20">
        <v>66</v>
      </c>
      <c r="K2470" s="20">
        <f>Sales!$B2470-Sales!$J2470</f>
        <v>4.6700000000000017</v>
      </c>
      <c r="L2470" s="23">
        <f>(Sales!$J2470-Sales!$B2470)/Sales!$J2470</f>
        <v>-7.0757575757575783E-2</v>
      </c>
      <c r="M2470" s="23" t="str">
        <f t="shared" si="38"/>
        <v>Below 0%</v>
      </c>
      <c r="N2470" s="22" t="s">
        <v>29</v>
      </c>
      <c r="O2470" s="22" t="s">
        <v>12</v>
      </c>
      <c r="P2470" s="22" t="s">
        <v>13</v>
      </c>
      <c r="Q2470" s="22" t="s">
        <v>14</v>
      </c>
    </row>
    <row r="2471" spans="1:17" x14ac:dyDescent="0.3">
      <c r="A2471" s="27">
        <v>36</v>
      </c>
      <c r="B2471" s="24">
        <v>71.34</v>
      </c>
      <c r="C2471" s="25">
        <f>Sales!$B2471*Sales!$A2471</f>
        <v>2568.2400000000002</v>
      </c>
      <c r="D2471" s="26">
        <v>38114</v>
      </c>
      <c r="E2471" s="27" t="s">
        <v>75</v>
      </c>
      <c r="F2471" s="27">
        <v>2</v>
      </c>
      <c r="G2471" s="27">
        <v>5</v>
      </c>
      <c r="H2471" s="27">
        <v>2004</v>
      </c>
      <c r="I2471" s="27" t="s">
        <v>118</v>
      </c>
      <c r="J2471" s="25">
        <v>66</v>
      </c>
      <c r="K2471" s="25">
        <f>Sales!$B2471-Sales!$J2471</f>
        <v>5.3400000000000034</v>
      </c>
      <c r="L2471" s="28">
        <f>(Sales!$J2471-Sales!$B2471)/Sales!$J2471</f>
        <v>-8.0909090909090958E-2</v>
      </c>
      <c r="M2471" s="28" t="str">
        <f t="shared" si="38"/>
        <v>Below 0%</v>
      </c>
      <c r="N2471" s="27" t="s">
        <v>11</v>
      </c>
      <c r="O2471" s="27" t="s">
        <v>12</v>
      </c>
      <c r="P2471" s="27" t="s">
        <v>13</v>
      </c>
      <c r="Q2471" s="27" t="s">
        <v>14</v>
      </c>
    </row>
    <row r="2472" spans="1:17" x14ac:dyDescent="0.3">
      <c r="A2472" s="22">
        <v>34</v>
      </c>
      <c r="B2472" s="19">
        <v>62</v>
      </c>
      <c r="C2472" s="20">
        <f>Sales!$B2472*Sales!$A2472</f>
        <v>2108</v>
      </c>
      <c r="D2472" s="21">
        <v>38155</v>
      </c>
      <c r="E2472" s="22" t="s">
        <v>9</v>
      </c>
      <c r="F2472" s="22">
        <v>2</v>
      </c>
      <c r="G2472" s="22">
        <v>6</v>
      </c>
      <c r="H2472" s="22">
        <v>2004</v>
      </c>
      <c r="I2472" s="22" t="s">
        <v>118</v>
      </c>
      <c r="J2472" s="20">
        <v>66</v>
      </c>
      <c r="K2472" s="20">
        <f>Sales!$B2472-Sales!$J2472</f>
        <v>-4</v>
      </c>
      <c r="L2472" s="23">
        <f>(Sales!$J2472-Sales!$B2472)/Sales!$J2472</f>
        <v>6.0606060606060608E-2</v>
      </c>
      <c r="M2472" s="23" t="str">
        <f t="shared" si="38"/>
        <v>5%-10%</v>
      </c>
      <c r="N2472" s="22" t="s">
        <v>68</v>
      </c>
      <c r="O2472" s="22" t="s">
        <v>56</v>
      </c>
      <c r="P2472" s="22" t="s">
        <v>13</v>
      </c>
      <c r="Q2472" s="22" t="s">
        <v>14</v>
      </c>
    </row>
    <row r="2473" spans="1:17" x14ac:dyDescent="0.3">
      <c r="A2473" s="27">
        <v>21</v>
      </c>
      <c r="B2473" s="24">
        <v>65.34</v>
      </c>
      <c r="C2473" s="25">
        <f>Sales!$B2473*Sales!$A2473</f>
        <v>1372.14</v>
      </c>
      <c r="D2473" s="26">
        <v>38189</v>
      </c>
      <c r="E2473" s="27" t="s">
        <v>9</v>
      </c>
      <c r="F2473" s="27">
        <v>3</v>
      </c>
      <c r="G2473" s="27">
        <v>7</v>
      </c>
      <c r="H2473" s="27">
        <v>2004</v>
      </c>
      <c r="I2473" s="27" t="s">
        <v>118</v>
      </c>
      <c r="J2473" s="25">
        <v>66</v>
      </c>
      <c r="K2473" s="25">
        <f>Sales!$B2473-Sales!$J2473</f>
        <v>-0.65999999999999659</v>
      </c>
      <c r="L2473" s="28">
        <f>(Sales!$J2473-Sales!$B2473)/Sales!$J2473</f>
        <v>9.9999999999999482E-3</v>
      </c>
      <c r="M2473" s="28" t="str">
        <f t="shared" si="38"/>
        <v>0%-5%</v>
      </c>
      <c r="N2473" s="27" t="s">
        <v>80</v>
      </c>
      <c r="O2473" s="27" t="s">
        <v>81</v>
      </c>
      <c r="P2473" s="27" t="s">
        <v>17</v>
      </c>
      <c r="Q2473" s="27" t="s">
        <v>14</v>
      </c>
    </row>
    <row r="2474" spans="1:17" x14ac:dyDescent="0.3">
      <c r="A2474" s="22">
        <v>45</v>
      </c>
      <c r="B2474" s="19">
        <v>78.67</v>
      </c>
      <c r="C2474" s="20">
        <f>Sales!$B2474*Sales!$A2474</f>
        <v>3540.15</v>
      </c>
      <c r="D2474" s="21">
        <v>38219</v>
      </c>
      <c r="E2474" s="22" t="s">
        <v>9</v>
      </c>
      <c r="F2474" s="22">
        <v>3</v>
      </c>
      <c r="G2474" s="22">
        <v>8</v>
      </c>
      <c r="H2474" s="22">
        <v>2004</v>
      </c>
      <c r="I2474" s="22" t="s">
        <v>118</v>
      </c>
      <c r="J2474" s="20">
        <v>66</v>
      </c>
      <c r="K2474" s="20">
        <f>Sales!$B2474-Sales!$J2474</f>
        <v>12.670000000000002</v>
      </c>
      <c r="L2474" s="23">
        <f>(Sales!$J2474-Sales!$B2474)/Sales!$J2474</f>
        <v>-0.19196969696969698</v>
      </c>
      <c r="M2474" s="23" t="str">
        <f t="shared" si="38"/>
        <v>Below 0%</v>
      </c>
      <c r="N2474" s="22" t="s">
        <v>82</v>
      </c>
      <c r="O2474" s="22" t="s">
        <v>56</v>
      </c>
      <c r="P2474" s="22" t="s">
        <v>13</v>
      </c>
      <c r="Q2474" s="22" t="s">
        <v>19</v>
      </c>
    </row>
    <row r="2475" spans="1:17" x14ac:dyDescent="0.3">
      <c r="A2475" s="27">
        <v>26</v>
      </c>
      <c r="B2475" s="24">
        <v>75.34</v>
      </c>
      <c r="C2475" s="25">
        <f>Sales!$B2475*Sales!$A2475</f>
        <v>1958.8400000000001</v>
      </c>
      <c r="D2475" s="26">
        <v>38240</v>
      </c>
      <c r="E2475" s="27" t="s">
        <v>9</v>
      </c>
      <c r="F2475" s="27">
        <v>3</v>
      </c>
      <c r="G2475" s="27">
        <v>9</v>
      </c>
      <c r="H2475" s="27">
        <v>2004</v>
      </c>
      <c r="I2475" s="27" t="s">
        <v>118</v>
      </c>
      <c r="J2475" s="25">
        <v>66</v>
      </c>
      <c r="K2475" s="25">
        <f>Sales!$B2475-Sales!$J2475</f>
        <v>9.3400000000000034</v>
      </c>
      <c r="L2475" s="28">
        <f>(Sales!$J2475-Sales!$B2475)/Sales!$J2475</f>
        <v>-0.14151515151515157</v>
      </c>
      <c r="M2475" s="28" t="str">
        <f t="shared" si="38"/>
        <v>Below 0%</v>
      </c>
      <c r="N2475" s="27" t="s">
        <v>83</v>
      </c>
      <c r="O2475" s="27" t="s">
        <v>12</v>
      </c>
      <c r="P2475" s="27" t="s">
        <v>13</v>
      </c>
      <c r="Q2475" s="27" t="s">
        <v>14</v>
      </c>
    </row>
    <row r="2476" spans="1:17" x14ac:dyDescent="0.3">
      <c r="A2476" s="22">
        <v>50</v>
      </c>
      <c r="B2476" s="19">
        <v>54</v>
      </c>
      <c r="C2476" s="20">
        <f>Sales!$B2476*Sales!$A2476</f>
        <v>2700</v>
      </c>
      <c r="D2476" s="21">
        <v>38274</v>
      </c>
      <c r="E2476" s="22" t="s">
        <v>9</v>
      </c>
      <c r="F2476" s="22">
        <v>4</v>
      </c>
      <c r="G2476" s="22">
        <v>10</v>
      </c>
      <c r="H2476" s="22">
        <v>2004</v>
      </c>
      <c r="I2476" s="22" t="s">
        <v>118</v>
      </c>
      <c r="J2476" s="20">
        <v>66</v>
      </c>
      <c r="K2476" s="20">
        <f>Sales!$B2476-Sales!$J2476</f>
        <v>-12</v>
      </c>
      <c r="L2476" s="23">
        <f>(Sales!$J2476-Sales!$B2476)/Sales!$J2476</f>
        <v>0.18181818181818182</v>
      </c>
      <c r="M2476" s="23" t="str">
        <f t="shared" si="38"/>
        <v>15%-20%</v>
      </c>
      <c r="N2476" s="22" t="s">
        <v>102</v>
      </c>
      <c r="O2476" s="22" t="s">
        <v>43</v>
      </c>
      <c r="P2476" s="22" t="s">
        <v>17</v>
      </c>
      <c r="Q2476" s="22" t="s">
        <v>14</v>
      </c>
    </row>
    <row r="2477" spans="1:17" x14ac:dyDescent="0.3">
      <c r="A2477" s="27">
        <v>41</v>
      </c>
      <c r="B2477" s="24">
        <v>62</v>
      </c>
      <c r="C2477" s="25">
        <f>Sales!$B2477*Sales!$A2477</f>
        <v>2542</v>
      </c>
      <c r="D2477" s="26">
        <v>38289</v>
      </c>
      <c r="E2477" s="27" t="s">
        <v>9</v>
      </c>
      <c r="F2477" s="27">
        <v>4</v>
      </c>
      <c r="G2477" s="27">
        <v>10</v>
      </c>
      <c r="H2477" s="27">
        <v>2004</v>
      </c>
      <c r="I2477" s="27" t="s">
        <v>118</v>
      </c>
      <c r="J2477" s="25">
        <v>66</v>
      </c>
      <c r="K2477" s="25">
        <f>Sales!$B2477-Sales!$J2477</f>
        <v>-4</v>
      </c>
      <c r="L2477" s="28">
        <f>(Sales!$J2477-Sales!$B2477)/Sales!$J2477</f>
        <v>6.0606060606060608E-2</v>
      </c>
      <c r="M2477" s="28" t="str">
        <f t="shared" si="38"/>
        <v>5%-10%</v>
      </c>
      <c r="N2477" s="27" t="s">
        <v>31</v>
      </c>
      <c r="O2477" s="27" t="s">
        <v>16</v>
      </c>
      <c r="P2477" s="27" t="s">
        <v>17</v>
      </c>
      <c r="Q2477" s="27" t="s">
        <v>14</v>
      </c>
    </row>
    <row r="2478" spans="1:17" x14ac:dyDescent="0.3">
      <c r="A2478" s="22">
        <v>39</v>
      </c>
      <c r="B2478" s="19">
        <v>60</v>
      </c>
      <c r="C2478" s="20">
        <f>Sales!$B2478*Sales!$A2478</f>
        <v>2340</v>
      </c>
      <c r="D2478" s="21">
        <v>38300</v>
      </c>
      <c r="E2478" s="22" t="s">
        <v>9</v>
      </c>
      <c r="F2478" s="22">
        <v>4</v>
      </c>
      <c r="G2478" s="22">
        <v>11</v>
      </c>
      <c r="H2478" s="22">
        <v>2004</v>
      </c>
      <c r="I2478" s="22" t="s">
        <v>118</v>
      </c>
      <c r="J2478" s="20">
        <v>66</v>
      </c>
      <c r="K2478" s="20">
        <f>Sales!$B2478-Sales!$J2478</f>
        <v>-6</v>
      </c>
      <c r="L2478" s="23">
        <f>(Sales!$J2478-Sales!$B2478)/Sales!$J2478</f>
        <v>9.0909090909090912E-2</v>
      </c>
      <c r="M2478" s="23" t="str">
        <f t="shared" si="38"/>
        <v>5%-10%</v>
      </c>
      <c r="N2478" s="22" t="s">
        <v>48</v>
      </c>
      <c r="O2478" s="22" t="s">
        <v>49</v>
      </c>
      <c r="P2478" s="22" t="s">
        <v>17</v>
      </c>
      <c r="Q2478" s="22" t="s">
        <v>14</v>
      </c>
    </row>
    <row r="2479" spans="1:17" x14ac:dyDescent="0.3">
      <c r="A2479" s="27">
        <v>22</v>
      </c>
      <c r="B2479" s="24">
        <v>100</v>
      </c>
      <c r="C2479" s="25">
        <f>Sales!$B2479*Sales!$A2479</f>
        <v>2200</v>
      </c>
      <c r="D2479" s="26">
        <v>38314</v>
      </c>
      <c r="E2479" s="27" t="s">
        <v>9</v>
      </c>
      <c r="F2479" s="27">
        <v>4</v>
      </c>
      <c r="G2479" s="27">
        <v>11</v>
      </c>
      <c r="H2479" s="27">
        <v>2004</v>
      </c>
      <c r="I2479" s="27" t="s">
        <v>118</v>
      </c>
      <c r="J2479" s="25">
        <v>66</v>
      </c>
      <c r="K2479" s="25">
        <f>Sales!$B2479-Sales!$J2479</f>
        <v>34</v>
      </c>
      <c r="L2479" s="28">
        <f>(Sales!$J2479-Sales!$B2479)/Sales!$J2479</f>
        <v>-0.51515151515151514</v>
      </c>
      <c r="M2479" s="28" t="str">
        <f t="shared" si="38"/>
        <v>Below 0%</v>
      </c>
      <c r="N2479" s="27" t="s">
        <v>59</v>
      </c>
      <c r="O2479" s="27" t="s">
        <v>51</v>
      </c>
      <c r="P2479" s="27" t="s">
        <v>51</v>
      </c>
      <c r="Q2479" s="27" t="s">
        <v>14</v>
      </c>
    </row>
    <row r="2480" spans="1:17" x14ac:dyDescent="0.3">
      <c r="A2480" s="22">
        <v>46</v>
      </c>
      <c r="B2480" s="19">
        <v>76.67</v>
      </c>
      <c r="C2480" s="20">
        <f>Sales!$B2480*Sales!$A2480</f>
        <v>3526.82</v>
      </c>
      <c r="D2480" s="21">
        <v>38323</v>
      </c>
      <c r="E2480" s="22" t="s">
        <v>9</v>
      </c>
      <c r="F2480" s="22">
        <v>4</v>
      </c>
      <c r="G2480" s="22">
        <v>12</v>
      </c>
      <c r="H2480" s="22">
        <v>2004</v>
      </c>
      <c r="I2480" s="22" t="s">
        <v>118</v>
      </c>
      <c r="J2480" s="20">
        <v>66</v>
      </c>
      <c r="K2480" s="20">
        <f>Sales!$B2480-Sales!$J2480</f>
        <v>10.670000000000002</v>
      </c>
      <c r="L2480" s="23">
        <f>(Sales!$J2480-Sales!$B2480)/Sales!$J2480</f>
        <v>-0.16166666666666668</v>
      </c>
      <c r="M2480" s="23" t="str">
        <f t="shared" si="38"/>
        <v>Below 0%</v>
      </c>
      <c r="N2480" s="22" t="s">
        <v>45</v>
      </c>
      <c r="O2480" s="22" t="s">
        <v>46</v>
      </c>
      <c r="P2480" s="22" t="s">
        <v>17</v>
      </c>
      <c r="Q2480" s="22" t="s">
        <v>19</v>
      </c>
    </row>
    <row r="2481" spans="1:17" x14ac:dyDescent="0.3">
      <c r="A2481" s="27">
        <v>44</v>
      </c>
      <c r="B2481" s="24">
        <v>100</v>
      </c>
      <c r="C2481" s="25">
        <f>Sales!$B2481*Sales!$A2481</f>
        <v>4400</v>
      </c>
      <c r="D2481" s="26">
        <v>38383</v>
      </c>
      <c r="E2481" s="27" t="s">
        <v>9</v>
      </c>
      <c r="F2481" s="27">
        <v>1</v>
      </c>
      <c r="G2481" s="27">
        <v>1</v>
      </c>
      <c r="H2481" s="27">
        <v>2005</v>
      </c>
      <c r="I2481" s="27" t="s">
        <v>118</v>
      </c>
      <c r="J2481" s="25">
        <v>66</v>
      </c>
      <c r="K2481" s="25">
        <f>Sales!$B2481-Sales!$J2481</f>
        <v>34</v>
      </c>
      <c r="L2481" s="28">
        <f>(Sales!$J2481-Sales!$B2481)/Sales!$J2481</f>
        <v>-0.51515151515151514</v>
      </c>
      <c r="M2481" s="28" t="str">
        <f t="shared" si="38"/>
        <v>Below 0%</v>
      </c>
      <c r="N2481" s="27" t="s">
        <v>85</v>
      </c>
      <c r="O2481" s="27" t="s">
        <v>34</v>
      </c>
      <c r="P2481" s="27" t="s">
        <v>17</v>
      </c>
      <c r="Q2481" s="27" t="s">
        <v>19</v>
      </c>
    </row>
    <row r="2482" spans="1:17" x14ac:dyDescent="0.3">
      <c r="A2482" s="22">
        <v>25</v>
      </c>
      <c r="B2482" s="19">
        <v>77.34</v>
      </c>
      <c r="C2482" s="20">
        <f>Sales!$B2482*Sales!$A2482</f>
        <v>1933.5</v>
      </c>
      <c r="D2482" s="21">
        <v>38411</v>
      </c>
      <c r="E2482" s="22" t="s">
        <v>9</v>
      </c>
      <c r="F2482" s="22">
        <v>1</v>
      </c>
      <c r="G2482" s="22">
        <v>2</v>
      </c>
      <c r="H2482" s="22">
        <v>2005</v>
      </c>
      <c r="I2482" s="22" t="s">
        <v>118</v>
      </c>
      <c r="J2482" s="20">
        <v>66</v>
      </c>
      <c r="K2482" s="20">
        <f>Sales!$B2482-Sales!$J2482</f>
        <v>11.340000000000003</v>
      </c>
      <c r="L2482" s="23">
        <f>(Sales!$J2482-Sales!$B2482)/Sales!$J2482</f>
        <v>-0.17181818181818187</v>
      </c>
      <c r="M2482" s="23" t="str">
        <f t="shared" si="38"/>
        <v>Below 0%</v>
      </c>
      <c r="N2482" s="22" t="s">
        <v>64</v>
      </c>
      <c r="O2482" s="22" t="s">
        <v>12</v>
      </c>
      <c r="P2482" s="22" t="s">
        <v>13</v>
      </c>
      <c r="Q2482" s="22" t="s">
        <v>14</v>
      </c>
    </row>
    <row r="2483" spans="1:17" x14ac:dyDescent="0.3">
      <c r="A2483" s="27">
        <v>39</v>
      </c>
      <c r="B2483" s="24">
        <v>66.67</v>
      </c>
      <c r="C2483" s="25">
        <f>Sales!$B2483*Sales!$A2483</f>
        <v>2600.13</v>
      </c>
      <c r="D2483" s="26">
        <v>38434</v>
      </c>
      <c r="E2483" s="27" t="s">
        <v>9</v>
      </c>
      <c r="F2483" s="27">
        <v>1</v>
      </c>
      <c r="G2483" s="27">
        <v>3</v>
      </c>
      <c r="H2483" s="27">
        <v>2005</v>
      </c>
      <c r="I2483" s="27" t="s">
        <v>118</v>
      </c>
      <c r="J2483" s="25">
        <v>66</v>
      </c>
      <c r="K2483" s="25">
        <f>Sales!$B2483-Sales!$J2483</f>
        <v>0.67000000000000171</v>
      </c>
      <c r="L2483" s="28">
        <f>(Sales!$J2483-Sales!$B2483)/Sales!$J2483</f>
        <v>-1.0151515151515177E-2</v>
      </c>
      <c r="M2483" s="28" t="str">
        <f t="shared" si="38"/>
        <v>Below 0%</v>
      </c>
      <c r="N2483" s="27" t="s">
        <v>64</v>
      </c>
      <c r="O2483" s="27" t="s">
        <v>12</v>
      </c>
      <c r="P2483" s="27" t="s">
        <v>13</v>
      </c>
      <c r="Q2483" s="27" t="s">
        <v>14</v>
      </c>
    </row>
    <row r="2484" spans="1:17" x14ac:dyDescent="0.3">
      <c r="A2484" s="22">
        <v>37</v>
      </c>
      <c r="B2484" s="19">
        <v>71.34</v>
      </c>
      <c r="C2484" s="20">
        <f>Sales!$B2484*Sales!$A2484</f>
        <v>2639.58</v>
      </c>
      <c r="D2484" s="21">
        <v>38478</v>
      </c>
      <c r="E2484" s="22" t="s">
        <v>87</v>
      </c>
      <c r="F2484" s="22">
        <v>2</v>
      </c>
      <c r="G2484" s="22">
        <v>5</v>
      </c>
      <c r="H2484" s="22">
        <v>2005</v>
      </c>
      <c r="I2484" s="22" t="s">
        <v>118</v>
      </c>
      <c r="J2484" s="20">
        <v>66</v>
      </c>
      <c r="K2484" s="20">
        <f>Sales!$B2484-Sales!$J2484</f>
        <v>5.3400000000000034</v>
      </c>
      <c r="L2484" s="23">
        <f>(Sales!$J2484-Sales!$B2484)/Sales!$J2484</f>
        <v>-8.0909090909090958E-2</v>
      </c>
      <c r="M2484" s="23" t="str">
        <f t="shared" si="38"/>
        <v>Below 0%</v>
      </c>
      <c r="N2484" s="22" t="s">
        <v>83</v>
      </c>
      <c r="O2484" s="22" t="s">
        <v>12</v>
      </c>
      <c r="P2484" s="22" t="s">
        <v>13</v>
      </c>
      <c r="Q2484" s="22" t="s">
        <v>14</v>
      </c>
    </row>
    <row r="2485" spans="1:17" x14ac:dyDescent="0.3">
      <c r="A2485" s="27">
        <v>31</v>
      </c>
      <c r="B2485" s="24">
        <v>100</v>
      </c>
      <c r="C2485" s="25">
        <f>Sales!$B2485*Sales!$A2485</f>
        <v>3100</v>
      </c>
      <c r="D2485" s="26">
        <v>37669</v>
      </c>
      <c r="E2485" s="27" t="s">
        <v>9</v>
      </c>
      <c r="F2485" s="27">
        <v>1</v>
      </c>
      <c r="G2485" s="27">
        <v>2</v>
      </c>
      <c r="H2485" s="27">
        <v>2003</v>
      </c>
      <c r="I2485" s="27" t="s">
        <v>115</v>
      </c>
      <c r="J2485" s="25">
        <v>91</v>
      </c>
      <c r="K2485" s="25">
        <f>Sales!$B2485-Sales!$J2485</f>
        <v>9</v>
      </c>
      <c r="L2485" s="28">
        <f>(Sales!$J2485-Sales!$B2485)/Sales!$J2485</f>
        <v>-9.8901098901098897E-2</v>
      </c>
      <c r="M2485" s="28" t="str">
        <f t="shared" si="38"/>
        <v>Below 0%</v>
      </c>
      <c r="N2485" s="27" t="s">
        <v>113</v>
      </c>
      <c r="O2485" s="27" t="s">
        <v>61</v>
      </c>
      <c r="P2485" s="27" t="s">
        <v>17</v>
      </c>
      <c r="Q2485" s="27" t="s">
        <v>19</v>
      </c>
    </row>
    <row r="2486" spans="1:17" x14ac:dyDescent="0.3">
      <c r="A2486" s="22">
        <v>47</v>
      </c>
      <c r="B2486" s="19">
        <v>82.21</v>
      </c>
      <c r="C2486" s="20">
        <f>Sales!$B2486*Sales!$A2486</f>
        <v>3863.87</v>
      </c>
      <c r="D2486" s="21">
        <v>37740</v>
      </c>
      <c r="E2486" s="22" t="s">
        <v>9</v>
      </c>
      <c r="F2486" s="22">
        <v>2</v>
      </c>
      <c r="G2486" s="22">
        <v>4</v>
      </c>
      <c r="H2486" s="22">
        <v>2003</v>
      </c>
      <c r="I2486" s="22" t="s">
        <v>115</v>
      </c>
      <c r="J2486" s="20">
        <v>91</v>
      </c>
      <c r="K2486" s="20">
        <f>Sales!$B2486-Sales!$J2486</f>
        <v>-8.7900000000000063</v>
      </c>
      <c r="L2486" s="23">
        <f>(Sales!$J2486-Sales!$B2486)/Sales!$J2486</f>
        <v>9.6593406593406664E-2</v>
      </c>
      <c r="M2486" s="23" t="str">
        <f t="shared" si="38"/>
        <v>5%-10%</v>
      </c>
      <c r="N2486" s="22" t="s">
        <v>26</v>
      </c>
      <c r="O2486" s="22" t="s">
        <v>27</v>
      </c>
      <c r="P2486" s="22" t="s">
        <v>28</v>
      </c>
      <c r="Q2486" s="22" t="s">
        <v>19</v>
      </c>
    </row>
    <row r="2487" spans="1:17" x14ac:dyDescent="0.3">
      <c r="A2487" s="27">
        <v>24</v>
      </c>
      <c r="B2487" s="24">
        <v>77.64</v>
      </c>
      <c r="C2487" s="25">
        <f>Sales!$B2487*Sales!$A2487</f>
        <v>1863.3600000000001</v>
      </c>
      <c r="D2487" s="26">
        <v>37799</v>
      </c>
      <c r="E2487" s="27" t="s">
        <v>9</v>
      </c>
      <c r="F2487" s="27">
        <v>2</v>
      </c>
      <c r="G2487" s="27">
        <v>6</v>
      </c>
      <c r="H2487" s="27">
        <v>2003</v>
      </c>
      <c r="I2487" s="27" t="s">
        <v>115</v>
      </c>
      <c r="J2487" s="25">
        <v>91</v>
      </c>
      <c r="K2487" s="25">
        <f>Sales!$B2487-Sales!$J2487</f>
        <v>-13.36</v>
      </c>
      <c r="L2487" s="28">
        <f>(Sales!$J2487-Sales!$B2487)/Sales!$J2487</f>
        <v>0.14681318681318681</v>
      </c>
      <c r="M2487" s="28" t="str">
        <f t="shared" si="38"/>
        <v>10%-15%</v>
      </c>
      <c r="N2487" s="27" t="s">
        <v>45</v>
      </c>
      <c r="O2487" s="27" t="s">
        <v>46</v>
      </c>
      <c r="P2487" s="27" t="s">
        <v>17</v>
      </c>
      <c r="Q2487" s="27" t="s">
        <v>14</v>
      </c>
    </row>
    <row r="2488" spans="1:17" x14ac:dyDescent="0.3">
      <c r="A2488" s="22">
        <v>36</v>
      </c>
      <c r="B2488" s="19">
        <v>100</v>
      </c>
      <c r="C2488" s="20">
        <f>Sales!$B2488*Sales!$A2488</f>
        <v>3600</v>
      </c>
      <c r="D2488" s="21">
        <v>37843</v>
      </c>
      <c r="E2488" s="22" t="s">
        <v>9</v>
      </c>
      <c r="F2488" s="22">
        <v>3</v>
      </c>
      <c r="G2488" s="22">
        <v>8</v>
      </c>
      <c r="H2488" s="22">
        <v>2003</v>
      </c>
      <c r="I2488" s="22" t="s">
        <v>115</v>
      </c>
      <c r="J2488" s="20">
        <v>91</v>
      </c>
      <c r="K2488" s="20">
        <f>Sales!$B2488-Sales!$J2488</f>
        <v>9</v>
      </c>
      <c r="L2488" s="23">
        <f>(Sales!$J2488-Sales!$B2488)/Sales!$J2488</f>
        <v>-9.8901098901098897E-2</v>
      </c>
      <c r="M2488" s="23" t="str">
        <f t="shared" si="38"/>
        <v>Below 0%</v>
      </c>
      <c r="N2488" s="22" t="s">
        <v>41</v>
      </c>
      <c r="O2488" s="22" t="s">
        <v>12</v>
      </c>
      <c r="P2488" s="22" t="s">
        <v>13</v>
      </c>
      <c r="Q2488" s="22" t="s">
        <v>19</v>
      </c>
    </row>
    <row r="2489" spans="1:17" x14ac:dyDescent="0.3">
      <c r="A2489" s="27">
        <v>48</v>
      </c>
      <c r="B2489" s="24">
        <v>100</v>
      </c>
      <c r="C2489" s="25">
        <f>Sales!$B2489*Sales!$A2489</f>
        <v>4800</v>
      </c>
      <c r="D2489" s="26">
        <v>37902</v>
      </c>
      <c r="E2489" s="27" t="s">
        <v>9</v>
      </c>
      <c r="F2489" s="27">
        <v>4</v>
      </c>
      <c r="G2489" s="27">
        <v>10</v>
      </c>
      <c r="H2489" s="27">
        <v>2003</v>
      </c>
      <c r="I2489" s="27" t="s">
        <v>115</v>
      </c>
      <c r="J2489" s="25">
        <v>91</v>
      </c>
      <c r="K2489" s="25">
        <f>Sales!$B2489-Sales!$J2489</f>
        <v>9</v>
      </c>
      <c r="L2489" s="28">
        <f>(Sales!$J2489-Sales!$B2489)/Sales!$J2489</f>
        <v>-9.8901098901098897E-2</v>
      </c>
      <c r="M2489" s="28" t="str">
        <f t="shared" si="38"/>
        <v>Below 0%</v>
      </c>
      <c r="N2489" s="27" t="s">
        <v>45</v>
      </c>
      <c r="O2489" s="27" t="s">
        <v>46</v>
      </c>
      <c r="P2489" s="27" t="s">
        <v>17</v>
      </c>
      <c r="Q2489" s="27" t="s">
        <v>19</v>
      </c>
    </row>
    <row r="2490" spans="1:17" x14ac:dyDescent="0.3">
      <c r="A2490" s="22">
        <v>28</v>
      </c>
      <c r="B2490" s="19">
        <v>98.65</v>
      </c>
      <c r="C2490" s="20">
        <f>Sales!$B2490*Sales!$A2490</f>
        <v>2762.2000000000003</v>
      </c>
      <c r="D2490" s="21">
        <v>37922</v>
      </c>
      <c r="E2490" s="22" t="s">
        <v>9</v>
      </c>
      <c r="F2490" s="22">
        <v>4</v>
      </c>
      <c r="G2490" s="22">
        <v>10</v>
      </c>
      <c r="H2490" s="22">
        <v>2003</v>
      </c>
      <c r="I2490" s="22" t="s">
        <v>115</v>
      </c>
      <c r="J2490" s="20">
        <v>91</v>
      </c>
      <c r="K2490" s="20">
        <f>Sales!$B2490-Sales!$J2490</f>
        <v>7.6500000000000057</v>
      </c>
      <c r="L2490" s="23">
        <f>(Sales!$J2490-Sales!$B2490)/Sales!$J2490</f>
        <v>-8.4065934065934128E-2</v>
      </c>
      <c r="M2490" s="23" t="str">
        <f t="shared" si="38"/>
        <v>Below 0%</v>
      </c>
      <c r="N2490" s="22" t="s">
        <v>22</v>
      </c>
      <c r="O2490" s="22" t="s">
        <v>12</v>
      </c>
      <c r="P2490" s="22" t="s">
        <v>13</v>
      </c>
      <c r="Q2490" s="22" t="s">
        <v>14</v>
      </c>
    </row>
    <row r="2491" spans="1:17" x14ac:dyDescent="0.3">
      <c r="A2491" s="27">
        <v>48</v>
      </c>
      <c r="B2491" s="24">
        <v>83.12</v>
      </c>
      <c r="C2491" s="25">
        <f>Sales!$B2491*Sales!$A2491</f>
        <v>3989.76</v>
      </c>
      <c r="D2491" s="26">
        <v>37956</v>
      </c>
      <c r="E2491" s="27" t="s">
        <v>9</v>
      </c>
      <c r="F2491" s="27">
        <v>4</v>
      </c>
      <c r="G2491" s="27">
        <v>12</v>
      </c>
      <c r="H2491" s="27">
        <v>2003</v>
      </c>
      <c r="I2491" s="27" t="s">
        <v>115</v>
      </c>
      <c r="J2491" s="25">
        <v>91</v>
      </c>
      <c r="K2491" s="25">
        <f>Sales!$B2491-Sales!$J2491</f>
        <v>-7.8799999999999955</v>
      </c>
      <c r="L2491" s="28">
        <f>(Sales!$J2491-Sales!$B2491)/Sales!$J2491</f>
        <v>8.6593406593406544E-2</v>
      </c>
      <c r="M2491" s="28" t="str">
        <f t="shared" si="38"/>
        <v>5%-10%</v>
      </c>
      <c r="N2491" s="27" t="s">
        <v>57</v>
      </c>
      <c r="O2491" s="27" t="s">
        <v>12</v>
      </c>
      <c r="P2491" s="27" t="s">
        <v>13</v>
      </c>
      <c r="Q2491" s="27" t="s">
        <v>19</v>
      </c>
    </row>
    <row r="2492" spans="1:17" x14ac:dyDescent="0.3">
      <c r="A2492" s="22">
        <v>21</v>
      </c>
      <c r="B2492" s="19">
        <v>78.55</v>
      </c>
      <c r="C2492" s="20">
        <f>Sales!$B2492*Sales!$A2492</f>
        <v>1649.55</v>
      </c>
      <c r="D2492" s="21">
        <v>37998</v>
      </c>
      <c r="E2492" s="22" t="s">
        <v>9</v>
      </c>
      <c r="F2492" s="22">
        <v>1</v>
      </c>
      <c r="G2492" s="22">
        <v>1</v>
      </c>
      <c r="H2492" s="22">
        <v>2004</v>
      </c>
      <c r="I2492" s="22" t="s">
        <v>115</v>
      </c>
      <c r="J2492" s="20">
        <v>91</v>
      </c>
      <c r="K2492" s="20">
        <f>Sales!$B2492-Sales!$J2492</f>
        <v>-12.450000000000003</v>
      </c>
      <c r="L2492" s="23">
        <f>(Sales!$J2492-Sales!$B2492)/Sales!$J2492</f>
        <v>0.13681318681318685</v>
      </c>
      <c r="M2492" s="23" t="str">
        <f t="shared" si="38"/>
        <v>10%-15%</v>
      </c>
      <c r="N2492" s="22" t="s">
        <v>70</v>
      </c>
      <c r="O2492" s="22" t="s">
        <v>51</v>
      </c>
      <c r="P2492" s="22" t="s">
        <v>51</v>
      </c>
      <c r="Q2492" s="22" t="s">
        <v>14</v>
      </c>
    </row>
    <row r="2493" spans="1:17" x14ac:dyDescent="0.3">
      <c r="A2493" s="27">
        <v>25</v>
      </c>
      <c r="B2493" s="24">
        <v>100</v>
      </c>
      <c r="C2493" s="25">
        <f>Sales!$B2493*Sales!$A2493</f>
        <v>2500</v>
      </c>
      <c r="D2493" s="26">
        <v>38037</v>
      </c>
      <c r="E2493" s="27" t="s">
        <v>9</v>
      </c>
      <c r="F2493" s="27">
        <v>1</v>
      </c>
      <c r="G2493" s="27">
        <v>2</v>
      </c>
      <c r="H2493" s="27">
        <v>2004</v>
      </c>
      <c r="I2493" s="27" t="s">
        <v>115</v>
      </c>
      <c r="J2493" s="25">
        <v>91</v>
      </c>
      <c r="K2493" s="25">
        <f>Sales!$B2493-Sales!$J2493</f>
        <v>9</v>
      </c>
      <c r="L2493" s="28">
        <f>(Sales!$J2493-Sales!$B2493)/Sales!$J2493</f>
        <v>-9.8901098901098897E-2</v>
      </c>
      <c r="M2493" s="28" t="str">
        <f t="shared" si="38"/>
        <v>Below 0%</v>
      </c>
      <c r="N2493" s="27" t="s">
        <v>26</v>
      </c>
      <c r="O2493" s="27" t="s">
        <v>27</v>
      </c>
      <c r="P2493" s="27" t="s">
        <v>28</v>
      </c>
      <c r="Q2493" s="27" t="s">
        <v>14</v>
      </c>
    </row>
    <row r="2494" spans="1:17" x14ac:dyDescent="0.3">
      <c r="A2494" s="22">
        <v>25</v>
      </c>
      <c r="B2494" s="19">
        <v>100</v>
      </c>
      <c r="C2494" s="20">
        <f>Sales!$B2494*Sales!$A2494</f>
        <v>2500</v>
      </c>
      <c r="D2494" s="21">
        <v>38079</v>
      </c>
      <c r="E2494" s="22" t="s">
        <v>9</v>
      </c>
      <c r="F2494" s="22">
        <v>2</v>
      </c>
      <c r="G2494" s="22">
        <v>4</v>
      </c>
      <c r="H2494" s="22">
        <v>2004</v>
      </c>
      <c r="I2494" s="22" t="s">
        <v>115</v>
      </c>
      <c r="J2494" s="20">
        <v>91</v>
      </c>
      <c r="K2494" s="20">
        <f>Sales!$B2494-Sales!$J2494</f>
        <v>9</v>
      </c>
      <c r="L2494" s="23">
        <f>(Sales!$J2494-Sales!$B2494)/Sales!$J2494</f>
        <v>-9.8901098901098897E-2</v>
      </c>
      <c r="M2494" s="23" t="str">
        <f t="shared" si="38"/>
        <v>Below 0%</v>
      </c>
      <c r="N2494" s="22" t="s">
        <v>82</v>
      </c>
      <c r="O2494" s="22" t="s">
        <v>56</v>
      </c>
      <c r="P2494" s="22" t="s">
        <v>13</v>
      </c>
      <c r="Q2494" s="22" t="s">
        <v>14</v>
      </c>
    </row>
    <row r="2495" spans="1:17" x14ac:dyDescent="0.3">
      <c r="A2495" s="27">
        <v>31</v>
      </c>
      <c r="B2495" s="24">
        <v>91.34</v>
      </c>
      <c r="C2495" s="25">
        <f>Sales!$B2495*Sales!$A2495</f>
        <v>2831.54</v>
      </c>
      <c r="D2495" s="26">
        <v>38118</v>
      </c>
      <c r="E2495" s="27" t="s">
        <v>9</v>
      </c>
      <c r="F2495" s="27">
        <v>2</v>
      </c>
      <c r="G2495" s="27">
        <v>5</v>
      </c>
      <c r="H2495" s="27">
        <v>2004</v>
      </c>
      <c r="I2495" s="27" t="s">
        <v>115</v>
      </c>
      <c r="J2495" s="25">
        <v>91</v>
      </c>
      <c r="K2495" s="25">
        <f>Sales!$B2495-Sales!$J2495</f>
        <v>0.34000000000000341</v>
      </c>
      <c r="L2495" s="28">
        <f>(Sales!$J2495-Sales!$B2495)/Sales!$J2495</f>
        <v>-3.7362637362637736E-3</v>
      </c>
      <c r="M2495" s="28" t="s">
        <v>130</v>
      </c>
      <c r="N2495" s="27" t="s">
        <v>86</v>
      </c>
      <c r="O2495" s="27" t="s">
        <v>12</v>
      </c>
      <c r="P2495" s="27" t="s">
        <v>13</v>
      </c>
      <c r="Q2495" s="27" t="s">
        <v>14</v>
      </c>
    </row>
    <row r="2496" spans="1:17" x14ac:dyDescent="0.3">
      <c r="A2496" s="22">
        <v>40</v>
      </c>
      <c r="B2496" s="19">
        <v>84.03</v>
      </c>
      <c r="C2496" s="20">
        <f>Sales!$B2496*Sales!$A2496</f>
        <v>3361.2</v>
      </c>
      <c r="D2496" s="21">
        <v>38162</v>
      </c>
      <c r="E2496" s="22" t="s">
        <v>75</v>
      </c>
      <c r="F2496" s="22">
        <v>2</v>
      </c>
      <c r="G2496" s="22">
        <v>6</v>
      </c>
      <c r="H2496" s="22">
        <v>2004</v>
      </c>
      <c r="I2496" s="22" t="s">
        <v>115</v>
      </c>
      <c r="J2496" s="20">
        <v>91</v>
      </c>
      <c r="K2496" s="20">
        <f>Sales!$B2496-Sales!$J2496</f>
        <v>-6.9699999999999989</v>
      </c>
      <c r="L2496" s="23">
        <f>(Sales!$J2496-Sales!$B2496)/Sales!$J2496</f>
        <v>7.6593406593406577E-2</v>
      </c>
      <c r="M2496" s="23" t="str">
        <f t="shared" si="38"/>
        <v>5%-10%</v>
      </c>
      <c r="N2496" s="22" t="s">
        <v>45</v>
      </c>
      <c r="O2496" s="22" t="s">
        <v>46</v>
      </c>
      <c r="P2496" s="22" t="s">
        <v>17</v>
      </c>
      <c r="Q2496" s="22" t="s">
        <v>19</v>
      </c>
    </row>
    <row r="2497" spans="1:17" x14ac:dyDescent="0.3">
      <c r="A2497" s="27">
        <v>32</v>
      </c>
      <c r="B2497" s="24">
        <v>89.51</v>
      </c>
      <c r="C2497" s="25">
        <f>Sales!$B2497*Sales!$A2497</f>
        <v>2864.32</v>
      </c>
      <c r="D2497" s="26">
        <v>38191</v>
      </c>
      <c r="E2497" s="27" t="s">
        <v>9</v>
      </c>
      <c r="F2497" s="27">
        <v>3</v>
      </c>
      <c r="G2497" s="27">
        <v>7</v>
      </c>
      <c r="H2497" s="27">
        <v>2004</v>
      </c>
      <c r="I2497" s="27" t="s">
        <v>115</v>
      </c>
      <c r="J2497" s="25">
        <v>91</v>
      </c>
      <c r="K2497" s="25">
        <f>Sales!$B2497-Sales!$J2497</f>
        <v>-1.4899999999999949</v>
      </c>
      <c r="L2497" s="28">
        <f>(Sales!$J2497-Sales!$B2497)/Sales!$J2497</f>
        <v>1.6373626373626316E-2</v>
      </c>
      <c r="M2497" s="28" t="str">
        <f t="shared" si="38"/>
        <v>0%-5%</v>
      </c>
      <c r="N2497" s="27" t="s">
        <v>31</v>
      </c>
      <c r="O2497" s="27" t="s">
        <v>16</v>
      </c>
      <c r="P2497" s="27" t="s">
        <v>17</v>
      </c>
      <c r="Q2497" s="27" t="s">
        <v>14</v>
      </c>
    </row>
    <row r="2498" spans="1:17" x14ac:dyDescent="0.3">
      <c r="A2498" s="22">
        <v>24</v>
      </c>
      <c r="B2498" s="19">
        <v>83.12</v>
      </c>
      <c r="C2498" s="20">
        <f>Sales!$B2498*Sales!$A2498</f>
        <v>1994.88</v>
      </c>
      <c r="D2498" s="21">
        <v>38220</v>
      </c>
      <c r="E2498" s="22" t="s">
        <v>9</v>
      </c>
      <c r="F2498" s="22">
        <v>3</v>
      </c>
      <c r="G2498" s="22">
        <v>8</v>
      </c>
      <c r="H2498" s="22">
        <v>2004</v>
      </c>
      <c r="I2498" s="22" t="s">
        <v>115</v>
      </c>
      <c r="J2498" s="20">
        <v>91</v>
      </c>
      <c r="K2498" s="20">
        <f>Sales!$B2498-Sales!$J2498</f>
        <v>-7.8799999999999955</v>
      </c>
      <c r="L2498" s="23">
        <f>(Sales!$J2498-Sales!$B2498)/Sales!$J2498</f>
        <v>8.6593406593406544E-2</v>
      </c>
      <c r="M2498" s="23" t="str">
        <f t="shared" si="38"/>
        <v>5%-10%</v>
      </c>
      <c r="N2498" s="22" t="s">
        <v>110</v>
      </c>
      <c r="O2498" s="22" t="s">
        <v>25</v>
      </c>
      <c r="P2498" s="22" t="s">
        <v>17</v>
      </c>
      <c r="Q2498" s="22" t="s">
        <v>14</v>
      </c>
    </row>
    <row r="2499" spans="1:17" x14ac:dyDescent="0.3">
      <c r="A2499" s="27">
        <v>42</v>
      </c>
      <c r="B2499" s="24">
        <v>100</v>
      </c>
      <c r="C2499" s="25">
        <f>Sales!$B2499*Sales!$A2499</f>
        <v>4200</v>
      </c>
      <c r="D2499" s="26">
        <v>38245</v>
      </c>
      <c r="E2499" s="27" t="s">
        <v>9</v>
      </c>
      <c r="F2499" s="27">
        <v>3</v>
      </c>
      <c r="G2499" s="27">
        <v>9</v>
      </c>
      <c r="H2499" s="27">
        <v>2004</v>
      </c>
      <c r="I2499" s="27" t="s">
        <v>115</v>
      </c>
      <c r="J2499" s="25">
        <v>91</v>
      </c>
      <c r="K2499" s="25">
        <f>Sales!$B2499-Sales!$J2499</f>
        <v>9</v>
      </c>
      <c r="L2499" s="28">
        <f>(Sales!$J2499-Sales!$B2499)/Sales!$J2499</f>
        <v>-9.8901098901098897E-2</v>
      </c>
      <c r="M2499" s="28" t="str">
        <f t="shared" ref="M2499:M2562" si="39">IF(L2499&lt;0%,"Below 0%",IF(L2499=0%,"0%",IF(AND(L2499&lt;=5%,L2499&gt;0%),"0%-5%",IF(AND(L2499&lt;=10%,L2499&gt;5%),"5%-10%",IF(AND(L2499&lt;=15%,L2499&gt;10%),"10%-15%",IF(AND(L2499&lt;=20%,L2499&gt;15%),"15%-20%","+20%"))))))</f>
        <v>Below 0%</v>
      </c>
      <c r="N2499" s="27" t="s">
        <v>116</v>
      </c>
      <c r="O2499" s="27" t="s">
        <v>94</v>
      </c>
      <c r="P2499" s="27" t="s">
        <v>17</v>
      </c>
      <c r="Q2499" s="27" t="s">
        <v>19</v>
      </c>
    </row>
    <row r="2500" spans="1:17" x14ac:dyDescent="0.3">
      <c r="A2500" s="22">
        <v>21</v>
      </c>
      <c r="B2500" s="19">
        <v>100</v>
      </c>
      <c r="C2500" s="20">
        <f>Sales!$B2500*Sales!$A2500</f>
        <v>2100</v>
      </c>
      <c r="D2500" s="21">
        <v>38275</v>
      </c>
      <c r="E2500" s="22" t="s">
        <v>9</v>
      </c>
      <c r="F2500" s="22">
        <v>4</v>
      </c>
      <c r="G2500" s="22">
        <v>10</v>
      </c>
      <c r="H2500" s="22">
        <v>2004</v>
      </c>
      <c r="I2500" s="22" t="s">
        <v>115</v>
      </c>
      <c r="J2500" s="20">
        <v>91</v>
      </c>
      <c r="K2500" s="20">
        <f>Sales!$B2500-Sales!$J2500</f>
        <v>9</v>
      </c>
      <c r="L2500" s="23">
        <f>(Sales!$J2500-Sales!$B2500)/Sales!$J2500</f>
        <v>-9.8901098901098897E-2</v>
      </c>
      <c r="M2500" s="23" t="str">
        <f t="shared" si="39"/>
        <v>Below 0%</v>
      </c>
      <c r="N2500" s="22" t="s">
        <v>71</v>
      </c>
      <c r="O2500" s="22" t="s">
        <v>12</v>
      </c>
      <c r="P2500" s="22" t="s">
        <v>13</v>
      </c>
      <c r="Q2500" s="22" t="s">
        <v>14</v>
      </c>
    </row>
    <row r="2501" spans="1:17" x14ac:dyDescent="0.3">
      <c r="A2501" s="27">
        <v>34</v>
      </c>
      <c r="B2501" s="24">
        <v>82.21</v>
      </c>
      <c r="C2501" s="25">
        <f>Sales!$B2501*Sales!$A2501</f>
        <v>2795.14</v>
      </c>
      <c r="D2501" s="26">
        <v>38292</v>
      </c>
      <c r="E2501" s="27" t="s">
        <v>9</v>
      </c>
      <c r="F2501" s="27">
        <v>4</v>
      </c>
      <c r="G2501" s="27">
        <v>11</v>
      </c>
      <c r="H2501" s="27">
        <v>2004</v>
      </c>
      <c r="I2501" s="27" t="s">
        <v>115</v>
      </c>
      <c r="J2501" s="25">
        <v>91</v>
      </c>
      <c r="K2501" s="25">
        <f>Sales!$B2501-Sales!$J2501</f>
        <v>-8.7900000000000063</v>
      </c>
      <c r="L2501" s="28">
        <f>(Sales!$J2501-Sales!$B2501)/Sales!$J2501</f>
        <v>9.6593406593406664E-2</v>
      </c>
      <c r="M2501" s="28" t="str">
        <f t="shared" si="39"/>
        <v>5%-10%</v>
      </c>
      <c r="N2501" s="27" t="s">
        <v>84</v>
      </c>
      <c r="O2501" s="27" t="s">
        <v>43</v>
      </c>
      <c r="P2501" s="27" t="s">
        <v>17</v>
      </c>
      <c r="Q2501" s="27" t="s">
        <v>14</v>
      </c>
    </row>
    <row r="2502" spans="1:17" x14ac:dyDescent="0.3">
      <c r="A2502" s="22">
        <v>27</v>
      </c>
      <c r="B2502" s="19">
        <v>100</v>
      </c>
      <c r="C2502" s="20">
        <f>Sales!$B2502*Sales!$A2502</f>
        <v>2700</v>
      </c>
      <c r="D2502" s="21">
        <v>38303</v>
      </c>
      <c r="E2502" s="22" t="s">
        <v>9</v>
      </c>
      <c r="F2502" s="22">
        <v>4</v>
      </c>
      <c r="G2502" s="22">
        <v>11</v>
      </c>
      <c r="H2502" s="22">
        <v>2004</v>
      </c>
      <c r="I2502" s="22" t="s">
        <v>115</v>
      </c>
      <c r="J2502" s="20">
        <v>91</v>
      </c>
      <c r="K2502" s="20">
        <f>Sales!$B2502-Sales!$J2502</f>
        <v>9</v>
      </c>
      <c r="L2502" s="23">
        <f>(Sales!$J2502-Sales!$B2502)/Sales!$J2502</f>
        <v>-9.8901098901098897E-2</v>
      </c>
      <c r="M2502" s="23" t="str">
        <f t="shared" si="39"/>
        <v>Below 0%</v>
      </c>
      <c r="N2502" s="22" t="s">
        <v>113</v>
      </c>
      <c r="O2502" s="22" t="s">
        <v>61</v>
      </c>
      <c r="P2502" s="22" t="s">
        <v>17</v>
      </c>
      <c r="Q2502" s="22" t="s">
        <v>14</v>
      </c>
    </row>
    <row r="2503" spans="1:17" x14ac:dyDescent="0.3">
      <c r="A2503" s="27">
        <v>30</v>
      </c>
      <c r="B2503" s="24">
        <v>88.6</v>
      </c>
      <c r="C2503" s="25">
        <f>Sales!$B2503*Sales!$A2503</f>
        <v>2658</v>
      </c>
      <c r="D2503" s="26">
        <v>38315</v>
      </c>
      <c r="E2503" s="27" t="s">
        <v>9</v>
      </c>
      <c r="F2503" s="27">
        <v>4</v>
      </c>
      <c r="G2503" s="27">
        <v>11</v>
      </c>
      <c r="H2503" s="27">
        <v>2004</v>
      </c>
      <c r="I2503" s="27" t="s">
        <v>115</v>
      </c>
      <c r="J2503" s="25">
        <v>91</v>
      </c>
      <c r="K2503" s="25">
        <f>Sales!$B2503-Sales!$J2503</f>
        <v>-2.4000000000000057</v>
      </c>
      <c r="L2503" s="28">
        <f>(Sales!$J2503-Sales!$B2503)/Sales!$J2503</f>
        <v>2.6373626373626436E-2</v>
      </c>
      <c r="M2503" s="28" t="str">
        <f t="shared" si="39"/>
        <v>0%-5%</v>
      </c>
      <c r="N2503" s="27" t="s">
        <v>77</v>
      </c>
      <c r="O2503" s="27" t="s">
        <v>46</v>
      </c>
      <c r="P2503" s="27" t="s">
        <v>17</v>
      </c>
      <c r="Q2503" s="27" t="s">
        <v>14</v>
      </c>
    </row>
    <row r="2504" spans="1:17" x14ac:dyDescent="0.3">
      <c r="A2504" s="22">
        <v>39</v>
      </c>
      <c r="B2504" s="19">
        <v>100</v>
      </c>
      <c r="C2504" s="20">
        <f>Sales!$B2504*Sales!$A2504</f>
        <v>3900</v>
      </c>
      <c r="D2504" s="21">
        <v>38325</v>
      </c>
      <c r="E2504" s="22" t="s">
        <v>9</v>
      </c>
      <c r="F2504" s="22">
        <v>4</v>
      </c>
      <c r="G2504" s="22">
        <v>12</v>
      </c>
      <c r="H2504" s="22">
        <v>2004</v>
      </c>
      <c r="I2504" s="22" t="s">
        <v>115</v>
      </c>
      <c r="J2504" s="20">
        <v>91</v>
      </c>
      <c r="K2504" s="20">
        <f>Sales!$B2504-Sales!$J2504</f>
        <v>9</v>
      </c>
      <c r="L2504" s="23">
        <f>(Sales!$J2504-Sales!$B2504)/Sales!$J2504</f>
        <v>-9.8901098901098897E-2</v>
      </c>
      <c r="M2504" s="23" t="str">
        <f t="shared" si="39"/>
        <v>Below 0%</v>
      </c>
      <c r="N2504" s="22" t="s">
        <v>105</v>
      </c>
      <c r="O2504" s="22" t="s">
        <v>12</v>
      </c>
      <c r="P2504" s="22" t="s">
        <v>13</v>
      </c>
      <c r="Q2504" s="22" t="s">
        <v>19</v>
      </c>
    </row>
    <row r="2505" spans="1:17" x14ac:dyDescent="0.3">
      <c r="A2505" s="27">
        <v>20</v>
      </c>
      <c r="B2505" s="24">
        <v>60.54</v>
      </c>
      <c r="C2505" s="25">
        <f>Sales!$B2505*Sales!$A2505</f>
        <v>1210.8</v>
      </c>
      <c r="D2505" s="26">
        <v>38338</v>
      </c>
      <c r="E2505" s="27" t="s">
        <v>9</v>
      </c>
      <c r="F2505" s="27">
        <v>4</v>
      </c>
      <c r="G2505" s="27">
        <v>12</v>
      </c>
      <c r="H2505" s="27">
        <v>2004</v>
      </c>
      <c r="I2505" s="27" t="s">
        <v>115</v>
      </c>
      <c r="J2505" s="25">
        <v>91</v>
      </c>
      <c r="K2505" s="25">
        <f>Sales!$B2505-Sales!$J2505</f>
        <v>-30.46</v>
      </c>
      <c r="L2505" s="28">
        <f>(Sales!$J2505-Sales!$B2505)/Sales!$J2505</f>
        <v>0.33472527472527475</v>
      </c>
      <c r="M2505" s="28" t="str">
        <f t="shared" si="39"/>
        <v>+20%</v>
      </c>
      <c r="N2505" s="27" t="s">
        <v>40</v>
      </c>
      <c r="O2505" s="27" t="s">
        <v>27</v>
      </c>
      <c r="P2505" s="27" t="s">
        <v>28</v>
      </c>
      <c r="Q2505" s="27" t="s">
        <v>14</v>
      </c>
    </row>
    <row r="2506" spans="1:17" x14ac:dyDescent="0.3">
      <c r="A2506" s="22">
        <v>37</v>
      </c>
      <c r="B2506" s="19">
        <v>81.87</v>
      </c>
      <c r="C2506" s="20">
        <f>Sales!$B2506*Sales!$A2506</f>
        <v>3029.19</v>
      </c>
      <c r="D2506" s="21">
        <v>38386</v>
      </c>
      <c r="E2506" s="22" t="s">
        <v>9</v>
      </c>
      <c r="F2506" s="22">
        <v>1</v>
      </c>
      <c r="G2506" s="22">
        <v>2</v>
      </c>
      <c r="H2506" s="22">
        <v>2005</v>
      </c>
      <c r="I2506" s="22" t="s">
        <v>115</v>
      </c>
      <c r="J2506" s="20">
        <v>91</v>
      </c>
      <c r="K2506" s="20">
        <f>Sales!$B2506-Sales!$J2506</f>
        <v>-9.1299999999999955</v>
      </c>
      <c r="L2506" s="23">
        <f>(Sales!$J2506-Sales!$B2506)/Sales!$J2506</f>
        <v>0.10032967032967027</v>
      </c>
      <c r="M2506" s="23" t="s">
        <v>134</v>
      </c>
      <c r="N2506" s="22" t="s">
        <v>31</v>
      </c>
      <c r="O2506" s="22" t="s">
        <v>16</v>
      </c>
      <c r="P2506" s="22" t="s">
        <v>17</v>
      </c>
      <c r="Q2506" s="22" t="s">
        <v>19</v>
      </c>
    </row>
    <row r="2507" spans="1:17" x14ac:dyDescent="0.3">
      <c r="A2507" s="27">
        <v>46</v>
      </c>
      <c r="B2507" s="24">
        <v>100</v>
      </c>
      <c r="C2507" s="25">
        <f>Sales!$B2507*Sales!$A2507</f>
        <v>4600</v>
      </c>
      <c r="D2507" s="26">
        <v>38414</v>
      </c>
      <c r="E2507" s="27" t="s">
        <v>9</v>
      </c>
      <c r="F2507" s="27">
        <v>1</v>
      </c>
      <c r="G2507" s="27">
        <v>3</v>
      </c>
      <c r="H2507" s="27">
        <v>2005</v>
      </c>
      <c r="I2507" s="27" t="s">
        <v>115</v>
      </c>
      <c r="J2507" s="25">
        <v>91</v>
      </c>
      <c r="K2507" s="25">
        <f>Sales!$B2507-Sales!$J2507</f>
        <v>9</v>
      </c>
      <c r="L2507" s="28">
        <f>(Sales!$J2507-Sales!$B2507)/Sales!$J2507</f>
        <v>-9.8901098901098897E-2</v>
      </c>
      <c r="M2507" s="28" t="str">
        <f t="shared" si="39"/>
        <v>Below 0%</v>
      </c>
      <c r="N2507" s="27" t="s">
        <v>41</v>
      </c>
      <c r="O2507" s="27" t="s">
        <v>12</v>
      </c>
      <c r="P2507" s="27" t="s">
        <v>13</v>
      </c>
      <c r="Q2507" s="27" t="s">
        <v>39</v>
      </c>
    </row>
    <row r="2508" spans="1:17" x14ac:dyDescent="0.3">
      <c r="A2508" s="22">
        <v>47</v>
      </c>
      <c r="B2508" s="19">
        <v>87.69</v>
      </c>
      <c r="C2508" s="20">
        <f>Sales!$B2508*Sales!$A2508</f>
        <v>4121.43</v>
      </c>
      <c r="D2508" s="21">
        <v>38441</v>
      </c>
      <c r="E2508" s="22" t="s">
        <v>9</v>
      </c>
      <c r="F2508" s="22">
        <v>1</v>
      </c>
      <c r="G2508" s="22">
        <v>3</v>
      </c>
      <c r="H2508" s="22">
        <v>2005</v>
      </c>
      <c r="I2508" s="22" t="s">
        <v>115</v>
      </c>
      <c r="J2508" s="20">
        <v>91</v>
      </c>
      <c r="K2508" s="20">
        <f>Sales!$B2508-Sales!$J2508</f>
        <v>-3.3100000000000023</v>
      </c>
      <c r="L2508" s="23">
        <f>(Sales!$J2508-Sales!$B2508)/Sales!$J2508</f>
        <v>3.63736263736264E-2</v>
      </c>
      <c r="M2508" s="23" t="str">
        <f t="shared" si="39"/>
        <v>0%-5%</v>
      </c>
      <c r="N2508" s="22" t="s">
        <v>15</v>
      </c>
      <c r="O2508" s="22" t="s">
        <v>16</v>
      </c>
      <c r="P2508" s="22" t="s">
        <v>17</v>
      </c>
      <c r="Q2508" s="22" t="s">
        <v>19</v>
      </c>
    </row>
    <row r="2509" spans="1:17" x14ac:dyDescent="0.3">
      <c r="A2509" s="27">
        <v>11</v>
      </c>
      <c r="B2509" s="24">
        <v>100</v>
      </c>
      <c r="C2509" s="25">
        <f>Sales!$B2509*Sales!$A2509</f>
        <v>1100</v>
      </c>
      <c r="D2509" s="26">
        <v>38445</v>
      </c>
      <c r="E2509" s="27" t="s">
        <v>87</v>
      </c>
      <c r="F2509" s="27">
        <v>2</v>
      </c>
      <c r="G2509" s="27">
        <v>4</v>
      </c>
      <c r="H2509" s="27">
        <v>2005</v>
      </c>
      <c r="I2509" s="27" t="s">
        <v>115</v>
      </c>
      <c r="J2509" s="25">
        <v>91</v>
      </c>
      <c r="K2509" s="25">
        <f>Sales!$B2509-Sales!$J2509</f>
        <v>9</v>
      </c>
      <c r="L2509" s="28">
        <f>(Sales!$J2509-Sales!$B2509)/Sales!$J2509</f>
        <v>-9.8901098901098897E-2</v>
      </c>
      <c r="M2509" s="28" t="str">
        <f t="shared" si="39"/>
        <v>Below 0%</v>
      </c>
      <c r="N2509" s="27" t="s">
        <v>29</v>
      </c>
      <c r="O2509" s="27" t="s">
        <v>12</v>
      </c>
      <c r="P2509" s="27" t="s">
        <v>13</v>
      </c>
      <c r="Q2509" s="27" t="s">
        <v>14</v>
      </c>
    </row>
    <row r="2510" spans="1:17" x14ac:dyDescent="0.3">
      <c r="A2510" s="22">
        <v>23</v>
      </c>
      <c r="B2510" s="19">
        <v>91.34</v>
      </c>
      <c r="C2510" s="20">
        <f>Sales!$B2510*Sales!$A2510</f>
        <v>2100.8200000000002</v>
      </c>
      <c r="D2510" s="21">
        <v>38482</v>
      </c>
      <c r="E2510" s="22" t="s">
        <v>9</v>
      </c>
      <c r="F2510" s="22">
        <v>2</v>
      </c>
      <c r="G2510" s="22">
        <v>5</v>
      </c>
      <c r="H2510" s="22">
        <v>2005</v>
      </c>
      <c r="I2510" s="22" t="s">
        <v>115</v>
      </c>
      <c r="J2510" s="20">
        <v>91</v>
      </c>
      <c r="K2510" s="20">
        <f>Sales!$B2510-Sales!$J2510</f>
        <v>0.34000000000000341</v>
      </c>
      <c r="L2510" s="23">
        <f>(Sales!$J2510-Sales!$B2510)/Sales!$J2510</f>
        <v>-3.7362637362637736E-3</v>
      </c>
      <c r="M2510" s="23" t="s">
        <v>130</v>
      </c>
      <c r="N2510" s="22" t="s">
        <v>97</v>
      </c>
      <c r="O2510" s="22" t="s">
        <v>61</v>
      </c>
      <c r="P2510" s="22" t="s">
        <v>17</v>
      </c>
      <c r="Q2510" s="22" t="s">
        <v>14</v>
      </c>
    </row>
    <row r="2511" spans="1:17" x14ac:dyDescent="0.3">
      <c r="A2511" s="27">
        <v>29</v>
      </c>
      <c r="B2511" s="24">
        <v>70.150000000000006</v>
      </c>
      <c r="C2511" s="25">
        <f>Sales!$B2511*Sales!$A2511</f>
        <v>2034.3500000000001</v>
      </c>
      <c r="D2511" s="26">
        <v>37663</v>
      </c>
      <c r="E2511" s="27" t="s">
        <v>9</v>
      </c>
      <c r="F2511" s="27">
        <v>1</v>
      </c>
      <c r="G2511" s="27">
        <v>2</v>
      </c>
      <c r="H2511" s="27">
        <v>2003</v>
      </c>
      <c r="I2511" s="27" t="s">
        <v>118</v>
      </c>
      <c r="J2511" s="25">
        <v>86</v>
      </c>
      <c r="K2511" s="25">
        <f>Sales!$B2511-Sales!$J2511</f>
        <v>-15.849999999999994</v>
      </c>
      <c r="L2511" s="28">
        <f>(Sales!$J2511-Sales!$B2511)/Sales!$J2511</f>
        <v>0.18430232558139528</v>
      </c>
      <c r="M2511" s="28" t="str">
        <f t="shared" si="39"/>
        <v>15%-20%</v>
      </c>
      <c r="N2511" s="27" t="s">
        <v>72</v>
      </c>
      <c r="O2511" s="27" t="s">
        <v>73</v>
      </c>
      <c r="P2511" s="27" t="s">
        <v>17</v>
      </c>
      <c r="Q2511" s="27" t="s">
        <v>14</v>
      </c>
    </row>
    <row r="2512" spans="1:17" x14ac:dyDescent="0.3">
      <c r="A2512" s="22">
        <v>38</v>
      </c>
      <c r="B2512" s="19">
        <v>79.680000000000007</v>
      </c>
      <c r="C2512" s="20">
        <f>Sales!$B2512*Sales!$A2512</f>
        <v>3027.84</v>
      </c>
      <c r="D2512" s="21">
        <v>37727</v>
      </c>
      <c r="E2512" s="22" t="s">
        <v>9</v>
      </c>
      <c r="F2512" s="22">
        <v>2</v>
      </c>
      <c r="G2512" s="22">
        <v>4</v>
      </c>
      <c r="H2512" s="22">
        <v>2003</v>
      </c>
      <c r="I2512" s="22" t="s">
        <v>118</v>
      </c>
      <c r="J2512" s="20">
        <v>86</v>
      </c>
      <c r="K2512" s="20">
        <f>Sales!$B2512-Sales!$J2512</f>
        <v>-6.3199999999999932</v>
      </c>
      <c r="L2512" s="23">
        <f>(Sales!$J2512-Sales!$B2512)/Sales!$J2512</f>
        <v>7.3488372093023183E-2</v>
      </c>
      <c r="M2512" s="23" t="str">
        <f t="shared" si="39"/>
        <v>5%-10%</v>
      </c>
      <c r="N2512" s="22" t="s">
        <v>50</v>
      </c>
      <c r="O2512" s="22" t="s">
        <v>50</v>
      </c>
      <c r="P2512" s="22" t="s">
        <v>28</v>
      </c>
      <c r="Q2512" s="22" t="s">
        <v>19</v>
      </c>
    </row>
    <row r="2513" spans="1:17" x14ac:dyDescent="0.3">
      <c r="A2513" s="27">
        <v>32</v>
      </c>
      <c r="B2513" s="24">
        <v>97</v>
      </c>
      <c r="C2513" s="25">
        <f>Sales!$B2513*Sales!$A2513</f>
        <v>3104</v>
      </c>
      <c r="D2513" s="26">
        <v>37778</v>
      </c>
      <c r="E2513" s="27" t="s">
        <v>9</v>
      </c>
      <c r="F2513" s="27">
        <v>2</v>
      </c>
      <c r="G2513" s="27">
        <v>6</v>
      </c>
      <c r="H2513" s="27">
        <v>2003</v>
      </c>
      <c r="I2513" s="27" t="s">
        <v>118</v>
      </c>
      <c r="J2513" s="25">
        <v>86</v>
      </c>
      <c r="K2513" s="25">
        <f>Sales!$B2513-Sales!$J2513</f>
        <v>11</v>
      </c>
      <c r="L2513" s="28">
        <f>(Sales!$J2513-Sales!$B2513)/Sales!$J2513</f>
        <v>-0.12790697674418605</v>
      </c>
      <c r="M2513" s="28" t="str">
        <f t="shared" si="39"/>
        <v>Below 0%</v>
      </c>
      <c r="N2513" s="27" t="s">
        <v>45</v>
      </c>
      <c r="O2513" s="27" t="s">
        <v>46</v>
      </c>
      <c r="P2513" s="27" t="s">
        <v>17</v>
      </c>
      <c r="Q2513" s="27" t="s">
        <v>19</v>
      </c>
    </row>
    <row r="2514" spans="1:17" x14ac:dyDescent="0.3">
      <c r="A2514" s="22">
        <v>43</v>
      </c>
      <c r="B2514" s="19">
        <v>84.01</v>
      </c>
      <c r="C2514" s="20">
        <f>Sales!$B2514*Sales!$A2514</f>
        <v>3612.4300000000003</v>
      </c>
      <c r="D2514" s="21">
        <v>37841</v>
      </c>
      <c r="E2514" s="22" t="s">
        <v>9</v>
      </c>
      <c r="F2514" s="22">
        <v>3</v>
      </c>
      <c r="G2514" s="22">
        <v>8</v>
      </c>
      <c r="H2514" s="22">
        <v>2003</v>
      </c>
      <c r="I2514" s="22" t="s">
        <v>118</v>
      </c>
      <c r="J2514" s="20">
        <v>86</v>
      </c>
      <c r="K2514" s="20">
        <f>Sales!$B2514-Sales!$J2514</f>
        <v>-1.9899999999999949</v>
      </c>
      <c r="L2514" s="23">
        <f>(Sales!$J2514-Sales!$B2514)/Sales!$J2514</f>
        <v>2.3139534883720871E-2</v>
      </c>
      <c r="M2514" s="23" t="str">
        <f t="shared" si="39"/>
        <v>0%-5%</v>
      </c>
      <c r="N2514" s="22" t="s">
        <v>64</v>
      </c>
      <c r="O2514" s="22" t="s">
        <v>12</v>
      </c>
      <c r="P2514" s="22" t="s">
        <v>13</v>
      </c>
      <c r="Q2514" s="22" t="s">
        <v>19</v>
      </c>
    </row>
    <row r="2515" spans="1:17" x14ac:dyDescent="0.3">
      <c r="A2515" s="27">
        <v>31</v>
      </c>
      <c r="B2515" s="24">
        <v>87.48</v>
      </c>
      <c r="C2515" s="25">
        <f>Sales!$B2515*Sales!$A2515</f>
        <v>2711.88</v>
      </c>
      <c r="D2515" s="26">
        <v>37892</v>
      </c>
      <c r="E2515" s="27" t="s">
        <v>9</v>
      </c>
      <c r="F2515" s="27">
        <v>3</v>
      </c>
      <c r="G2515" s="27">
        <v>9</v>
      </c>
      <c r="H2515" s="27">
        <v>2003</v>
      </c>
      <c r="I2515" s="27" t="s">
        <v>118</v>
      </c>
      <c r="J2515" s="25">
        <v>86</v>
      </c>
      <c r="K2515" s="25">
        <f>Sales!$B2515-Sales!$J2515</f>
        <v>1.480000000000004</v>
      </c>
      <c r="L2515" s="28">
        <f>(Sales!$J2515-Sales!$B2515)/Sales!$J2515</f>
        <v>-1.7209302325581443E-2</v>
      </c>
      <c r="M2515" s="28" t="str">
        <f t="shared" si="39"/>
        <v>Below 0%</v>
      </c>
      <c r="N2515" s="27" t="s">
        <v>45</v>
      </c>
      <c r="O2515" s="27" t="s">
        <v>46</v>
      </c>
      <c r="P2515" s="27" t="s">
        <v>17</v>
      </c>
      <c r="Q2515" s="27" t="s">
        <v>14</v>
      </c>
    </row>
    <row r="2516" spans="1:17" x14ac:dyDescent="0.3">
      <c r="A2516" s="22">
        <v>29</v>
      </c>
      <c r="B2516" s="19">
        <v>100</v>
      </c>
      <c r="C2516" s="20">
        <f>Sales!$B2516*Sales!$A2516</f>
        <v>2900</v>
      </c>
      <c r="D2516" s="21">
        <v>37915</v>
      </c>
      <c r="E2516" s="22" t="s">
        <v>9</v>
      </c>
      <c r="F2516" s="22">
        <v>4</v>
      </c>
      <c r="G2516" s="22">
        <v>10</v>
      </c>
      <c r="H2516" s="22">
        <v>2003</v>
      </c>
      <c r="I2516" s="22" t="s">
        <v>118</v>
      </c>
      <c r="J2516" s="20">
        <v>86</v>
      </c>
      <c r="K2516" s="20">
        <f>Sales!$B2516-Sales!$J2516</f>
        <v>14</v>
      </c>
      <c r="L2516" s="23">
        <f>(Sales!$J2516-Sales!$B2516)/Sales!$J2516</f>
        <v>-0.16279069767441862</v>
      </c>
      <c r="M2516" s="23" t="str">
        <f t="shared" si="39"/>
        <v>Below 0%</v>
      </c>
      <c r="N2516" s="22" t="s">
        <v>41</v>
      </c>
      <c r="O2516" s="22" t="s">
        <v>12</v>
      </c>
      <c r="P2516" s="22" t="s">
        <v>13</v>
      </c>
      <c r="Q2516" s="22" t="s">
        <v>19</v>
      </c>
    </row>
    <row r="2517" spans="1:17" x14ac:dyDescent="0.3">
      <c r="A2517" s="27">
        <v>31</v>
      </c>
      <c r="B2517" s="24">
        <v>88.34</v>
      </c>
      <c r="C2517" s="25">
        <f>Sales!$B2517*Sales!$A2517</f>
        <v>2738.54</v>
      </c>
      <c r="D2517" s="26">
        <v>37932</v>
      </c>
      <c r="E2517" s="27" t="s">
        <v>9</v>
      </c>
      <c r="F2517" s="27">
        <v>4</v>
      </c>
      <c r="G2517" s="27">
        <v>11</v>
      </c>
      <c r="H2517" s="27">
        <v>2003</v>
      </c>
      <c r="I2517" s="27" t="s">
        <v>118</v>
      </c>
      <c r="J2517" s="25">
        <v>86</v>
      </c>
      <c r="K2517" s="25">
        <f>Sales!$B2517-Sales!$J2517</f>
        <v>2.3400000000000034</v>
      </c>
      <c r="L2517" s="28">
        <f>(Sales!$J2517-Sales!$B2517)/Sales!$J2517</f>
        <v>-2.7209302325581435E-2</v>
      </c>
      <c r="M2517" s="28" t="str">
        <f t="shared" si="39"/>
        <v>Below 0%</v>
      </c>
      <c r="N2517" s="27" t="s">
        <v>45</v>
      </c>
      <c r="O2517" s="27" t="s">
        <v>46</v>
      </c>
      <c r="P2517" s="27" t="s">
        <v>17</v>
      </c>
      <c r="Q2517" s="27" t="s">
        <v>14</v>
      </c>
    </row>
    <row r="2518" spans="1:17" x14ac:dyDescent="0.3">
      <c r="A2518" s="22">
        <v>30</v>
      </c>
      <c r="B2518" s="19">
        <v>94.4</v>
      </c>
      <c r="C2518" s="20">
        <f>Sales!$B2518*Sales!$A2518</f>
        <v>2832</v>
      </c>
      <c r="D2518" s="21">
        <v>37939</v>
      </c>
      <c r="E2518" s="22" t="s">
        <v>9</v>
      </c>
      <c r="F2518" s="22">
        <v>4</v>
      </c>
      <c r="G2518" s="22">
        <v>11</v>
      </c>
      <c r="H2518" s="22">
        <v>2003</v>
      </c>
      <c r="I2518" s="22" t="s">
        <v>118</v>
      </c>
      <c r="J2518" s="20">
        <v>86</v>
      </c>
      <c r="K2518" s="20">
        <f>Sales!$B2518-Sales!$J2518</f>
        <v>8.4000000000000057</v>
      </c>
      <c r="L2518" s="23">
        <f>(Sales!$J2518-Sales!$B2518)/Sales!$J2518</f>
        <v>-9.7674418604651231E-2</v>
      </c>
      <c r="M2518" s="23" t="str">
        <f t="shared" si="39"/>
        <v>Below 0%</v>
      </c>
      <c r="N2518" s="22" t="s">
        <v>41</v>
      </c>
      <c r="O2518" s="22" t="s">
        <v>12</v>
      </c>
      <c r="P2518" s="22" t="s">
        <v>13</v>
      </c>
      <c r="Q2518" s="22" t="s">
        <v>14</v>
      </c>
    </row>
    <row r="2519" spans="1:17" x14ac:dyDescent="0.3">
      <c r="A2519" s="27">
        <v>50</v>
      </c>
      <c r="B2519" s="24">
        <v>94.4</v>
      </c>
      <c r="C2519" s="25">
        <f>Sales!$B2519*Sales!$A2519</f>
        <v>4720</v>
      </c>
      <c r="D2519" s="26">
        <v>37951</v>
      </c>
      <c r="E2519" s="27" t="s">
        <v>9</v>
      </c>
      <c r="F2519" s="27">
        <v>4</v>
      </c>
      <c r="G2519" s="27">
        <v>11</v>
      </c>
      <c r="H2519" s="27">
        <v>2003</v>
      </c>
      <c r="I2519" s="27" t="s">
        <v>118</v>
      </c>
      <c r="J2519" s="25">
        <v>86</v>
      </c>
      <c r="K2519" s="25">
        <f>Sales!$B2519-Sales!$J2519</f>
        <v>8.4000000000000057</v>
      </c>
      <c r="L2519" s="28">
        <f>(Sales!$J2519-Sales!$B2519)/Sales!$J2519</f>
        <v>-9.7674418604651231E-2</v>
      </c>
      <c r="M2519" s="28" t="str">
        <f t="shared" si="39"/>
        <v>Below 0%</v>
      </c>
      <c r="N2519" s="27" t="s">
        <v>58</v>
      </c>
      <c r="O2519" s="27" t="s">
        <v>12</v>
      </c>
      <c r="P2519" s="27" t="s">
        <v>13</v>
      </c>
      <c r="Q2519" s="27" t="s">
        <v>19</v>
      </c>
    </row>
    <row r="2520" spans="1:17" x14ac:dyDescent="0.3">
      <c r="A2520" s="22">
        <v>40</v>
      </c>
      <c r="B2520" s="19">
        <v>80.55</v>
      </c>
      <c r="C2520" s="20">
        <f>Sales!$B2520*Sales!$A2520</f>
        <v>3222</v>
      </c>
      <c r="D2520" s="21">
        <v>37988</v>
      </c>
      <c r="E2520" s="22" t="s">
        <v>9</v>
      </c>
      <c r="F2520" s="22">
        <v>1</v>
      </c>
      <c r="G2520" s="22">
        <v>1</v>
      </c>
      <c r="H2520" s="22">
        <v>2004</v>
      </c>
      <c r="I2520" s="22" t="s">
        <v>118</v>
      </c>
      <c r="J2520" s="20">
        <v>86</v>
      </c>
      <c r="K2520" s="20">
        <f>Sales!$B2520-Sales!$J2520</f>
        <v>-5.4500000000000028</v>
      </c>
      <c r="L2520" s="23">
        <f>(Sales!$J2520-Sales!$B2520)/Sales!$J2520</f>
        <v>6.3372093023255846E-2</v>
      </c>
      <c r="M2520" s="23" t="str">
        <f t="shared" si="39"/>
        <v>5%-10%</v>
      </c>
      <c r="N2520" s="22" t="s">
        <v>54</v>
      </c>
      <c r="O2520" s="22" t="s">
        <v>16</v>
      </c>
      <c r="P2520" s="22" t="s">
        <v>17</v>
      </c>
      <c r="Q2520" s="22" t="s">
        <v>19</v>
      </c>
    </row>
    <row r="2521" spans="1:17" x14ac:dyDescent="0.3">
      <c r="A2521" s="27">
        <v>23</v>
      </c>
      <c r="B2521" s="24">
        <v>97</v>
      </c>
      <c r="C2521" s="25">
        <f>Sales!$B2521*Sales!$A2521</f>
        <v>2231</v>
      </c>
      <c r="D2521" s="26">
        <v>38035</v>
      </c>
      <c r="E2521" s="27" t="s">
        <v>9</v>
      </c>
      <c r="F2521" s="27">
        <v>1</v>
      </c>
      <c r="G2521" s="27">
        <v>2</v>
      </c>
      <c r="H2521" s="27">
        <v>2004</v>
      </c>
      <c r="I2521" s="27" t="s">
        <v>118</v>
      </c>
      <c r="J2521" s="25">
        <v>86</v>
      </c>
      <c r="K2521" s="25">
        <f>Sales!$B2521-Sales!$J2521</f>
        <v>11</v>
      </c>
      <c r="L2521" s="28">
        <f>(Sales!$J2521-Sales!$B2521)/Sales!$J2521</f>
        <v>-0.12790697674418605</v>
      </c>
      <c r="M2521" s="28" t="str">
        <f t="shared" si="39"/>
        <v>Below 0%</v>
      </c>
      <c r="N2521" s="27" t="s">
        <v>80</v>
      </c>
      <c r="O2521" s="27" t="s">
        <v>81</v>
      </c>
      <c r="P2521" s="27" t="s">
        <v>17</v>
      </c>
      <c r="Q2521" s="27" t="s">
        <v>14</v>
      </c>
    </row>
    <row r="2522" spans="1:17" x14ac:dyDescent="0.3">
      <c r="A2522" s="22">
        <v>26</v>
      </c>
      <c r="B2522" s="19">
        <v>88.34</v>
      </c>
      <c r="C2522" s="20">
        <f>Sales!$B2522*Sales!$A2522</f>
        <v>2296.84</v>
      </c>
      <c r="D2522" s="21">
        <v>38066</v>
      </c>
      <c r="E2522" s="22" t="s">
        <v>9</v>
      </c>
      <c r="F2522" s="22">
        <v>1</v>
      </c>
      <c r="G2522" s="22">
        <v>3</v>
      </c>
      <c r="H2522" s="22">
        <v>2004</v>
      </c>
      <c r="I2522" s="22" t="s">
        <v>118</v>
      </c>
      <c r="J2522" s="20">
        <v>86</v>
      </c>
      <c r="K2522" s="20">
        <f>Sales!$B2522-Sales!$J2522</f>
        <v>2.3400000000000034</v>
      </c>
      <c r="L2522" s="23">
        <f>(Sales!$J2522-Sales!$B2522)/Sales!$J2522</f>
        <v>-2.7209302325581435E-2</v>
      </c>
      <c r="M2522" s="23" t="str">
        <f t="shared" si="39"/>
        <v>Below 0%</v>
      </c>
      <c r="N2522" s="22" t="s">
        <v>84</v>
      </c>
      <c r="O2522" s="22" t="s">
        <v>43</v>
      </c>
      <c r="P2522" s="22" t="s">
        <v>17</v>
      </c>
      <c r="Q2522" s="22" t="s">
        <v>14</v>
      </c>
    </row>
    <row r="2523" spans="1:17" x14ac:dyDescent="0.3">
      <c r="A2523" s="27">
        <v>40</v>
      </c>
      <c r="B2523" s="24">
        <v>100</v>
      </c>
      <c r="C2523" s="25">
        <f>Sales!$B2523*Sales!$A2523</f>
        <v>4000</v>
      </c>
      <c r="D2523" s="26">
        <v>38114</v>
      </c>
      <c r="E2523" s="27" t="s">
        <v>75</v>
      </c>
      <c r="F2523" s="27">
        <v>2</v>
      </c>
      <c r="G2523" s="27">
        <v>5</v>
      </c>
      <c r="H2523" s="27">
        <v>2004</v>
      </c>
      <c r="I2523" s="27" t="s">
        <v>118</v>
      </c>
      <c r="J2523" s="25">
        <v>86</v>
      </c>
      <c r="K2523" s="25">
        <f>Sales!$B2523-Sales!$J2523</f>
        <v>14</v>
      </c>
      <c r="L2523" s="28">
        <f>(Sales!$J2523-Sales!$B2523)/Sales!$J2523</f>
        <v>-0.16279069767441862</v>
      </c>
      <c r="M2523" s="28" t="str">
        <f t="shared" si="39"/>
        <v>Below 0%</v>
      </c>
      <c r="N2523" s="27" t="s">
        <v>11</v>
      </c>
      <c r="O2523" s="27" t="s">
        <v>12</v>
      </c>
      <c r="P2523" s="27" t="s">
        <v>13</v>
      </c>
      <c r="Q2523" s="27" t="s">
        <v>19</v>
      </c>
    </row>
    <row r="2524" spans="1:17" x14ac:dyDescent="0.3">
      <c r="A2524" s="22">
        <v>21</v>
      </c>
      <c r="B2524" s="19">
        <v>100</v>
      </c>
      <c r="C2524" s="20">
        <f>Sales!$B2524*Sales!$A2524</f>
        <v>2100</v>
      </c>
      <c r="D2524" s="21">
        <v>38189</v>
      </c>
      <c r="E2524" s="22" t="s">
        <v>9</v>
      </c>
      <c r="F2524" s="22">
        <v>3</v>
      </c>
      <c r="G2524" s="22">
        <v>7</v>
      </c>
      <c r="H2524" s="22">
        <v>2004</v>
      </c>
      <c r="I2524" s="22" t="s">
        <v>118</v>
      </c>
      <c r="J2524" s="20">
        <v>86</v>
      </c>
      <c r="K2524" s="20">
        <f>Sales!$B2524-Sales!$J2524</f>
        <v>14</v>
      </c>
      <c r="L2524" s="23">
        <f>(Sales!$J2524-Sales!$B2524)/Sales!$J2524</f>
        <v>-0.16279069767441862</v>
      </c>
      <c r="M2524" s="23" t="str">
        <f t="shared" si="39"/>
        <v>Below 0%</v>
      </c>
      <c r="N2524" s="22" t="s">
        <v>80</v>
      </c>
      <c r="O2524" s="22" t="s">
        <v>81</v>
      </c>
      <c r="P2524" s="22" t="s">
        <v>17</v>
      </c>
      <c r="Q2524" s="22" t="s">
        <v>14</v>
      </c>
    </row>
    <row r="2525" spans="1:17" x14ac:dyDescent="0.3">
      <c r="A2525" s="27">
        <v>43</v>
      </c>
      <c r="B2525" s="24">
        <v>86.61</v>
      </c>
      <c r="C2525" s="25">
        <f>Sales!$B2525*Sales!$A2525</f>
        <v>3724.23</v>
      </c>
      <c r="D2525" s="26">
        <v>38219</v>
      </c>
      <c r="E2525" s="27" t="s">
        <v>9</v>
      </c>
      <c r="F2525" s="27">
        <v>3</v>
      </c>
      <c r="G2525" s="27">
        <v>8</v>
      </c>
      <c r="H2525" s="27">
        <v>2004</v>
      </c>
      <c r="I2525" s="27" t="s">
        <v>118</v>
      </c>
      <c r="J2525" s="25">
        <v>86</v>
      </c>
      <c r="K2525" s="25">
        <f>Sales!$B2525-Sales!$J2525</f>
        <v>0.60999999999999943</v>
      </c>
      <c r="L2525" s="28">
        <f>(Sales!$J2525-Sales!$B2525)/Sales!$J2525</f>
        <v>-7.0930232558139468E-3</v>
      </c>
      <c r="M2525" s="28" t="str">
        <f t="shared" si="39"/>
        <v>Below 0%</v>
      </c>
      <c r="N2525" s="27" t="s">
        <v>64</v>
      </c>
      <c r="O2525" s="27" t="s">
        <v>12</v>
      </c>
      <c r="P2525" s="27" t="s">
        <v>13</v>
      </c>
      <c r="Q2525" s="27" t="s">
        <v>19</v>
      </c>
    </row>
    <row r="2526" spans="1:17" x14ac:dyDescent="0.3">
      <c r="A2526" s="22">
        <v>29</v>
      </c>
      <c r="B2526" s="19">
        <v>71.89</v>
      </c>
      <c r="C2526" s="20">
        <f>Sales!$B2526*Sales!$A2526</f>
        <v>2084.81</v>
      </c>
      <c r="D2526" s="21">
        <v>38239</v>
      </c>
      <c r="E2526" s="22" t="s">
        <v>9</v>
      </c>
      <c r="F2526" s="22">
        <v>3</v>
      </c>
      <c r="G2526" s="22">
        <v>9</v>
      </c>
      <c r="H2526" s="22">
        <v>2004</v>
      </c>
      <c r="I2526" s="22" t="s">
        <v>118</v>
      </c>
      <c r="J2526" s="20">
        <v>86</v>
      </c>
      <c r="K2526" s="20">
        <f>Sales!$B2526-Sales!$J2526</f>
        <v>-14.11</v>
      </c>
      <c r="L2526" s="23">
        <f>(Sales!$J2526-Sales!$B2526)/Sales!$J2526</f>
        <v>0.16406976744186047</v>
      </c>
      <c r="M2526" s="23" t="str">
        <f t="shared" si="39"/>
        <v>15%-20%</v>
      </c>
      <c r="N2526" s="22" t="s">
        <v>60</v>
      </c>
      <c r="O2526" s="22" t="s">
        <v>61</v>
      </c>
      <c r="P2526" s="22" t="s">
        <v>17</v>
      </c>
      <c r="Q2526" s="22" t="s">
        <v>14</v>
      </c>
    </row>
    <row r="2527" spans="1:17" x14ac:dyDescent="0.3">
      <c r="A2527" s="27">
        <v>38</v>
      </c>
      <c r="B2527" s="24">
        <v>91.81</v>
      </c>
      <c r="C2527" s="25">
        <f>Sales!$B2527*Sales!$A2527</f>
        <v>3488.78</v>
      </c>
      <c r="D2527" s="26">
        <v>38274</v>
      </c>
      <c r="E2527" s="27" t="s">
        <v>9</v>
      </c>
      <c r="F2527" s="27">
        <v>4</v>
      </c>
      <c r="G2527" s="27">
        <v>10</v>
      </c>
      <c r="H2527" s="27">
        <v>2004</v>
      </c>
      <c r="I2527" s="27" t="s">
        <v>118</v>
      </c>
      <c r="J2527" s="25">
        <v>86</v>
      </c>
      <c r="K2527" s="25">
        <f>Sales!$B2527-Sales!$J2527</f>
        <v>5.8100000000000023</v>
      </c>
      <c r="L2527" s="28">
        <f>(Sales!$J2527-Sales!$B2527)/Sales!$J2527</f>
        <v>-6.7558139534883752E-2</v>
      </c>
      <c r="M2527" s="28" t="str">
        <f t="shared" si="39"/>
        <v>Below 0%</v>
      </c>
      <c r="N2527" s="27" t="s">
        <v>102</v>
      </c>
      <c r="O2527" s="27" t="s">
        <v>43</v>
      </c>
      <c r="P2527" s="27" t="s">
        <v>17</v>
      </c>
      <c r="Q2527" s="27" t="s">
        <v>19</v>
      </c>
    </row>
    <row r="2528" spans="1:17" x14ac:dyDescent="0.3">
      <c r="A2528" s="22">
        <v>23</v>
      </c>
      <c r="B2528" s="19">
        <v>76.22</v>
      </c>
      <c r="C2528" s="20">
        <f>Sales!$B2528*Sales!$A2528</f>
        <v>1753.06</v>
      </c>
      <c r="D2528" s="21">
        <v>38282</v>
      </c>
      <c r="E2528" s="22" t="s">
        <v>9</v>
      </c>
      <c r="F2528" s="22">
        <v>4</v>
      </c>
      <c r="G2528" s="22">
        <v>10</v>
      </c>
      <c r="H2528" s="22">
        <v>2004</v>
      </c>
      <c r="I2528" s="22" t="s">
        <v>118</v>
      </c>
      <c r="J2528" s="20">
        <v>86</v>
      </c>
      <c r="K2528" s="20">
        <f>Sales!$B2528-Sales!$J2528</f>
        <v>-9.7800000000000011</v>
      </c>
      <c r="L2528" s="23">
        <f>(Sales!$J2528-Sales!$B2528)/Sales!$J2528</f>
        <v>0.11372093023255815</v>
      </c>
      <c r="M2528" s="23" t="str">
        <f t="shared" si="39"/>
        <v>10%-15%</v>
      </c>
      <c r="N2528" s="22" t="s">
        <v>103</v>
      </c>
      <c r="O2528" s="22" t="s">
        <v>73</v>
      </c>
      <c r="P2528" s="22" t="s">
        <v>17</v>
      </c>
      <c r="Q2528" s="22" t="s">
        <v>14</v>
      </c>
    </row>
    <row r="2529" spans="1:17" x14ac:dyDescent="0.3">
      <c r="A2529" s="27">
        <v>20</v>
      </c>
      <c r="B2529" s="24">
        <v>100</v>
      </c>
      <c r="C2529" s="25">
        <f>Sales!$B2529*Sales!$A2529</f>
        <v>2000</v>
      </c>
      <c r="D2529" s="26">
        <v>38301</v>
      </c>
      <c r="E2529" s="27" t="s">
        <v>88</v>
      </c>
      <c r="F2529" s="27">
        <v>4</v>
      </c>
      <c r="G2529" s="27">
        <v>11</v>
      </c>
      <c r="H2529" s="27">
        <v>2004</v>
      </c>
      <c r="I2529" s="27" t="s">
        <v>118</v>
      </c>
      <c r="J2529" s="25">
        <v>86</v>
      </c>
      <c r="K2529" s="25">
        <f>Sales!$B2529-Sales!$J2529</f>
        <v>14</v>
      </c>
      <c r="L2529" s="28">
        <f>(Sales!$J2529-Sales!$B2529)/Sales!$J2529</f>
        <v>-0.16279069767441862</v>
      </c>
      <c r="M2529" s="28" t="str">
        <f t="shared" si="39"/>
        <v>Below 0%</v>
      </c>
      <c r="N2529" s="27" t="s">
        <v>72</v>
      </c>
      <c r="O2529" s="27" t="s">
        <v>73</v>
      </c>
      <c r="P2529" s="27" t="s">
        <v>17</v>
      </c>
      <c r="Q2529" s="27" t="s">
        <v>19</v>
      </c>
    </row>
    <row r="2530" spans="1:17" x14ac:dyDescent="0.3">
      <c r="A2530" s="22">
        <v>36</v>
      </c>
      <c r="B2530" s="19">
        <v>70.3</v>
      </c>
      <c r="C2530" s="20">
        <f>Sales!$B2530*Sales!$A2530</f>
        <v>2530.7999999999997</v>
      </c>
      <c r="D2530" s="21">
        <v>38312</v>
      </c>
      <c r="E2530" s="22" t="s">
        <v>9</v>
      </c>
      <c r="F2530" s="22">
        <v>4</v>
      </c>
      <c r="G2530" s="22">
        <v>11</v>
      </c>
      <c r="H2530" s="22">
        <v>2004</v>
      </c>
      <c r="I2530" s="22" t="s">
        <v>118</v>
      </c>
      <c r="J2530" s="20">
        <v>86</v>
      </c>
      <c r="K2530" s="20">
        <f>Sales!$B2530-Sales!$J2530</f>
        <v>-15.700000000000003</v>
      </c>
      <c r="L2530" s="23">
        <f>(Sales!$J2530-Sales!$B2530)/Sales!$J2530</f>
        <v>0.18255813953488376</v>
      </c>
      <c r="M2530" s="23" t="str">
        <f t="shared" si="39"/>
        <v>15%-20%</v>
      </c>
      <c r="N2530" s="22" t="s">
        <v>11</v>
      </c>
      <c r="O2530" s="22" t="s">
        <v>12</v>
      </c>
      <c r="P2530" s="22" t="s">
        <v>13</v>
      </c>
      <c r="Q2530" s="22" t="s">
        <v>14</v>
      </c>
    </row>
    <row r="2531" spans="1:17" x14ac:dyDescent="0.3">
      <c r="A2531" s="27">
        <v>28</v>
      </c>
      <c r="B2531" s="24">
        <v>100</v>
      </c>
      <c r="C2531" s="25">
        <f>Sales!$B2531*Sales!$A2531</f>
        <v>2800</v>
      </c>
      <c r="D2531" s="26">
        <v>38323</v>
      </c>
      <c r="E2531" s="27" t="s">
        <v>9</v>
      </c>
      <c r="F2531" s="27">
        <v>4</v>
      </c>
      <c r="G2531" s="27">
        <v>12</v>
      </c>
      <c r="H2531" s="27">
        <v>2004</v>
      </c>
      <c r="I2531" s="27" t="s">
        <v>118</v>
      </c>
      <c r="J2531" s="25">
        <v>86</v>
      </c>
      <c r="K2531" s="25">
        <f>Sales!$B2531-Sales!$J2531</f>
        <v>14</v>
      </c>
      <c r="L2531" s="28">
        <f>(Sales!$J2531-Sales!$B2531)/Sales!$J2531</f>
        <v>-0.16279069767441862</v>
      </c>
      <c r="M2531" s="28" t="str">
        <f t="shared" si="39"/>
        <v>Below 0%</v>
      </c>
      <c r="N2531" s="27" t="s">
        <v>45</v>
      </c>
      <c r="O2531" s="27" t="s">
        <v>46</v>
      </c>
      <c r="P2531" s="27" t="s">
        <v>17</v>
      </c>
      <c r="Q2531" s="27" t="s">
        <v>14</v>
      </c>
    </row>
    <row r="2532" spans="1:17" x14ac:dyDescent="0.3">
      <c r="A2532" s="22">
        <v>44</v>
      </c>
      <c r="B2532" s="19">
        <v>100</v>
      </c>
      <c r="C2532" s="20">
        <f>Sales!$B2532*Sales!$A2532</f>
        <v>4400</v>
      </c>
      <c r="D2532" s="21">
        <v>38378</v>
      </c>
      <c r="E2532" s="22" t="s">
        <v>9</v>
      </c>
      <c r="F2532" s="22">
        <v>1</v>
      </c>
      <c r="G2532" s="22">
        <v>1</v>
      </c>
      <c r="H2532" s="22">
        <v>2005</v>
      </c>
      <c r="I2532" s="22" t="s">
        <v>118</v>
      </c>
      <c r="J2532" s="20">
        <v>86</v>
      </c>
      <c r="K2532" s="20">
        <f>Sales!$B2532-Sales!$J2532</f>
        <v>14</v>
      </c>
      <c r="L2532" s="23">
        <f>(Sales!$J2532-Sales!$B2532)/Sales!$J2532</f>
        <v>-0.16279069767441862</v>
      </c>
      <c r="M2532" s="23" t="str">
        <f t="shared" si="39"/>
        <v>Below 0%</v>
      </c>
      <c r="N2532" s="22" t="s">
        <v>59</v>
      </c>
      <c r="O2532" s="22" t="s">
        <v>51</v>
      </c>
      <c r="P2532" s="22" t="s">
        <v>51</v>
      </c>
      <c r="Q2532" s="22" t="s">
        <v>19</v>
      </c>
    </row>
    <row r="2533" spans="1:17" x14ac:dyDescent="0.3">
      <c r="A2533" s="27">
        <v>49</v>
      </c>
      <c r="B2533" s="24">
        <v>100</v>
      </c>
      <c r="C2533" s="25">
        <f>Sales!$B2533*Sales!$A2533</f>
        <v>4900</v>
      </c>
      <c r="D2533" s="26">
        <v>38406</v>
      </c>
      <c r="E2533" s="27" t="s">
        <v>9</v>
      </c>
      <c r="F2533" s="27">
        <v>1</v>
      </c>
      <c r="G2533" s="27">
        <v>2</v>
      </c>
      <c r="H2533" s="27">
        <v>2005</v>
      </c>
      <c r="I2533" s="27" t="s">
        <v>118</v>
      </c>
      <c r="J2533" s="25">
        <v>86</v>
      </c>
      <c r="K2533" s="25">
        <f>Sales!$B2533-Sales!$J2533</f>
        <v>14</v>
      </c>
      <c r="L2533" s="28">
        <f>(Sales!$J2533-Sales!$B2533)/Sales!$J2533</f>
        <v>-0.16279069767441862</v>
      </c>
      <c r="M2533" s="28" t="str">
        <f t="shared" si="39"/>
        <v>Below 0%</v>
      </c>
      <c r="N2533" s="27" t="s">
        <v>21</v>
      </c>
      <c r="O2533" s="27" t="s">
        <v>12</v>
      </c>
      <c r="P2533" s="27" t="s">
        <v>13</v>
      </c>
      <c r="Q2533" s="27" t="s">
        <v>19</v>
      </c>
    </row>
    <row r="2534" spans="1:17" x14ac:dyDescent="0.3">
      <c r="A2534" s="22">
        <v>32</v>
      </c>
      <c r="B2534" s="19">
        <v>80.55</v>
      </c>
      <c r="C2534" s="20">
        <f>Sales!$B2534*Sales!$A2534</f>
        <v>2577.6</v>
      </c>
      <c r="D2534" s="21">
        <v>38439</v>
      </c>
      <c r="E2534" s="22" t="s">
        <v>9</v>
      </c>
      <c r="F2534" s="22">
        <v>1</v>
      </c>
      <c r="G2534" s="22">
        <v>3</v>
      </c>
      <c r="H2534" s="22">
        <v>2005</v>
      </c>
      <c r="I2534" s="22" t="s">
        <v>118</v>
      </c>
      <c r="J2534" s="20">
        <v>86</v>
      </c>
      <c r="K2534" s="20">
        <f>Sales!$B2534-Sales!$J2534</f>
        <v>-5.4500000000000028</v>
      </c>
      <c r="L2534" s="23">
        <f>(Sales!$J2534-Sales!$B2534)/Sales!$J2534</f>
        <v>6.3372093023255846E-2</v>
      </c>
      <c r="M2534" s="23" t="str">
        <f t="shared" si="39"/>
        <v>5%-10%</v>
      </c>
      <c r="N2534" s="22" t="s">
        <v>76</v>
      </c>
      <c r="O2534" s="22" t="s">
        <v>16</v>
      </c>
      <c r="P2534" s="22" t="s">
        <v>17</v>
      </c>
      <c r="Q2534" s="22" t="s">
        <v>14</v>
      </c>
    </row>
    <row r="2535" spans="1:17" x14ac:dyDescent="0.3">
      <c r="A2535" s="27">
        <v>34</v>
      </c>
      <c r="B2535" s="24">
        <v>100</v>
      </c>
      <c r="C2535" s="25">
        <f>Sales!$B2535*Sales!$A2535</f>
        <v>3400</v>
      </c>
      <c r="D2535" s="26">
        <v>38478</v>
      </c>
      <c r="E2535" s="27" t="s">
        <v>87</v>
      </c>
      <c r="F2535" s="27">
        <v>2</v>
      </c>
      <c r="G2535" s="27">
        <v>5</v>
      </c>
      <c r="H2535" s="27">
        <v>2005</v>
      </c>
      <c r="I2535" s="27" t="s">
        <v>118</v>
      </c>
      <c r="J2535" s="25">
        <v>86</v>
      </c>
      <c r="K2535" s="25">
        <f>Sales!$B2535-Sales!$J2535</f>
        <v>14</v>
      </c>
      <c r="L2535" s="28">
        <f>(Sales!$J2535-Sales!$B2535)/Sales!$J2535</f>
        <v>-0.16279069767441862</v>
      </c>
      <c r="M2535" s="28" t="str">
        <f t="shared" si="39"/>
        <v>Below 0%</v>
      </c>
      <c r="N2535" s="27" t="s">
        <v>83</v>
      </c>
      <c r="O2535" s="27" t="s">
        <v>12</v>
      </c>
      <c r="P2535" s="27" t="s">
        <v>13</v>
      </c>
      <c r="Q2535" s="27" t="s">
        <v>19</v>
      </c>
    </row>
    <row r="2536" spans="1:17" x14ac:dyDescent="0.3">
      <c r="A2536" s="22">
        <v>30</v>
      </c>
      <c r="B2536" s="19">
        <v>100</v>
      </c>
      <c r="C2536" s="20">
        <f>Sales!$B2536*Sales!$A2536</f>
        <v>3000</v>
      </c>
      <c r="D2536" s="21">
        <v>37669</v>
      </c>
      <c r="E2536" s="22" t="s">
        <v>9</v>
      </c>
      <c r="F2536" s="22">
        <v>1</v>
      </c>
      <c r="G2536" s="22">
        <v>2</v>
      </c>
      <c r="H2536" s="22">
        <v>2003</v>
      </c>
      <c r="I2536" s="22" t="s">
        <v>118</v>
      </c>
      <c r="J2536" s="20">
        <v>90</v>
      </c>
      <c r="K2536" s="20">
        <f>Sales!$B2536-Sales!$J2536</f>
        <v>10</v>
      </c>
      <c r="L2536" s="23">
        <f>(Sales!$J2536-Sales!$B2536)/Sales!$J2536</f>
        <v>-0.1111111111111111</v>
      </c>
      <c r="M2536" s="23" t="str">
        <f t="shared" si="39"/>
        <v>Below 0%</v>
      </c>
      <c r="N2536" s="22" t="s">
        <v>113</v>
      </c>
      <c r="O2536" s="22" t="s">
        <v>61</v>
      </c>
      <c r="P2536" s="22" t="s">
        <v>17</v>
      </c>
      <c r="Q2536" s="22" t="s">
        <v>19</v>
      </c>
    </row>
    <row r="2537" spans="1:17" x14ac:dyDescent="0.3">
      <c r="A2537" s="27">
        <v>29</v>
      </c>
      <c r="B2537" s="24">
        <v>94.14</v>
      </c>
      <c r="C2537" s="25">
        <f>Sales!$B2537*Sales!$A2537</f>
        <v>2730.06</v>
      </c>
      <c r="D2537" s="26">
        <v>37739</v>
      </c>
      <c r="E2537" s="27" t="s">
        <v>9</v>
      </c>
      <c r="F2537" s="27">
        <v>2</v>
      </c>
      <c r="G2537" s="27">
        <v>4</v>
      </c>
      <c r="H2537" s="27">
        <v>2003</v>
      </c>
      <c r="I2537" s="27" t="s">
        <v>118</v>
      </c>
      <c r="J2537" s="25">
        <v>90</v>
      </c>
      <c r="K2537" s="25">
        <f>Sales!$B2537-Sales!$J2537</f>
        <v>4.1400000000000006</v>
      </c>
      <c r="L2537" s="28">
        <f>(Sales!$J2537-Sales!$B2537)/Sales!$J2537</f>
        <v>-4.6000000000000006E-2</v>
      </c>
      <c r="M2537" s="28" t="str">
        <f t="shared" si="39"/>
        <v>Below 0%</v>
      </c>
      <c r="N2537" s="27" t="s">
        <v>37</v>
      </c>
      <c r="O2537" s="27" t="s">
        <v>38</v>
      </c>
      <c r="P2537" s="27" t="s">
        <v>17</v>
      </c>
      <c r="Q2537" s="27" t="s">
        <v>14</v>
      </c>
    </row>
    <row r="2538" spans="1:17" x14ac:dyDescent="0.3">
      <c r="A2538" s="22">
        <v>22</v>
      </c>
      <c r="B2538" s="19">
        <v>85.99</v>
      </c>
      <c r="C2538" s="20">
        <f>Sales!$B2538*Sales!$A2538</f>
        <v>1891.78</v>
      </c>
      <c r="D2538" s="21">
        <v>37788</v>
      </c>
      <c r="E2538" s="22" t="s">
        <v>9</v>
      </c>
      <c r="F2538" s="22">
        <v>2</v>
      </c>
      <c r="G2538" s="22">
        <v>6</v>
      </c>
      <c r="H2538" s="22">
        <v>2003</v>
      </c>
      <c r="I2538" s="22" t="s">
        <v>118</v>
      </c>
      <c r="J2538" s="20">
        <v>90</v>
      </c>
      <c r="K2538" s="20">
        <f>Sales!$B2538-Sales!$J2538</f>
        <v>-4.0100000000000051</v>
      </c>
      <c r="L2538" s="23">
        <f>(Sales!$J2538-Sales!$B2538)/Sales!$J2538</f>
        <v>4.4555555555555612E-2</v>
      </c>
      <c r="M2538" s="23" t="str">
        <f t="shared" si="39"/>
        <v>0%-5%</v>
      </c>
      <c r="N2538" s="22" t="s">
        <v>105</v>
      </c>
      <c r="O2538" s="22" t="s">
        <v>12</v>
      </c>
      <c r="P2538" s="22" t="s">
        <v>13</v>
      </c>
      <c r="Q2538" s="22" t="s">
        <v>14</v>
      </c>
    </row>
    <row r="2539" spans="1:17" x14ac:dyDescent="0.3">
      <c r="A2539" s="27">
        <v>26</v>
      </c>
      <c r="B2539" s="24">
        <v>100</v>
      </c>
      <c r="C2539" s="25">
        <f>Sales!$B2539*Sales!$A2539</f>
        <v>2600</v>
      </c>
      <c r="D2539" s="26">
        <v>37843</v>
      </c>
      <c r="E2539" s="27" t="s">
        <v>9</v>
      </c>
      <c r="F2539" s="27">
        <v>3</v>
      </c>
      <c r="G2539" s="27">
        <v>8</v>
      </c>
      <c r="H2539" s="27">
        <v>2003</v>
      </c>
      <c r="I2539" s="27" t="s">
        <v>118</v>
      </c>
      <c r="J2539" s="25">
        <v>90</v>
      </c>
      <c r="K2539" s="25">
        <f>Sales!$B2539-Sales!$J2539</f>
        <v>10</v>
      </c>
      <c r="L2539" s="28">
        <f>(Sales!$J2539-Sales!$B2539)/Sales!$J2539</f>
        <v>-0.1111111111111111</v>
      </c>
      <c r="M2539" s="28" t="str">
        <f t="shared" si="39"/>
        <v>Below 0%</v>
      </c>
      <c r="N2539" s="27" t="s">
        <v>41</v>
      </c>
      <c r="O2539" s="27" t="s">
        <v>12</v>
      </c>
      <c r="P2539" s="27" t="s">
        <v>13</v>
      </c>
      <c r="Q2539" s="27" t="s">
        <v>14</v>
      </c>
    </row>
    <row r="2540" spans="1:17" x14ac:dyDescent="0.3">
      <c r="A2540" s="22">
        <v>32</v>
      </c>
      <c r="B2540" s="19">
        <v>91.43</v>
      </c>
      <c r="C2540" s="20">
        <f>Sales!$B2540*Sales!$A2540</f>
        <v>2925.76</v>
      </c>
      <c r="D2540" s="21">
        <v>37900</v>
      </c>
      <c r="E2540" s="22" t="s">
        <v>9</v>
      </c>
      <c r="F2540" s="22">
        <v>4</v>
      </c>
      <c r="G2540" s="22">
        <v>10</v>
      </c>
      <c r="H2540" s="22">
        <v>2003</v>
      </c>
      <c r="I2540" s="22" t="s">
        <v>118</v>
      </c>
      <c r="J2540" s="20">
        <v>90</v>
      </c>
      <c r="K2540" s="20">
        <f>Sales!$B2540-Sales!$J2540</f>
        <v>1.4300000000000068</v>
      </c>
      <c r="L2540" s="23">
        <f>(Sales!$J2540-Sales!$B2540)/Sales!$J2540</f>
        <v>-1.5888888888888966E-2</v>
      </c>
      <c r="M2540" s="23" t="str">
        <f t="shared" si="39"/>
        <v>Below 0%</v>
      </c>
      <c r="N2540" s="22" t="s">
        <v>33</v>
      </c>
      <c r="O2540" s="22" t="s">
        <v>34</v>
      </c>
      <c r="P2540" s="22" t="s">
        <v>17</v>
      </c>
      <c r="Q2540" s="22" t="s">
        <v>14</v>
      </c>
    </row>
    <row r="2541" spans="1:17" x14ac:dyDescent="0.3">
      <c r="A2541" s="27">
        <v>29</v>
      </c>
      <c r="B2541" s="24">
        <v>100</v>
      </c>
      <c r="C2541" s="25">
        <f>Sales!$B2541*Sales!$A2541</f>
        <v>2900</v>
      </c>
      <c r="D2541" s="26">
        <v>37917</v>
      </c>
      <c r="E2541" s="27" t="s">
        <v>75</v>
      </c>
      <c r="F2541" s="27">
        <v>4</v>
      </c>
      <c r="G2541" s="27">
        <v>10</v>
      </c>
      <c r="H2541" s="27">
        <v>2003</v>
      </c>
      <c r="I2541" s="27" t="s">
        <v>118</v>
      </c>
      <c r="J2541" s="25">
        <v>90</v>
      </c>
      <c r="K2541" s="25">
        <f>Sales!$B2541-Sales!$J2541</f>
        <v>10</v>
      </c>
      <c r="L2541" s="28">
        <f>(Sales!$J2541-Sales!$B2541)/Sales!$J2541</f>
        <v>-0.1111111111111111</v>
      </c>
      <c r="M2541" s="28" t="str">
        <f t="shared" si="39"/>
        <v>Below 0%</v>
      </c>
      <c r="N2541" s="27" t="s">
        <v>62</v>
      </c>
      <c r="O2541" s="27" t="s">
        <v>49</v>
      </c>
      <c r="P2541" s="27" t="s">
        <v>17</v>
      </c>
      <c r="Q2541" s="27" t="s">
        <v>14</v>
      </c>
    </row>
    <row r="2542" spans="1:17" x14ac:dyDescent="0.3">
      <c r="A2542" s="22">
        <v>34</v>
      </c>
      <c r="B2542" s="19">
        <v>96.86</v>
      </c>
      <c r="C2542" s="20">
        <f>Sales!$B2542*Sales!$A2542</f>
        <v>3293.24</v>
      </c>
      <c r="D2542" s="21">
        <v>37933</v>
      </c>
      <c r="E2542" s="22" t="s">
        <v>9</v>
      </c>
      <c r="F2542" s="22">
        <v>4</v>
      </c>
      <c r="G2542" s="22">
        <v>11</v>
      </c>
      <c r="H2542" s="22">
        <v>2003</v>
      </c>
      <c r="I2542" s="22" t="s">
        <v>118</v>
      </c>
      <c r="J2542" s="20">
        <v>90</v>
      </c>
      <c r="K2542" s="20">
        <f>Sales!$B2542-Sales!$J2542</f>
        <v>6.8599999999999994</v>
      </c>
      <c r="L2542" s="23">
        <f>(Sales!$J2542-Sales!$B2542)/Sales!$J2542</f>
        <v>-7.6222222222222219E-2</v>
      </c>
      <c r="M2542" s="23" t="str">
        <f t="shared" si="39"/>
        <v>Below 0%</v>
      </c>
      <c r="N2542" s="22" t="s">
        <v>76</v>
      </c>
      <c r="O2542" s="22" t="s">
        <v>16</v>
      </c>
      <c r="P2542" s="22" t="s">
        <v>17</v>
      </c>
      <c r="Q2542" s="22" t="s">
        <v>19</v>
      </c>
    </row>
    <row r="2543" spans="1:17" x14ac:dyDescent="0.3">
      <c r="A2543" s="27">
        <v>24</v>
      </c>
      <c r="B2543" s="24">
        <v>99.57</v>
      </c>
      <c r="C2543" s="25">
        <f>Sales!$B2543*Sales!$A2543</f>
        <v>2389.6799999999998</v>
      </c>
      <c r="D2543" s="26">
        <v>37939</v>
      </c>
      <c r="E2543" s="27" t="s">
        <v>9</v>
      </c>
      <c r="F2543" s="27">
        <v>4</v>
      </c>
      <c r="G2543" s="27">
        <v>11</v>
      </c>
      <c r="H2543" s="27">
        <v>2003</v>
      </c>
      <c r="I2543" s="27" t="s">
        <v>118</v>
      </c>
      <c r="J2543" s="25">
        <v>90</v>
      </c>
      <c r="K2543" s="25">
        <f>Sales!$B2543-Sales!$J2543</f>
        <v>9.5699999999999932</v>
      </c>
      <c r="L2543" s="28">
        <f>(Sales!$J2543-Sales!$B2543)/Sales!$J2543</f>
        <v>-0.10633333333333325</v>
      </c>
      <c r="M2543" s="28" t="str">
        <f t="shared" si="39"/>
        <v>Below 0%</v>
      </c>
      <c r="N2543" s="27" t="s">
        <v>74</v>
      </c>
      <c r="O2543" s="27" t="s">
        <v>43</v>
      </c>
      <c r="P2543" s="27" t="s">
        <v>17</v>
      </c>
      <c r="Q2543" s="27" t="s">
        <v>14</v>
      </c>
    </row>
    <row r="2544" spans="1:17" x14ac:dyDescent="0.3">
      <c r="A2544" s="22">
        <v>24</v>
      </c>
      <c r="B2544" s="19">
        <v>90.52</v>
      </c>
      <c r="C2544" s="20">
        <f>Sales!$B2544*Sales!$A2544</f>
        <v>2172.48</v>
      </c>
      <c r="D2544" s="21">
        <v>37951</v>
      </c>
      <c r="E2544" s="22" t="s">
        <v>9</v>
      </c>
      <c r="F2544" s="22">
        <v>4</v>
      </c>
      <c r="G2544" s="22">
        <v>11</v>
      </c>
      <c r="H2544" s="22">
        <v>2003</v>
      </c>
      <c r="I2544" s="22" t="s">
        <v>118</v>
      </c>
      <c r="J2544" s="20">
        <v>90</v>
      </c>
      <c r="K2544" s="20">
        <f>Sales!$B2544-Sales!$J2544</f>
        <v>0.51999999999999602</v>
      </c>
      <c r="L2544" s="23">
        <f>(Sales!$J2544-Sales!$B2544)/Sales!$J2544</f>
        <v>-5.7777777777777333E-3</v>
      </c>
      <c r="M2544" s="23" t="str">
        <f t="shared" si="39"/>
        <v>Below 0%</v>
      </c>
      <c r="N2544" s="22" t="s">
        <v>77</v>
      </c>
      <c r="O2544" s="22" t="s">
        <v>46</v>
      </c>
      <c r="P2544" s="22" t="s">
        <v>17</v>
      </c>
      <c r="Q2544" s="22" t="s">
        <v>14</v>
      </c>
    </row>
    <row r="2545" spans="1:17" x14ac:dyDescent="0.3">
      <c r="A2545" s="27">
        <v>33</v>
      </c>
      <c r="B2545" s="24">
        <v>88.71</v>
      </c>
      <c r="C2545" s="25">
        <f>Sales!$B2545*Sales!$A2545</f>
        <v>2927.43</v>
      </c>
      <c r="D2545" s="26">
        <v>37995</v>
      </c>
      <c r="E2545" s="27" t="s">
        <v>9</v>
      </c>
      <c r="F2545" s="27">
        <v>1</v>
      </c>
      <c r="G2545" s="27">
        <v>1</v>
      </c>
      <c r="H2545" s="27">
        <v>2004</v>
      </c>
      <c r="I2545" s="27" t="s">
        <v>118</v>
      </c>
      <c r="J2545" s="25">
        <v>90</v>
      </c>
      <c r="K2545" s="25">
        <f>Sales!$B2545-Sales!$J2545</f>
        <v>-1.2900000000000063</v>
      </c>
      <c r="L2545" s="28">
        <f>(Sales!$J2545-Sales!$B2545)/Sales!$J2545</f>
        <v>1.4333333333333403E-2</v>
      </c>
      <c r="M2545" s="28" t="str">
        <f t="shared" si="39"/>
        <v>0%-5%</v>
      </c>
      <c r="N2545" s="27" t="s">
        <v>78</v>
      </c>
      <c r="O2545" s="27" t="s">
        <v>12</v>
      </c>
      <c r="P2545" s="27" t="s">
        <v>13</v>
      </c>
      <c r="Q2545" s="27" t="s">
        <v>14</v>
      </c>
    </row>
    <row r="2546" spans="1:17" x14ac:dyDescent="0.3">
      <c r="A2546" s="22">
        <v>26</v>
      </c>
      <c r="B2546" s="19">
        <v>100</v>
      </c>
      <c r="C2546" s="20">
        <f>Sales!$B2546*Sales!$A2546</f>
        <v>2600</v>
      </c>
      <c r="D2546" s="21">
        <v>38036</v>
      </c>
      <c r="E2546" s="22" t="s">
        <v>9</v>
      </c>
      <c r="F2546" s="22">
        <v>1</v>
      </c>
      <c r="G2546" s="22">
        <v>2</v>
      </c>
      <c r="H2546" s="22">
        <v>2004</v>
      </c>
      <c r="I2546" s="22" t="s">
        <v>118</v>
      </c>
      <c r="J2546" s="20">
        <v>90</v>
      </c>
      <c r="K2546" s="20">
        <f>Sales!$B2546-Sales!$J2546</f>
        <v>10</v>
      </c>
      <c r="L2546" s="23">
        <f>(Sales!$J2546-Sales!$B2546)/Sales!$J2546</f>
        <v>-0.1111111111111111</v>
      </c>
      <c r="M2546" s="23" t="str">
        <f t="shared" si="39"/>
        <v>Below 0%</v>
      </c>
      <c r="N2546" s="22" t="s">
        <v>79</v>
      </c>
      <c r="O2546" s="22" t="s">
        <v>12</v>
      </c>
      <c r="P2546" s="22" t="s">
        <v>13</v>
      </c>
      <c r="Q2546" s="22" t="s">
        <v>14</v>
      </c>
    </row>
    <row r="2547" spans="1:17" x14ac:dyDescent="0.3">
      <c r="A2547" s="27">
        <v>40</v>
      </c>
      <c r="B2547" s="24">
        <v>95.95</v>
      </c>
      <c r="C2547" s="25">
        <f>Sales!$B2547*Sales!$A2547</f>
        <v>3838</v>
      </c>
      <c r="D2547" s="26">
        <v>38115</v>
      </c>
      <c r="E2547" s="27" t="s">
        <v>9</v>
      </c>
      <c r="F2547" s="27">
        <v>2</v>
      </c>
      <c r="G2547" s="27">
        <v>5</v>
      </c>
      <c r="H2547" s="27">
        <v>2004</v>
      </c>
      <c r="I2547" s="27" t="s">
        <v>118</v>
      </c>
      <c r="J2547" s="25">
        <v>90</v>
      </c>
      <c r="K2547" s="25">
        <f>Sales!$B2547-Sales!$J2547</f>
        <v>5.9500000000000028</v>
      </c>
      <c r="L2547" s="28">
        <f>(Sales!$J2547-Sales!$B2547)/Sales!$J2547</f>
        <v>-6.6111111111111148E-2</v>
      </c>
      <c r="M2547" s="28" t="str">
        <f t="shared" si="39"/>
        <v>Below 0%</v>
      </c>
      <c r="N2547" s="27" t="s">
        <v>32</v>
      </c>
      <c r="O2547" s="27" t="s">
        <v>12</v>
      </c>
      <c r="P2547" s="27" t="s">
        <v>13</v>
      </c>
      <c r="Q2547" s="27" t="s">
        <v>19</v>
      </c>
    </row>
    <row r="2548" spans="1:17" x14ac:dyDescent="0.3">
      <c r="A2548" s="22">
        <v>44</v>
      </c>
      <c r="B2548" s="19">
        <v>94.14</v>
      </c>
      <c r="C2548" s="20">
        <f>Sales!$B2548*Sales!$A2548</f>
        <v>4142.16</v>
      </c>
      <c r="D2548" s="21">
        <v>38162</v>
      </c>
      <c r="E2548" s="22" t="s">
        <v>75</v>
      </c>
      <c r="F2548" s="22">
        <v>2</v>
      </c>
      <c r="G2548" s="22">
        <v>6</v>
      </c>
      <c r="H2548" s="22">
        <v>2004</v>
      </c>
      <c r="I2548" s="22" t="s">
        <v>118</v>
      </c>
      <c r="J2548" s="20">
        <v>90</v>
      </c>
      <c r="K2548" s="20">
        <f>Sales!$B2548-Sales!$J2548</f>
        <v>4.1400000000000006</v>
      </c>
      <c r="L2548" s="23">
        <f>(Sales!$J2548-Sales!$B2548)/Sales!$J2548</f>
        <v>-4.6000000000000006E-2</v>
      </c>
      <c r="M2548" s="23" t="str">
        <f t="shared" si="39"/>
        <v>Below 0%</v>
      </c>
      <c r="N2548" s="22" t="s">
        <v>45</v>
      </c>
      <c r="O2548" s="22" t="s">
        <v>46</v>
      </c>
      <c r="P2548" s="22" t="s">
        <v>17</v>
      </c>
      <c r="Q2548" s="22" t="s">
        <v>19</v>
      </c>
    </row>
    <row r="2549" spans="1:17" x14ac:dyDescent="0.3">
      <c r="A2549" s="27">
        <v>24</v>
      </c>
      <c r="B2549" s="24">
        <v>90.52</v>
      </c>
      <c r="C2549" s="25">
        <f>Sales!$B2549*Sales!$A2549</f>
        <v>2172.48</v>
      </c>
      <c r="D2549" s="26">
        <v>38189</v>
      </c>
      <c r="E2549" s="27" t="s">
        <v>9</v>
      </c>
      <c r="F2549" s="27">
        <v>3</v>
      </c>
      <c r="G2549" s="27">
        <v>7</v>
      </c>
      <c r="H2549" s="27">
        <v>2004</v>
      </c>
      <c r="I2549" s="27" t="s">
        <v>118</v>
      </c>
      <c r="J2549" s="25">
        <v>90</v>
      </c>
      <c r="K2549" s="25">
        <f>Sales!$B2549-Sales!$J2549</f>
        <v>0.51999999999999602</v>
      </c>
      <c r="L2549" s="28">
        <f>(Sales!$J2549-Sales!$B2549)/Sales!$J2549</f>
        <v>-5.7777777777777333E-3</v>
      </c>
      <c r="M2549" s="28" t="str">
        <f t="shared" si="39"/>
        <v>Below 0%</v>
      </c>
      <c r="N2549" s="27" t="s">
        <v>66</v>
      </c>
      <c r="O2549" s="27" t="s">
        <v>12</v>
      </c>
      <c r="P2549" s="27" t="s">
        <v>13</v>
      </c>
      <c r="Q2549" s="27" t="s">
        <v>14</v>
      </c>
    </row>
    <row r="2550" spans="1:17" x14ac:dyDescent="0.3">
      <c r="A2550" s="22">
        <v>20</v>
      </c>
      <c r="B2550" s="19">
        <v>94.14</v>
      </c>
      <c r="C2550" s="20">
        <f>Sales!$B2550*Sales!$A2550</f>
        <v>1882.8</v>
      </c>
      <c r="D2550" s="21">
        <v>38219</v>
      </c>
      <c r="E2550" s="22" t="s">
        <v>9</v>
      </c>
      <c r="F2550" s="22">
        <v>3</v>
      </c>
      <c r="G2550" s="22">
        <v>8</v>
      </c>
      <c r="H2550" s="22">
        <v>2004</v>
      </c>
      <c r="I2550" s="22" t="s">
        <v>118</v>
      </c>
      <c r="J2550" s="20">
        <v>90</v>
      </c>
      <c r="K2550" s="20">
        <f>Sales!$B2550-Sales!$J2550</f>
        <v>4.1400000000000006</v>
      </c>
      <c r="L2550" s="23">
        <f>(Sales!$J2550-Sales!$B2550)/Sales!$J2550</f>
        <v>-4.6000000000000006E-2</v>
      </c>
      <c r="M2550" s="23" t="str">
        <f t="shared" si="39"/>
        <v>Below 0%</v>
      </c>
      <c r="N2550" s="22" t="s">
        <v>82</v>
      </c>
      <c r="O2550" s="22" t="s">
        <v>56</v>
      </c>
      <c r="P2550" s="22" t="s">
        <v>13</v>
      </c>
      <c r="Q2550" s="22" t="s">
        <v>14</v>
      </c>
    </row>
    <row r="2551" spans="1:17" x14ac:dyDescent="0.3">
      <c r="A2551" s="27">
        <v>34</v>
      </c>
      <c r="B2551" s="24">
        <v>100</v>
      </c>
      <c r="C2551" s="25">
        <f>Sales!$B2551*Sales!$A2551</f>
        <v>3400</v>
      </c>
      <c r="D2551" s="26">
        <v>38245</v>
      </c>
      <c r="E2551" s="27" t="s">
        <v>9</v>
      </c>
      <c r="F2551" s="27">
        <v>3</v>
      </c>
      <c r="G2551" s="27">
        <v>9</v>
      </c>
      <c r="H2551" s="27">
        <v>2004</v>
      </c>
      <c r="I2551" s="27" t="s">
        <v>118</v>
      </c>
      <c r="J2551" s="25">
        <v>90</v>
      </c>
      <c r="K2551" s="25">
        <f>Sales!$B2551-Sales!$J2551</f>
        <v>10</v>
      </c>
      <c r="L2551" s="28">
        <f>(Sales!$J2551-Sales!$B2551)/Sales!$J2551</f>
        <v>-0.1111111111111111</v>
      </c>
      <c r="M2551" s="28" t="str">
        <f t="shared" si="39"/>
        <v>Below 0%</v>
      </c>
      <c r="N2551" s="27" t="s">
        <v>116</v>
      </c>
      <c r="O2551" s="27" t="s">
        <v>94</v>
      </c>
      <c r="P2551" s="27" t="s">
        <v>17</v>
      </c>
      <c r="Q2551" s="27" t="s">
        <v>19</v>
      </c>
    </row>
    <row r="2552" spans="1:17" x14ac:dyDescent="0.3">
      <c r="A2552" s="22">
        <v>34</v>
      </c>
      <c r="B2552" s="19">
        <v>97.76</v>
      </c>
      <c r="C2552" s="20">
        <f>Sales!$B2552*Sales!$A2552</f>
        <v>3323.84</v>
      </c>
      <c r="D2552" s="21">
        <v>38274</v>
      </c>
      <c r="E2552" s="22" t="s">
        <v>9</v>
      </c>
      <c r="F2552" s="22">
        <v>4</v>
      </c>
      <c r="G2552" s="22">
        <v>10</v>
      </c>
      <c r="H2552" s="22">
        <v>2004</v>
      </c>
      <c r="I2552" s="22" t="s">
        <v>118</v>
      </c>
      <c r="J2552" s="20">
        <v>90</v>
      </c>
      <c r="K2552" s="20">
        <f>Sales!$B2552-Sales!$J2552</f>
        <v>7.7600000000000051</v>
      </c>
      <c r="L2552" s="23">
        <f>(Sales!$J2552-Sales!$B2552)/Sales!$J2552</f>
        <v>-8.6222222222222283E-2</v>
      </c>
      <c r="M2552" s="23" t="str">
        <f t="shared" si="39"/>
        <v>Below 0%</v>
      </c>
      <c r="N2552" s="22" t="s">
        <v>53</v>
      </c>
      <c r="O2552" s="22" t="s">
        <v>12</v>
      </c>
      <c r="P2552" s="22" t="s">
        <v>13</v>
      </c>
      <c r="Q2552" s="22" t="s">
        <v>19</v>
      </c>
    </row>
    <row r="2553" spans="1:17" x14ac:dyDescent="0.3">
      <c r="A2553" s="27">
        <v>45</v>
      </c>
      <c r="B2553" s="24">
        <v>93.24</v>
      </c>
      <c r="C2553" s="25">
        <f>Sales!$B2553*Sales!$A2553</f>
        <v>4195.8</v>
      </c>
      <c r="D2553" s="26">
        <v>38292</v>
      </c>
      <c r="E2553" s="27" t="s">
        <v>9</v>
      </c>
      <c r="F2553" s="27">
        <v>4</v>
      </c>
      <c r="G2553" s="27">
        <v>11</v>
      </c>
      <c r="H2553" s="27">
        <v>2004</v>
      </c>
      <c r="I2553" s="27" t="s">
        <v>118</v>
      </c>
      <c r="J2553" s="25">
        <v>90</v>
      </c>
      <c r="K2553" s="25">
        <f>Sales!$B2553-Sales!$J2553</f>
        <v>3.2399999999999949</v>
      </c>
      <c r="L2553" s="28">
        <f>(Sales!$J2553-Sales!$B2553)/Sales!$J2553</f>
        <v>-3.5999999999999942E-2</v>
      </c>
      <c r="M2553" s="28" t="str">
        <f t="shared" si="39"/>
        <v>Below 0%</v>
      </c>
      <c r="N2553" s="27" t="s">
        <v>84</v>
      </c>
      <c r="O2553" s="27" t="s">
        <v>43</v>
      </c>
      <c r="P2553" s="27" t="s">
        <v>17</v>
      </c>
      <c r="Q2553" s="27" t="s">
        <v>19</v>
      </c>
    </row>
    <row r="2554" spans="1:17" x14ac:dyDescent="0.3">
      <c r="A2554" s="22">
        <v>41</v>
      </c>
      <c r="B2554" s="19">
        <v>100</v>
      </c>
      <c r="C2554" s="20">
        <f>Sales!$B2554*Sales!$A2554</f>
        <v>4100</v>
      </c>
      <c r="D2554" s="21">
        <v>38303</v>
      </c>
      <c r="E2554" s="22" t="s">
        <v>9</v>
      </c>
      <c r="F2554" s="22">
        <v>4</v>
      </c>
      <c r="G2554" s="22">
        <v>11</v>
      </c>
      <c r="H2554" s="22">
        <v>2004</v>
      </c>
      <c r="I2554" s="22" t="s">
        <v>118</v>
      </c>
      <c r="J2554" s="20">
        <v>90</v>
      </c>
      <c r="K2554" s="20">
        <f>Sales!$B2554-Sales!$J2554</f>
        <v>10</v>
      </c>
      <c r="L2554" s="23">
        <f>(Sales!$J2554-Sales!$B2554)/Sales!$J2554</f>
        <v>-0.1111111111111111</v>
      </c>
      <c r="M2554" s="23" t="str">
        <f t="shared" si="39"/>
        <v>Below 0%</v>
      </c>
      <c r="N2554" s="22" t="s">
        <v>113</v>
      </c>
      <c r="O2554" s="22" t="s">
        <v>61</v>
      </c>
      <c r="P2554" s="22" t="s">
        <v>17</v>
      </c>
      <c r="Q2554" s="22" t="s">
        <v>19</v>
      </c>
    </row>
    <row r="2555" spans="1:17" x14ac:dyDescent="0.3">
      <c r="A2555" s="27">
        <v>55</v>
      </c>
      <c r="B2555" s="24">
        <v>71.25</v>
      </c>
      <c r="C2555" s="25">
        <f>Sales!$B2555*Sales!$A2555</f>
        <v>3918.75</v>
      </c>
      <c r="D2555" s="26">
        <v>38314</v>
      </c>
      <c r="E2555" s="27" t="s">
        <v>9</v>
      </c>
      <c r="F2555" s="27">
        <v>4</v>
      </c>
      <c r="G2555" s="27">
        <v>11</v>
      </c>
      <c r="H2555" s="27">
        <v>2004</v>
      </c>
      <c r="I2555" s="27" t="s">
        <v>118</v>
      </c>
      <c r="J2555" s="25">
        <v>90</v>
      </c>
      <c r="K2555" s="25">
        <f>Sales!$B2555-Sales!$J2555</f>
        <v>-18.75</v>
      </c>
      <c r="L2555" s="28">
        <f>(Sales!$J2555-Sales!$B2555)/Sales!$J2555</f>
        <v>0.20833333333333334</v>
      </c>
      <c r="M2555" s="28" t="str">
        <f t="shared" si="39"/>
        <v>+20%</v>
      </c>
      <c r="N2555" s="27" t="s">
        <v>59</v>
      </c>
      <c r="O2555" s="27" t="s">
        <v>51</v>
      </c>
      <c r="P2555" s="27" t="s">
        <v>51</v>
      </c>
      <c r="Q2555" s="27" t="s">
        <v>19</v>
      </c>
    </row>
    <row r="2556" spans="1:17" x14ac:dyDescent="0.3">
      <c r="A2556" s="22">
        <v>23</v>
      </c>
      <c r="B2556" s="19">
        <v>100</v>
      </c>
      <c r="C2556" s="20">
        <f>Sales!$B2556*Sales!$A2556</f>
        <v>2300</v>
      </c>
      <c r="D2556" s="21">
        <v>38324</v>
      </c>
      <c r="E2556" s="22" t="s">
        <v>9</v>
      </c>
      <c r="F2556" s="22">
        <v>4</v>
      </c>
      <c r="G2556" s="22">
        <v>12</v>
      </c>
      <c r="H2556" s="22">
        <v>2004</v>
      </c>
      <c r="I2556" s="22" t="s">
        <v>118</v>
      </c>
      <c r="J2556" s="20">
        <v>90</v>
      </c>
      <c r="K2556" s="20">
        <f>Sales!$B2556-Sales!$J2556</f>
        <v>10</v>
      </c>
      <c r="L2556" s="23">
        <f>(Sales!$J2556-Sales!$B2556)/Sales!$J2556</f>
        <v>-0.1111111111111111</v>
      </c>
      <c r="M2556" s="23" t="str">
        <f t="shared" si="39"/>
        <v>Below 0%</v>
      </c>
      <c r="N2556" s="22" t="s">
        <v>66</v>
      </c>
      <c r="O2556" s="22" t="s">
        <v>12</v>
      </c>
      <c r="P2556" s="22" t="s">
        <v>13</v>
      </c>
      <c r="Q2556" s="22" t="s">
        <v>14</v>
      </c>
    </row>
    <row r="2557" spans="1:17" x14ac:dyDescent="0.3">
      <c r="A2557" s="27">
        <v>24</v>
      </c>
      <c r="B2557" s="24">
        <v>45.39</v>
      </c>
      <c r="C2557" s="25">
        <f>Sales!$B2557*Sales!$A2557</f>
        <v>1089.3600000000001</v>
      </c>
      <c r="D2557" s="26">
        <v>38338</v>
      </c>
      <c r="E2557" s="27" t="s">
        <v>9</v>
      </c>
      <c r="F2557" s="27">
        <v>4</v>
      </c>
      <c r="G2557" s="27">
        <v>12</v>
      </c>
      <c r="H2557" s="27">
        <v>2004</v>
      </c>
      <c r="I2557" s="27" t="s">
        <v>118</v>
      </c>
      <c r="J2557" s="25">
        <v>90</v>
      </c>
      <c r="K2557" s="25">
        <f>Sales!$B2557-Sales!$J2557</f>
        <v>-44.61</v>
      </c>
      <c r="L2557" s="28">
        <f>(Sales!$J2557-Sales!$B2557)/Sales!$J2557</f>
        <v>0.49566666666666664</v>
      </c>
      <c r="M2557" s="28" t="str">
        <f t="shared" si="39"/>
        <v>+20%</v>
      </c>
      <c r="N2557" s="27" t="s">
        <v>40</v>
      </c>
      <c r="O2557" s="27" t="s">
        <v>27</v>
      </c>
      <c r="P2557" s="27" t="s">
        <v>28</v>
      </c>
      <c r="Q2557" s="27" t="s">
        <v>14</v>
      </c>
    </row>
    <row r="2558" spans="1:17" x14ac:dyDescent="0.3">
      <c r="A2558" s="22">
        <v>32</v>
      </c>
      <c r="B2558" s="19">
        <v>84.41</v>
      </c>
      <c r="C2558" s="20">
        <f>Sales!$B2558*Sales!$A2558</f>
        <v>2701.12</v>
      </c>
      <c r="D2558" s="21">
        <v>38383</v>
      </c>
      <c r="E2558" s="22" t="s">
        <v>9</v>
      </c>
      <c r="F2558" s="22">
        <v>1</v>
      </c>
      <c r="G2558" s="22">
        <v>1</v>
      </c>
      <c r="H2558" s="22">
        <v>2005</v>
      </c>
      <c r="I2558" s="22" t="s">
        <v>118</v>
      </c>
      <c r="J2558" s="20">
        <v>90</v>
      </c>
      <c r="K2558" s="20">
        <f>Sales!$B2558-Sales!$J2558</f>
        <v>-5.5900000000000034</v>
      </c>
      <c r="L2558" s="23">
        <f>(Sales!$J2558-Sales!$B2558)/Sales!$J2558</f>
        <v>6.2111111111111152E-2</v>
      </c>
      <c r="M2558" s="23" t="str">
        <f t="shared" si="39"/>
        <v>5%-10%</v>
      </c>
      <c r="N2558" s="22" t="s">
        <v>85</v>
      </c>
      <c r="O2558" s="22" t="s">
        <v>34</v>
      </c>
      <c r="P2558" s="22" t="s">
        <v>17</v>
      </c>
      <c r="Q2558" s="22" t="s">
        <v>14</v>
      </c>
    </row>
    <row r="2559" spans="1:17" x14ac:dyDescent="0.3">
      <c r="A2559" s="27">
        <v>29</v>
      </c>
      <c r="B2559" s="24">
        <v>85.76</v>
      </c>
      <c r="C2559" s="25">
        <f>Sales!$B2559*Sales!$A2559</f>
        <v>2487.04</v>
      </c>
      <c r="D2559" s="26">
        <v>38412</v>
      </c>
      <c r="E2559" s="27" t="s">
        <v>88</v>
      </c>
      <c r="F2559" s="27">
        <v>1</v>
      </c>
      <c r="G2559" s="27">
        <v>3</v>
      </c>
      <c r="H2559" s="27">
        <v>2005</v>
      </c>
      <c r="I2559" s="27" t="s">
        <v>118</v>
      </c>
      <c r="J2559" s="25">
        <v>90</v>
      </c>
      <c r="K2559" s="25">
        <f>Sales!$B2559-Sales!$J2559</f>
        <v>-4.2399999999999949</v>
      </c>
      <c r="L2559" s="28">
        <f>(Sales!$J2559-Sales!$B2559)/Sales!$J2559</f>
        <v>4.7111111111111055E-2</v>
      </c>
      <c r="M2559" s="28" t="str">
        <f t="shared" si="39"/>
        <v>0%-5%</v>
      </c>
      <c r="N2559" s="27" t="s">
        <v>45</v>
      </c>
      <c r="O2559" s="27" t="s">
        <v>46</v>
      </c>
      <c r="P2559" s="27" t="s">
        <v>17</v>
      </c>
      <c r="Q2559" s="27" t="s">
        <v>14</v>
      </c>
    </row>
    <row r="2560" spans="1:17" x14ac:dyDescent="0.3">
      <c r="A2560" s="22">
        <v>36</v>
      </c>
      <c r="B2560" s="19">
        <v>100</v>
      </c>
      <c r="C2560" s="20">
        <f>Sales!$B2560*Sales!$A2560</f>
        <v>3600</v>
      </c>
      <c r="D2560" s="21">
        <v>38441</v>
      </c>
      <c r="E2560" s="22" t="s">
        <v>9</v>
      </c>
      <c r="F2560" s="22">
        <v>1</v>
      </c>
      <c r="G2560" s="22">
        <v>3</v>
      </c>
      <c r="H2560" s="22">
        <v>2005</v>
      </c>
      <c r="I2560" s="22" t="s">
        <v>118</v>
      </c>
      <c r="J2560" s="20">
        <v>90</v>
      </c>
      <c r="K2560" s="20">
        <f>Sales!$B2560-Sales!$J2560</f>
        <v>10</v>
      </c>
      <c r="L2560" s="23">
        <f>(Sales!$J2560-Sales!$B2560)/Sales!$J2560</f>
        <v>-0.1111111111111111</v>
      </c>
      <c r="M2560" s="23" t="str">
        <f t="shared" si="39"/>
        <v>Below 0%</v>
      </c>
      <c r="N2560" s="22" t="s">
        <v>15</v>
      </c>
      <c r="O2560" s="22" t="s">
        <v>16</v>
      </c>
      <c r="P2560" s="22" t="s">
        <v>17</v>
      </c>
      <c r="Q2560" s="22" t="s">
        <v>19</v>
      </c>
    </row>
    <row r="2561" spans="1:17" x14ac:dyDescent="0.3">
      <c r="A2561" s="27">
        <v>46</v>
      </c>
      <c r="B2561" s="24">
        <v>87.8</v>
      </c>
      <c r="C2561" s="25">
        <f>Sales!$B2561*Sales!$A2561</f>
        <v>4038.7999999999997</v>
      </c>
      <c r="D2561" s="26">
        <v>38443</v>
      </c>
      <c r="E2561" s="27" t="s">
        <v>9</v>
      </c>
      <c r="F2561" s="27">
        <v>2</v>
      </c>
      <c r="G2561" s="27">
        <v>4</v>
      </c>
      <c r="H2561" s="27">
        <v>2005</v>
      </c>
      <c r="I2561" s="27" t="s">
        <v>118</v>
      </c>
      <c r="J2561" s="25">
        <v>90</v>
      </c>
      <c r="K2561" s="25">
        <f>Sales!$B2561-Sales!$J2561</f>
        <v>-2.2000000000000028</v>
      </c>
      <c r="L2561" s="28">
        <f>(Sales!$J2561-Sales!$B2561)/Sales!$J2561</f>
        <v>2.4444444444444477E-2</v>
      </c>
      <c r="M2561" s="28" t="str">
        <f t="shared" si="39"/>
        <v>0%-5%</v>
      </c>
      <c r="N2561" s="27" t="s">
        <v>86</v>
      </c>
      <c r="O2561" s="27" t="s">
        <v>12</v>
      </c>
      <c r="P2561" s="27" t="s">
        <v>13</v>
      </c>
      <c r="Q2561" s="27" t="s">
        <v>19</v>
      </c>
    </row>
    <row r="2562" spans="1:17" x14ac:dyDescent="0.3">
      <c r="A2562" s="22">
        <v>32</v>
      </c>
      <c r="B2562" s="19">
        <v>95.95</v>
      </c>
      <c r="C2562" s="20">
        <f>Sales!$B2562*Sales!$A2562</f>
        <v>3070.4</v>
      </c>
      <c r="D2562" s="21">
        <v>38481</v>
      </c>
      <c r="E2562" s="22" t="s">
        <v>44</v>
      </c>
      <c r="F2562" s="22">
        <v>2</v>
      </c>
      <c r="G2562" s="22">
        <v>5</v>
      </c>
      <c r="H2562" s="22">
        <v>2005</v>
      </c>
      <c r="I2562" s="22" t="s">
        <v>118</v>
      </c>
      <c r="J2562" s="20">
        <v>90</v>
      </c>
      <c r="K2562" s="20">
        <f>Sales!$B2562-Sales!$J2562</f>
        <v>5.9500000000000028</v>
      </c>
      <c r="L2562" s="23">
        <f>(Sales!$J2562-Sales!$B2562)/Sales!$J2562</f>
        <v>-6.6111111111111148E-2</v>
      </c>
      <c r="M2562" s="23" t="str">
        <f t="shared" si="39"/>
        <v>Below 0%</v>
      </c>
      <c r="N2562" s="22" t="s">
        <v>114</v>
      </c>
      <c r="O2562" s="22" t="s">
        <v>27</v>
      </c>
      <c r="P2562" s="22" t="s">
        <v>28</v>
      </c>
      <c r="Q2562" s="22" t="s">
        <v>19</v>
      </c>
    </row>
    <row r="2563" spans="1:17" x14ac:dyDescent="0.3">
      <c r="A2563" s="27">
        <v>34</v>
      </c>
      <c r="B2563" s="24">
        <v>100</v>
      </c>
      <c r="C2563" s="25">
        <f>Sales!$B2563*Sales!$A2563</f>
        <v>3400</v>
      </c>
      <c r="D2563" s="26">
        <v>37669</v>
      </c>
      <c r="E2563" s="27" t="s">
        <v>9</v>
      </c>
      <c r="F2563" s="27">
        <v>1</v>
      </c>
      <c r="G2563" s="27">
        <v>2</v>
      </c>
      <c r="H2563" s="27">
        <v>2003</v>
      </c>
      <c r="I2563" s="27" t="s">
        <v>115</v>
      </c>
      <c r="J2563" s="25">
        <v>99</v>
      </c>
      <c r="K2563" s="25">
        <f>Sales!$B2563-Sales!$J2563</f>
        <v>1</v>
      </c>
      <c r="L2563" s="28">
        <f>(Sales!$J2563-Sales!$B2563)/Sales!$J2563</f>
        <v>-1.0101010101010102E-2</v>
      </c>
      <c r="M2563" s="28" t="str">
        <f t="shared" ref="M2563:M2626" si="40">IF(L2563&lt;0%,"Below 0%",IF(L2563=0%,"0%",IF(AND(L2563&lt;=5%,L2563&gt;0%),"0%-5%",IF(AND(L2563&lt;=10%,L2563&gt;5%),"5%-10%",IF(AND(L2563&lt;=15%,L2563&gt;10%),"10%-15%",IF(AND(L2563&lt;=20%,L2563&gt;15%),"15%-20%","+20%"))))))</f>
        <v>Below 0%</v>
      </c>
      <c r="N2563" s="27" t="s">
        <v>113</v>
      </c>
      <c r="O2563" s="27" t="s">
        <v>61</v>
      </c>
      <c r="P2563" s="27" t="s">
        <v>17</v>
      </c>
      <c r="Q2563" s="27" t="s">
        <v>19</v>
      </c>
    </row>
    <row r="2564" spans="1:17" x14ac:dyDescent="0.3">
      <c r="A2564" s="22">
        <v>24</v>
      </c>
      <c r="B2564" s="19">
        <v>100</v>
      </c>
      <c r="C2564" s="20">
        <f>Sales!$B2564*Sales!$A2564</f>
        <v>2400</v>
      </c>
      <c r="D2564" s="21">
        <v>37740</v>
      </c>
      <c r="E2564" s="22" t="s">
        <v>9</v>
      </c>
      <c r="F2564" s="22">
        <v>2</v>
      </c>
      <c r="G2564" s="22">
        <v>4</v>
      </c>
      <c r="H2564" s="22">
        <v>2003</v>
      </c>
      <c r="I2564" s="22" t="s">
        <v>115</v>
      </c>
      <c r="J2564" s="20">
        <v>99</v>
      </c>
      <c r="K2564" s="20">
        <f>Sales!$B2564-Sales!$J2564</f>
        <v>1</v>
      </c>
      <c r="L2564" s="23">
        <f>(Sales!$J2564-Sales!$B2564)/Sales!$J2564</f>
        <v>-1.0101010101010102E-2</v>
      </c>
      <c r="M2564" s="23" t="str">
        <f t="shared" si="40"/>
        <v>Below 0%</v>
      </c>
      <c r="N2564" s="22" t="s">
        <v>26</v>
      </c>
      <c r="O2564" s="22" t="s">
        <v>27</v>
      </c>
      <c r="P2564" s="22" t="s">
        <v>28</v>
      </c>
      <c r="Q2564" s="22" t="s">
        <v>14</v>
      </c>
    </row>
    <row r="2565" spans="1:17" x14ac:dyDescent="0.3">
      <c r="A2565" s="27">
        <v>40</v>
      </c>
      <c r="B2565" s="24">
        <v>100</v>
      </c>
      <c r="C2565" s="25">
        <f>Sales!$B2565*Sales!$A2565</f>
        <v>4000</v>
      </c>
      <c r="D2565" s="26">
        <v>37788</v>
      </c>
      <c r="E2565" s="27" t="s">
        <v>9</v>
      </c>
      <c r="F2565" s="27">
        <v>2</v>
      </c>
      <c r="G2565" s="27">
        <v>6</v>
      </c>
      <c r="H2565" s="27">
        <v>2003</v>
      </c>
      <c r="I2565" s="27" t="s">
        <v>115</v>
      </c>
      <c r="J2565" s="25">
        <v>99</v>
      </c>
      <c r="K2565" s="25">
        <f>Sales!$B2565-Sales!$J2565</f>
        <v>1</v>
      </c>
      <c r="L2565" s="28">
        <f>(Sales!$J2565-Sales!$B2565)/Sales!$J2565</f>
        <v>-1.0101010101010102E-2</v>
      </c>
      <c r="M2565" s="28" t="str">
        <f t="shared" si="40"/>
        <v>Below 0%</v>
      </c>
      <c r="N2565" s="27" t="s">
        <v>105</v>
      </c>
      <c r="O2565" s="27" t="s">
        <v>12</v>
      </c>
      <c r="P2565" s="27" t="s">
        <v>13</v>
      </c>
      <c r="Q2565" s="27" t="s">
        <v>19</v>
      </c>
    </row>
    <row r="2566" spans="1:17" x14ac:dyDescent="0.3">
      <c r="A2566" s="22">
        <v>26</v>
      </c>
      <c r="B2566" s="19">
        <v>82.77</v>
      </c>
      <c r="C2566" s="20">
        <f>Sales!$B2566*Sales!$A2566</f>
        <v>2152.02</v>
      </c>
      <c r="D2566" s="21">
        <v>37843</v>
      </c>
      <c r="E2566" s="22" t="s">
        <v>9</v>
      </c>
      <c r="F2566" s="22">
        <v>3</v>
      </c>
      <c r="G2566" s="22">
        <v>8</v>
      </c>
      <c r="H2566" s="22">
        <v>2003</v>
      </c>
      <c r="I2566" s="22" t="s">
        <v>115</v>
      </c>
      <c r="J2566" s="20">
        <v>99</v>
      </c>
      <c r="K2566" s="20">
        <f>Sales!$B2566-Sales!$J2566</f>
        <v>-16.230000000000004</v>
      </c>
      <c r="L2566" s="23">
        <f>(Sales!$J2566-Sales!$B2566)/Sales!$J2566</f>
        <v>0.16393939393939397</v>
      </c>
      <c r="M2566" s="23" t="str">
        <f t="shared" si="40"/>
        <v>15%-20%</v>
      </c>
      <c r="N2566" s="22" t="s">
        <v>41</v>
      </c>
      <c r="O2566" s="22" t="s">
        <v>12</v>
      </c>
      <c r="P2566" s="22" t="s">
        <v>13</v>
      </c>
      <c r="Q2566" s="22" t="s">
        <v>14</v>
      </c>
    </row>
    <row r="2567" spans="1:17" x14ac:dyDescent="0.3">
      <c r="A2567" s="27">
        <v>20</v>
      </c>
      <c r="B2567" s="24">
        <v>100</v>
      </c>
      <c r="C2567" s="25">
        <f>Sales!$B2567*Sales!$A2567</f>
        <v>2000</v>
      </c>
      <c r="D2567" s="26">
        <v>37900</v>
      </c>
      <c r="E2567" s="27" t="s">
        <v>9</v>
      </c>
      <c r="F2567" s="27">
        <v>4</v>
      </c>
      <c r="G2567" s="27">
        <v>10</v>
      </c>
      <c r="H2567" s="27">
        <v>2003</v>
      </c>
      <c r="I2567" s="27" t="s">
        <v>115</v>
      </c>
      <c r="J2567" s="25">
        <v>99</v>
      </c>
      <c r="K2567" s="25">
        <f>Sales!$B2567-Sales!$J2567</f>
        <v>1</v>
      </c>
      <c r="L2567" s="28">
        <f>(Sales!$J2567-Sales!$B2567)/Sales!$J2567</f>
        <v>-1.0101010101010102E-2</v>
      </c>
      <c r="M2567" s="28" t="str">
        <f t="shared" si="40"/>
        <v>Below 0%</v>
      </c>
      <c r="N2567" s="27" t="s">
        <v>33</v>
      </c>
      <c r="O2567" s="27" t="s">
        <v>34</v>
      </c>
      <c r="P2567" s="27" t="s">
        <v>17</v>
      </c>
      <c r="Q2567" s="27" t="s">
        <v>14</v>
      </c>
    </row>
    <row r="2568" spans="1:17" x14ac:dyDescent="0.3">
      <c r="A2568" s="22">
        <v>31</v>
      </c>
      <c r="B2568" s="19">
        <v>100</v>
      </c>
      <c r="C2568" s="20">
        <f>Sales!$B2568*Sales!$A2568</f>
        <v>3100</v>
      </c>
      <c r="D2568" s="21">
        <v>37922</v>
      </c>
      <c r="E2568" s="22" t="s">
        <v>9</v>
      </c>
      <c r="F2568" s="22">
        <v>4</v>
      </c>
      <c r="G2568" s="22">
        <v>10</v>
      </c>
      <c r="H2568" s="22">
        <v>2003</v>
      </c>
      <c r="I2568" s="22" t="s">
        <v>115</v>
      </c>
      <c r="J2568" s="20">
        <v>99</v>
      </c>
      <c r="K2568" s="20">
        <f>Sales!$B2568-Sales!$J2568</f>
        <v>1</v>
      </c>
      <c r="L2568" s="23">
        <f>(Sales!$J2568-Sales!$B2568)/Sales!$J2568</f>
        <v>-1.0101010101010102E-2</v>
      </c>
      <c r="M2568" s="23" t="str">
        <f t="shared" si="40"/>
        <v>Below 0%</v>
      </c>
      <c r="N2568" s="22" t="s">
        <v>22</v>
      </c>
      <c r="O2568" s="22" t="s">
        <v>12</v>
      </c>
      <c r="P2568" s="22" t="s">
        <v>13</v>
      </c>
      <c r="Q2568" s="22" t="s">
        <v>19</v>
      </c>
    </row>
    <row r="2569" spans="1:17" x14ac:dyDescent="0.3">
      <c r="A2569" s="27">
        <v>22</v>
      </c>
      <c r="B2569" s="24">
        <v>87.75</v>
      </c>
      <c r="C2569" s="25">
        <f>Sales!$B2569*Sales!$A2569</f>
        <v>1930.5</v>
      </c>
      <c r="D2569" s="26">
        <v>37933</v>
      </c>
      <c r="E2569" s="27" t="s">
        <v>9</v>
      </c>
      <c r="F2569" s="27">
        <v>4</v>
      </c>
      <c r="G2569" s="27">
        <v>11</v>
      </c>
      <c r="H2569" s="27">
        <v>2003</v>
      </c>
      <c r="I2569" s="27" t="s">
        <v>115</v>
      </c>
      <c r="J2569" s="25">
        <v>99</v>
      </c>
      <c r="K2569" s="25">
        <f>Sales!$B2569-Sales!$J2569</f>
        <v>-11.25</v>
      </c>
      <c r="L2569" s="28">
        <f>(Sales!$J2569-Sales!$B2569)/Sales!$J2569</f>
        <v>0.11363636363636363</v>
      </c>
      <c r="M2569" s="28" t="str">
        <f t="shared" si="40"/>
        <v>10%-15%</v>
      </c>
      <c r="N2569" s="27" t="s">
        <v>76</v>
      </c>
      <c r="O2569" s="27" t="s">
        <v>16</v>
      </c>
      <c r="P2569" s="27" t="s">
        <v>17</v>
      </c>
      <c r="Q2569" s="27" t="s">
        <v>14</v>
      </c>
    </row>
    <row r="2570" spans="1:17" x14ac:dyDescent="0.3">
      <c r="A2570" s="22">
        <v>42</v>
      </c>
      <c r="B2570" s="19">
        <v>100</v>
      </c>
      <c r="C2570" s="20">
        <f>Sales!$B2570*Sales!$A2570</f>
        <v>4200</v>
      </c>
      <c r="D2570" s="21">
        <v>37952</v>
      </c>
      <c r="E2570" s="22" t="s">
        <v>9</v>
      </c>
      <c r="F2570" s="22">
        <v>4</v>
      </c>
      <c r="G2570" s="22">
        <v>11</v>
      </c>
      <c r="H2570" s="22">
        <v>2003</v>
      </c>
      <c r="I2570" s="22" t="s">
        <v>115</v>
      </c>
      <c r="J2570" s="20">
        <v>99</v>
      </c>
      <c r="K2570" s="20">
        <f>Sales!$B2570-Sales!$J2570</f>
        <v>1</v>
      </c>
      <c r="L2570" s="23">
        <f>(Sales!$J2570-Sales!$B2570)/Sales!$J2570</f>
        <v>-1.0101010101010102E-2</v>
      </c>
      <c r="M2570" s="23" t="str">
        <f t="shared" si="40"/>
        <v>Below 0%</v>
      </c>
      <c r="N2570" s="22" t="s">
        <v>90</v>
      </c>
      <c r="O2570" s="22" t="s">
        <v>91</v>
      </c>
      <c r="P2570" s="22" t="s">
        <v>28</v>
      </c>
      <c r="Q2570" s="22" t="s">
        <v>19</v>
      </c>
    </row>
    <row r="2571" spans="1:17" x14ac:dyDescent="0.3">
      <c r="A2571" s="27">
        <v>26</v>
      </c>
      <c r="B2571" s="24">
        <v>99.72</v>
      </c>
      <c r="C2571" s="25">
        <f>Sales!$B2571*Sales!$A2571</f>
        <v>2592.7199999999998</v>
      </c>
      <c r="D2571" s="26">
        <v>37998</v>
      </c>
      <c r="E2571" s="27" t="s">
        <v>9</v>
      </c>
      <c r="F2571" s="27">
        <v>1</v>
      </c>
      <c r="G2571" s="27">
        <v>1</v>
      </c>
      <c r="H2571" s="27">
        <v>2004</v>
      </c>
      <c r="I2571" s="27" t="s">
        <v>115</v>
      </c>
      <c r="J2571" s="25">
        <v>99</v>
      </c>
      <c r="K2571" s="25">
        <f>Sales!$B2571-Sales!$J2571</f>
        <v>0.71999999999999886</v>
      </c>
      <c r="L2571" s="28">
        <f>(Sales!$J2571-Sales!$B2571)/Sales!$J2571</f>
        <v>-7.2727272727272614E-3</v>
      </c>
      <c r="M2571" s="28" t="str">
        <f t="shared" si="40"/>
        <v>Below 0%</v>
      </c>
      <c r="N2571" s="27" t="s">
        <v>70</v>
      </c>
      <c r="O2571" s="27" t="s">
        <v>51</v>
      </c>
      <c r="P2571" s="27" t="s">
        <v>51</v>
      </c>
      <c r="Q2571" s="27" t="s">
        <v>14</v>
      </c>
    </row>
    <row r="2572" spans="1:17" x14ac:dyDescent="0.3">
      <c r="A2572" s="22">
        <v>37</v>
      </c>
      <c r="B2572" s="19">
        <v>87.75</v>
      </c>
      <c r="C2572" s="20">
        <f>Sales!$B2572*Sales!$A2572</f>
        <v>3246.75</v>
      </c>
      <c r="D2572" s="21">
        <v>38036</v>
      </c>
      <c r="E2572" s="22" t="s">
        <v>9</v>
      </c>
      <c r="F2572" s="22">
        <v>1</v>
      </c>
      <c r="G2572" s="22">
        <v>2</v>
      </c>
      <c r="H2572" s="22">
        <v>2004</v>
      </c>
      <c r="I2572" s="22" t="s">
        <v>115</v>
      </c>
      <c r="J2572" s="20">
        <v>99</v>
      </c>
      <c r="K2572" s="20">
        <f>Sales!$B2572-Sales!$J2572</f>
        <v>-11.25</v>
      </c>
      <c r="L2572" s="23">
        <f>(Sales!$J2572-Sales!$B2572)/Sales!$J2572</f>
        <v>0.11363636363636363</v>
      </c>
      <c r="M2572" s="23" t="str">
        <f t="shared" si="40"/>
        <v>10%-15%</v>
      </c>
      <c r="N2572" s="22" t="s">
        <v>79</v>
      </c>
      <c r="O2572" s="22" t="s">
        <v>12</v>
      </c>
      <c r="P2572" s="22" t="s">
        <v>13</v>
      </c>
      <c r="Q2572" s="22" t="s">
        <v>19</v>
      </c>
    </row>
    <row r="2573" spans="1:17" x14ac:dyDescent="0.3">
      <c r="A2573" s="27">
        <v>38</v>
      </c>
      <c r="B2573" s="24">
        <v>88.75</v>
      </c>
      <c r="C2573" s="25">
        <f>Sales!$B2573*Sales!$A2573</f>
        <v>3372.5</v>
      </c>
      <c r="D2573" s="26">
        <v>38079</v>
      </c>
      <c r="E2573" s="27" t="s">
        <v>9</v>
      </c>
      <c r="F2573" s="27">
        <v>2</v>
      </c>
      <c r="G2573" s="27">
        <v>4</v>
      </c>
      <c r="H2573" s="27">
        <v>2004</v>
      </c>
      <c r="I2573" s="27" t="s">
        <v>115</v>
      </c>
      <c r="J2573" s="25">
        <v>99</v>
      </c>
      <c r="K2573" s="25">
        <f>Sales!$B2573-Sales!$J2573</f>
        <v>-10.25</v>
      </c>
      <c r="L2573" s="28">
        <f>(Sales!$J2573-Sales!$B2573)/Sales!$J2573</f>
        <v>0.10353535353535354</v>
      </c>
      <c r="M2573" s="28" t="s">
        <v>134</v>
      </c>
      <c r="N2573" s="27" t="s">
        <v>82</v>
      </c>
      <c r="O2573" s="27" t="s">
        <v>56</v>
      </c>
      <c r="P2573" s="27" t="s">
        <v>13</v>
      </c>
      <c r="Q2573" s="27" t="s">
        <v>19</v>
      </c>
    </row>
    <row r="2574" spans="1:17" x14ac:dyDescent="0.3">
      <c r="A2574" s="22">
        <v>35</v>
      </c>
      <c r="B2574" s="19">
        <v>100</v>
      </c>
      <c r="C2574" s="20">
        <f>Sales!$B2574*Sales!$A2574</f>
        <v>3500</v>
      </c>
      <c r="D2574" s="21">
        <v>38118</v>
      </c>
      <c r="E2574" s="22" t="s">
        <v>9</v>
      </c>
      <c r="F2574" s="22">
        <v>2</v>
      </c>
      <c r="G2574" s="22">
        <v>5</v>
      </c>
      <c r="H2574" s="22">
        <v>2004</v>
      </c>
      <c r="I2574" s="22" t="s">
        <v>115</v>
      </c>
      <c r="J2574" s="20">
        <v>99</v>
      </c>
      <c r="K2574" s="20">
        <f>Sales!$B2574-Sales!$J2574</f>
        <v>1</v>
      </c>
      <c r="L2574" s="23">
        <f>(Sales!$J2574-Sales!$B2574)/Sales!$J2574</f>
        <v>-1.0101010101010102E-2</v>
      </c>
      <c r="M2574" s="23" t="str">
        <f t="shared" si="40"/>
        <v>Below 0%</v>
      </c>
      <c r="N2574" s="22" t="s">
        <v>86</v>
      </c>
      <c r="O2574" s="22" t="s">
        <v>12</v>
      </c>
      <c r="P2574" s="22" t="s">
        <v>13</v>
      </c>
      <c r="Q2574" s="22" t="s">
        <v>19</v>
      </c>
    </row>
    <row r="2575" spans="1:17" x14ac:dyDescent="0.3">
      <c r="A2575" s="27">
        <v>33</v>
      </c>
      <c r="B2575" s="24">
        <v>90.75</v>
      </c>
      <c r="C2575" s="25">
        <f>Sales!$B2575*Sales!$A2575</f>
        <v>2994.75</v>
      </c>
      <c r="D2575" s="26">
        <v>38162</v>
      </c>
      <c r="E2575" s="27" t="s">
        <v>75</v>
      </c>
      <c r="F2575" s="27">
        <v>2</v>
      </c>
      <c r="G2575" s="27">
        <v>6</v>
      </c>
      <c r="H2575" s="27">
        <v>2004</v>
      </c>
      <c r="I2575" s="27" t="s">
        <v>115</v>
      </c>
      <c r="J2575" s="25">
        <v>99</v>
      </c>
      <c r="K2575" s="25">
        <f>Sales!$B2575-Sales!$J2575</f>
        <v>-8.25</v>
      </c>
      <c r="L2575" s="28">
        <f>(Sales!$J2575-Sales!$B2575)/Sales!$J2575</f>
        <v>8.3333333333333329E-2</v>
      </c>
      <c r="M2575" s="28" t="str">
        <f t="shared" si="40"/>
        <v>5%-10%</v>
      </c>
      <c r="N2575" s="27" t="s">
        <v>45</v>
      </c>
      <c r="O2575" s="27" t="s">
        <v>46</v>
      </c>
      <c r="P2575" s="27" t="s">
        <v>17</v>
      </c>
      <c r="Q2575" s="27" t="s">
        <v>14</v>
      </c>
    </row>
    <row r="2576" spans="1:17" x14ac:dyDescent="0.3">
      <c r="A2576" s="22">
        <v>39</v>
      </c>
      <c r="B2576" s="19">
        <v>100</v>
      </c>
      <c r="C2576" s="20">
        <f>Sales!$B2576*Sales!$A2576</f>
        <v>3900</v>
      </c>
      <c r="D2576" s="21">
        <v>38191</v>
      </c>
      <c r="E2576" s="22" t="s">
        <v>9</v>
      </c>
      <c r="F2576" s="22">
        <v>3</v>
      </c>
      <c r="G2576" s="22">
        <v>7</v>
      </c>
      <c r="H2576" s="22">
        <v>2004</v>
      </c>
      <c r="I2576" s="22" t="s">
        <v>115</v>
      </c>
      <c r="J2576" s="20">
        <v>99</v>
      </c>
      <c r="K2576" s="20">
        <f>Sales!$B2576-Sales!$J2576</f>
        <v>1</v>
      </c>
      <c r="L2576" s="23">
        <f>(Sales!$J2576-Sales!$B2576)/Sales!$J2576</f>
        <v>-1.0101010101010102E-2</v>
      </c>
      <c r="M2576" s="23" t="str">
        <f t="shared" si="40"/>
        <v>Below 0%</v>
      </c>
      <c r="N2576" s="22" t="s">
        <v>31</v>
      </c>
      <c r="O2576" s="22" t="s">
        <v>16</v>
      </c>
      <c r="P2576" s="22" t="s">
        <v>17</v>
      </c>
      <c r="Q2576" s="22" t="s">
        <v>19</v>
      </c>
    </row>
    <row r="2577" spans="1:17" x14ac:dyDescent="0.3">
      <c r="A2577" s="27">
        <v>45</v>
      </c>
      <c r="B2577" s="24">
        <v>100</v>
      </c>
      <c r="C2577" s="25">
        <f>Sales!$B2577*Sales!$A2577</f>
        <v>4500</v>
      </c>
      <c r="D2577" s="26">
        <v>38220</v>
      </c>
      <c r="E2577" s="27" t="s">
        <v>9</v>
      </c>
      <c r="F2577" s="27">
        <v>3</v>
      </c>
      <c r="G2577" s="27">
        <v>8</v>
      </c>
      <c r="H2577" s="27">
        <v>2004</v>
      </c>
      <c r="I2577" s="27" t="s">
        <v>115</v>
      </c>
      <c r="J2577" s="25">
        <v>99</v>
      </c>
      <c r="K2577" s="25">
        <f>Sales!$B2577-Sales!$J2577</f>
        <v>1</v>
      </c>
      <c r="L2577" s="28">
        <f>(Sales!$J2577-Sales!$B2577)/Sales!$J2577</f>
        <v>-1.0101010101010102E-2</v>
      </c>
      <c r="M2577" s="28" t="str">
        <f t="shared" si="40"/>
        <v>Below 0%</v>
      </c>
      <c r="N2577" s="27" t="s">
        <v>110</v>
      </c>
      <c r="O2577" s="27" t="s">
        <v>25</v>
      </c>
      <c r="P2577" s="27" t="s">
        <v>17</v>
      </c>
      <c r="Q2577" s="27" t="s">
        <v>19</v>
      </c>
    </row>
    <row r="2578" spans="1:17" x14ac:dyDescent="0.3">
      <c r="A2578" s="22">
        <v>24</v>
      </c>
      <c r="B2578" s="19">
        <v>100</v>
      </c>
      <c r="C2578" s="20">
        <f>Sales!$B2578*Sales!$A2578</f>
        <v>2400</v>
      </c>
      <c r="D2578" s="21">
        <v>38245</v>
      </c>
      <c r="E2578" s="22" t="s">
        <v>9</v>
      </c>
      <c r="F2578" s="22">
        <v>3</v>
      </c>
      <c r="G2578" s="22">
        <v>9</v>
      </c>
      <c r="H2578" s="22">
        <v>2004</v>
      </c>
      <c r="I2578" s="22" t="s">
        <v>115</v>
      </c>
      <c r="J2578" s="20">
        <v>99</v>
      </c>
      <c r="K2578" s="20">
        <f>Sales!$B2578-Sales!$J2578</f>
        <v>1</v>
      </c>
      <c r="L2578" s="23">
        <f>(Sales!$J2578-Sales!$B2578)/Sales!$J2578</f>
        <v>-1.0101010101010102E-2</v>
      </c>
      <c r="M2578" s="23" t="str">
        <f t="shared" si="40"/>
        <v>Below 0%</v>
      </c>
      <c r="N2578" s="22" t="s">
        <v>116</v>
      </c>
      <c r="O2578" s="22" t="s">
        <v>94</v>
      </c>
      <c r="P2578" s="22" t="s">
        <v>17</v>
      </c>
      <c r="Q2578" s="22" t="s">
        <v>14</v>
      </c>
    </row>
    <row r="2579" spans="1:17" x14ac:dyDescent="0.3">
      <c r="A2579" s="27">
        <v>35</v>
      </c>
      <c r="B2579" s="24">
        <v>88.75</v>
      </c>
      <c r="C2579" s="25">
        <f>Sales!$B2579*Sales!$A2579</f>
        <v>3106.25</v>
      </c>
      <c r="D2579" s="26">
        <v>38275</v>
      </c>
      <c r="E2579" s="27" t="s">
        <v>9</v>
      </c>
      <c r="F2579" s="27">
        <v>4</v>
      </c>
      <c r="G2579" s="27">
        <v>10</v>
      </c>
      <c r="H2579" s="27">
        <v>2004</v>
      </c>
      <c r="I2579" s="27" t="s">
        <v>115</v>
      </c>
      <c r="J2579" s="25">
        <v>99</v>
      </c>
      <c r="K2579" s="25">
        <f>Sales!$B2579-Sales!$J2579</f>
        <v>-10.25</v>
      </c>
      <c r="L2579" s="28">
        <f>(Sales!$J2579-Sales!$B2579)/Sales!$J2579</f>
        <v>0.10353535353535354</v>
      </c>
      <c r="M2579" s="28" t="s">
        <v>134</v>
      </c>
      <c r="N2579" s="27" t="s">
        <v>71</v>
      </c>
      <c r="O2579" s="27" t="s">
        <v>12</v>
      </c>
      <c r="P2579" s="27" t="s">
        <v>13</v>
      </c>
      <c r="Q2579" s="27" t="s">
        <v>19</v>
      </c>
    </row>
    <row r="2580" spans="1:17" x14ac:dyDescent="0.3">
      <c r="A2580" s="22">
        <v>23</v>
      </c>
      <c r="B2580" s="19">
        <v>100</v>
      </c>
      <c r="C2580" s="20">
        <f>Sales!$B2580*Sales!$A2580</f>
        <v>2300</v>
      </c>
      <c r="D2580" s="21">
        <v>38292</v>
      </c>
      <c r="E2580" s="22" t="s">
        <v>9</v>
      </c>
      <c r="F2580" s="22">
        <v>4</v>
      </c>
      <c r="G2580" s="22">
        <v>11</v>
      </c>
      <c r="H2580" s="22">
        <v>2004</v>
      </c>
      <c r="I2580" s="22" t="s">
        <v>115</v>
      </c>
      <c r="J2580" s="20">
        <v>99</v>
      </c>
      <c r="K2580" s="20">
        <f>Sales!$B2580-Sales!$J2580</f>
        <v>1</v>
      </c>
      <c r="L2580" s="23">
        <f>(Sales!$J2580-Sales!$B2580)/Sales!$J2580</f>
        <v>-1.0101010101010102E-2</v>
      </c>
      <c r="M2580" s="23" t="str">
        <f t="shared" si="40"/>
        <v>Below 0%</v>
      </c>
      <c r="N2580" s="22" t="s">
        <v>84</v>
      </c>
      <c r="O2580" s="22" t="s">
        <v>43</v>
      </c>
      <c r="P2580" s="22" t="s">
        <v>17</v>
      </c>
      <c r="Q2580" s="22" t="s">
        <v>14</v>
      </c>
    </row>
    <row r="2581" spans="1:17" x14ac:dyDescent="0.3">
      <c r="A2581" s="27">
        <v>37</v>
      </c>
      <c r="B2581" s="24">
        <v>100</v>
      </c>
      <c r="C2581" s="25">
        <f>Sales!$B2581*Sales!$A2581</f>
        <v>3700</v>
      </c>
      <c r="D2581" s="26">
        <v>38303</v>
      </c>
      <c r="E2581" s="27" t="s">
        <v>9</v>
      </c>
      <c r="F2581" s="27">
        <v>4</v>
      </c>
      <c r="G2581" s="27">
        <v>11</v>
      </c>
      <c r="H2581" s="27">
        <v>2004</v>
      </c>
      <c r="I2581" s="27" t="s">
        <v>115</v>
      </c>
      <c r="J2581" s="25">
        <v>99</v>
      </c>
      <c r="K2581" s="25">
        <f>Sales!$B2581-Sales!$J2581</f>
        <v>1</v>
      </c>
      <c r="L2581" s="28">
        <f>(Sales!$J2581-Sales!$B2581)/Sales!$J2581</f>
        <v>-1.0101010101010102E-2</v>
      </c>
      <c r="M2581" s="28" t="str">
        <f t="shared" si="40"/>
        <v>Below 0%</v>
      </c>
      <c r="N2581" s="27" t="s">
        <v>113</v>
      </c>
      <c r="O2581" s="27" t="s">
        <v>61</v>
      </c>
      <c r="P2581" s="27" t="s">
        <v>17</v>
      </c>
      <c r="Q2581" s="27" t="s">
        <v>19</v>
      </c>
    </row>
    <row r="2582" spans="1:17" x14ac:dyDescent="0.3">
      <c r="A2582" s="22">
        <v>55</v>
      </c>
      <c r="B2582" s="19">
        <v>87.75</v>
      </c>
      <c r="C2582" s="20">
        <f>Sales!$B2582*Sales!$A2582</f>
        <v>4826.25</v>
      </c>
      <c r="D2582" s="21">
        <v>38315</v>
      </c>
      <c r="E2582" s="22" t="s">
        <v>9</v>
      </c>
      <c r="F2582" s="22">
        <v>4</v>
      </c>
      <c r="G2582" s="22">
        <v>11</v>
      </c>
      <c r="H2582" s="22">
        <v>2004</v>
      </c>
      <c r="I2582" s="22" t="s">
        <v>115</v>
      </c>
      <c r="J2582" s="20">
        <v>99</v>
      </c>
      <c r="K2582" s="20">
        <f>Sales!$B2582-Sales!$J2582</f>
        <v>-11.25</v>
      </c>
      <c r="L2582" s="23">
        <f>(Sales!$J2582-Sales!$B2582)/Sales!$J2582</f>
        <v>0.11363636363636363</v>
      </c>
      <c r="M2582" s="23" t="str">
        <f t="shared" si="40"/>
        <v>10%-15%</v>
      </c>
      <c r="N2582" s="22" t="s">
        <v>77</v>
      </c>
      <c r="O2582" s="22" t="s">
        <v>46</v>
      </c>
      <c r="P2582" s="22" t="s">
        <v>17</v>
      </c>
      <c r="Q2582" s="22" t="s">
        <v>19</v>
      </c>
    </row>
    <row r="2583" spans="1:17" x14ac:dyDescent="0.3">
      <c r="A2583" s="27">
        <v>49</v>
      </c>
      <c r="B2583" s="24">
        <v>100</v>
      </c>
      <c r="C2583" s="25">
        <f>Sales!$B2583*Sales!$A2583</f>
        <v>4900</v>
      </c>
      <c r="D2583" s="26">
        <v>38324</v>
      </c>
      <c r="E2583" s="27" t="s">
        <v>9</v>
      </c>
      <c r="F2583" s="27">
        <v>4</v>
      </c>
      <c r="G2583" s="27">
        <v>12</v>
      </c>
      <c r="H2583" s="27">
        <v>2004</v>
      </c>
      <c r="I2583" s="27" t="s">
        <v>115</v>
      </c>
      <c r="J2583" s="25">
        <v>99</v>
      </c>
      <c r="K2583" s="25">
        <f>Sales!$B2583-Sales!$J2583</f>
        <v>1</v>
      </c>
      <c r="L2583" s="28">
        <f>(Sales!$J2583-Sales!$B2583)/Sales!$J2583</f>
        <v>-1.0101010101010102E-2</v>
      </c>
      <c r="M2583" s="28" t="str">
        <f t="shared" si="40"/>
        <v>Below 0%</v>
      </c>
      <c r="N2583" s="27" t="s">
        <v>66</v>
      </c>
      <c r="O2583" s="27" t="s">
        <v>12</v>
      </c>
      <c r="P2583" s="27" t="s">
        <v>13</v>
      </c>
      <c r="Q2583" s="27" t="s">
        <v>19</v>
      </c>
    </row>
    <row r="2584" spans="1:17" x14ac:dyDescent="0.3">
      <c r="A2584" s="22">
        <v>26</v>
      </c>
      <c r="B2584" s="19">
        <v>100</v>
      </c>
      <c r="C2584" s="20">
        <f>Sales!$B2584*Sales!$A2584</f>
        <v>2600</v>
      </c>
      <c r="D2584" s="21">
        <v>38338</v>
      </c>
      <c r="E2584" s="22" t="s">
        <v>9</v>
      </c>
      <c r="F2584" s="22">
        <v>4</v>
      </c>
      <c r="G2584" s="22">
        <v>12</v>
      </c>
      <c r="H2584" s="22">
        <v>2004</v>
      </c>
      <c r="I2584" s="22" t="s">
        <v>115</v>
      </c>
      <c r="J2584" s="20">
        <v>99</v>
      </c>
      <c r="K2584" s="20">
        <f>Sales!$B2584-Sales!$J2584</f>
        <v>1</v>
      </c>
      <c r="L2584" s="23">
        <f>(Sales!$J2584-Sales!$B2584)/Sales!$J2584</f>
        <v>-1.0101010101010102E-2</v>
      </c>
      <c r="M2584" s="23" t="str">
        <f t="shared" si="40"/>
        <v>Below 0%</v>
      </c>
      <c r="N2584" s="22" t="s">
        <v>40</v>
      </c>
      <c r="O2584" s="22" t="s">
        <v>27</v>
      </c>
      <c r="P2584" s="22" t="s">
        <v>28</v>
      </c>
      <c r="Q2584" s="22" t="s">
        <v>14</v>
      </c>
    </row>
    <row r="2585" spans="1:17" x14ac:dyDescent="0.3">
      <c r="A2585" s="27">
        <v>33</v>
      </c>
      <c r="B2585" s="24">
        <v>100</v>
      </c>
      <c r="C2585" s="25">
        <f>Sales!$B2585*Sales!$A2585</f>
        <v>3300</v>
      </c>
      <c r="D2585" s="26">
        <v>38386</v>
      </c>
      <c r="E2585" s="27" t="s">
        <v>9</v>
      </c>
      <c r="F2585" s="27">
        <v>1</v>
      </c>
      <c r="G2585" s="27">
        <v>2</v>
      </c>
      <c r="H2585" s="27">
        <v>2005</v>
      </c>
      <c r="I2585" s="27" t="s">
        <v>115</v>
      </c>
      <c r="J2585" s="25">
        <v>99</v>
      </c>
      <c r="K2585" s="25">
        <f>Sales!$B2585-Sales!$J2585</f>
        <v>1</v>
      </c>
      <c r="L2585" s="28">
        <f>(Sales!$J2585-Sales!$B2585)/Sales!$J2585</f>
        <v>-1.0101010101010102E-2</v>
      </c>
      <c r="M2585" s="28" t="str">
        <f t="shared" si="40"/>
        <v>Below 0%</v>
      </c>
      <c r="N2585" s="27" t="s">
        <v>31</v>
      </c>
      <c r="O2585" s="27" t="s">
        <v>16</v>
      </c>
      <c r="P2585" s="27" t="s">
        <v>17</v>
      </c>
      <c r="Q2585" s="27" t="s">
        <v>19</v>
      </c>
    </row>
    <row r="2586" spans="1:17" x14ac:dyDescent="0.3">
      <c r="A2586" s="22">
        <v>37</v>
      </c>
      <c r="B2586" s="19">
        <v>83.84</v>
      </c>
      <c r="C2586" s="20">
        <f>Sales!$B2586*Sales!$A2586</f>
        <v>3102.08</v>
      </c>
      <c r="D2586" s="21">
        <v>38412</v>
      </c>
      <c r="E2586" s="22" t="s">
        <v>88</v>
      </c>
      <c r="F2586" s="22">
        <v>1</v>
      </c>
      <c r="G2586" s="22">
        <v>3</v>
      </c>
      <c r="H2586" s="22">
        <v>2005</v>
      </c>
      <c r="I2586" s="22" t="s">
        <v>115</v>
      </c>
      <c r="J2586" s="20">
        <v>99</v>
      </c>
      <c r="K2586" s="20">
        <f>Sales!$B2586-Sales!$J2586</f>
        <v>-15.159999999999997</v>
      </c>
      <c r="L2586" s="23">
        <f>(Sales!$J2586-Sales!$B2586)/Sales!$J2586</f>
        <v>0.15313131313131309</v>
      </c>
      <c r="M2586" s="23" t="s">
        <v>132</v>
      </c>
      <c r="N2586" s="22" t="s">
        <v>45</v>
      </c>
      <c r="O2586" s="22" t="s">
        <v>46</v>
      </c>
      <c r="P2586" s="22" t="s">
        <v>17</v>
      </c>
      <c r="Q2586" s="22" t="s">
        <v>19</v>
      </c>
    </row>
    <row r="2587" spans="1:17" x14ac:dyDescent="0.3">
      <c r="A2587" s="27">
        <v>22</v>
      </c>
      <c r="B2587" s="24">
        <v>86.76</v>
      </c>
      <c r="C2587" s="25">
        <f>Sales!$B2587*Sales!$A2587</f>
        <v>1908.72</v>
      </c>
      <c r="D2587" s="26">
        <v>38441</v>
      </c>
      <c r="E2587" s="27" t="s">
        <v>9</v>
      </c>
      <c r="F2587" s="27">
        <v>1</v>
      </c>
      <c r="G2587" s="27">
        <v>3</v>
      </c>
      <c r="H2587" s="27">
        <v>2005</v>
      </c>
      <c r="I2587" s="27" t="s">
        <v>115</v>
      </c>
      <c r="J2587" s="25">
        <v>99</v>
      </c>
      <c r="K2587" s="25">
        <f>Sales!$B2587-Sales!$J2587</f>
        <v>-12.239999999999995</v>
      </c>
      <c r="L2587" s="28">
        <f>(Sales!$J2587-Sales!$B2587)/Sales!$J2587</f>
        <v>0.12363636363636359</v>
      </c>
      <c r="M2587" s="28" t="str">
        <f t="shared" si="40"/>
        <v>10%-15%</v>
      </c>
      <c r="N2587" s="27" t="s">
        <v>15</v>
      </c>
      <c r="O2587" s="27" t="s">
        <v>16</v>
      </c>
      <c r="P2587" s="27" t="s">
        <v>17</v>
      </c>
      <c r="Q2587" s="27" t="s">
        <v>14</v>
      </c>
    </row>
    <row r="2588" spans="1:17" x14ac:dyDescent="0.3">
      <c r="A2588" s="22">
        <v>85</v>
      </c>
      <c r="B2588" s="19">
        <v>88.75</v>
      </c>
      <c r="C2588" s="20">
        <f>Sales!$B2588*Sales!$A2588</f>
        <v>7543.75</v>
      </c>
      <c r="D2588" s="21">
        <v>38445</v>
      </c>
      <c r="E2588" s="22" t="s">
        <v>87</v>
      </c>
      <c r="F2588" s="22">
        <v>2</v>
      </c>
      <c r="G2588" s="22">
        <v>4</v>
      </c>
      <c r="H2588" s="22">
        <v>2005</v>
      </c>
      <c r="I2588" s="22" t="s">
        <v>115</v>
      </c>
      <c r="J2588" s="20">
        <v>99</v>
      </c>
      <c r="K2588" s="20">
        <f>Sales!$B2588-Sales!$J2588</f>
        <v>-10.25</v>
      </c>
      <c r="L2588" s="23">
        <f>(Sales!$J2588-Sales!$B2588)/Sales!$J2588</f>
        <v>0.10353535353535354</v>
      </c>
      <c r="M2588" s="23" t="s">
        <v>134</v>
      </c>
      <c r="N2588" s="22" t="s">
        <v>29</v>
      </c>
      <c r="O2588" s="22" t="s">
        <v>12</v>
      </c>
      <c r="P2588" s="22" t="s">
        <v>13</v>
      </c>
      <c r="Q2588" s="22" t="s">
        <v>39</v>
      </c>
    </row>
    <row r="2589" spans="1:17" x14ac:dyDescent="0.3">
      <c r="A2589" s="27">
        <v>22</v>
      </c>
      <c r="B2589" s="24">
        <v>100</v>
      </c>
      <c r="C2589" s="25">
        <f>Sales!$B2589*Sales!$A2589</f>
        <v>2200</v>
      </c>
      <c r="D2589" s="26">
        <v>38482</v>
      </c>
      <c r="E2589" s="27" t="s">
        <v>9</v>
      </c>
      <c r="F2589" s="27">
        <v>2</v>
      </c>
      <c r="G2589" s="27">
        <v>5</v>
      </c>
      <c r="H2589" s="27">
        <v>2005</v>
      </c>
      <c r="I2589" s="27" t="s">
        <v>115</v>
      </c>
      <c r="J2589" s="25">
        <v>99</v>
      </c>
      <c r="K2589" s="25">
        <f>Sales!$B2589-Sales!$J2589</f>
        <v>1</v>
      </c>
      <c r="L2589" s="28">
        <f>(Sales!$J2589-Sales!$B2589)/Sales!$J2589</f>
        <v>-1.0101010101010102E-2</v>
      </c>
      <c r="M2589" s="28" t="str">
        <f t="shared" si="40"/>
        <v>Below 0%</v>
      </c>
      <c r="N2589" s="27" t="s">
        <v>97</v>
      </c>
      <c r="O2589" s="27" t="s">
        <v>61</v>
      </c>
      <c r="P2589" s="27" t="s">
        <v>17</v>
      </c>
      <c r="Q2589" s="27" t="s">
        <v>14</v>
      </c>
    </row>
    <row r="2590" spans="1:17" x14ac:dyDescent="0.3">
      <c r="A2590" s="22">
        <v>31</v>
      </c>
      <c r="B2590" s="19">
        <v>65.77</v>
      </c>
      <c r="C2590" s="20">
        <f>Sales!$B2590*Sales!$A2590</f>
        <v>2038.87</v>
      </c>
      <c r="D2590" s="21">
        <v>37663</v>
      </c>
      <c r="E2590" s="22" t="s">
        <v>9</v>
      </c>
      <c r="F2590" s="22">
        <v>1</v>
      </c>
      <c r="G2590" s="22">
        <v>2</v>
      </c>
      <c r="H2590" s="22">
        <v>2003</v>
      </c>
      <c r="I2590" s="22" t="s">
        <v>118</v>
      </c>
      <c r="J2590" s="20">
        <v>72</v>
      </c>
      <c r="K2590" s="20">
        <f>Sales!$B2590-Sales!$J2590</f>
        <v>-6.230000000000004</v>
      </c>
      <c r="L2590" s="23">
        <f>(Sales!$J2590-Sales!$B2590)/Sales!$J2590</f>
        <v>8.6527777777777828E-2</v>
      </c>
      <c r="M2590" s="23" t="str">
        <f t="shared" si="40"/>
        <v>5%-10%</v>
      </c>
      <c r="N2590" s="22" t="s">
        <v>72</v>
      </c>
      <c r="O2590" s="22" t="s">
        <v>73</v>
      </c>
      <c r="P2590" s="22" t="s">
        <v>17</v>
      </c>
      <c r="Q2590" s="22" t="s">
        <v>14</v>
      </c>
    </row>
    <row r="2591" spans="1:17" x14ac:dyDescent="0.3">
      <c r="A2591" s="27">
        <v>38</v>
      </c>
      <c r="B2591" s="24">
        <v>65.77</v>
      </c>
      <c r="C2591" s="25">
        <f>Sales!$B2591*Sales!$A2591</f>
        <v>2499.2599999999998</v>
      </c>
      <c r="D2591" s="26">
        <v>37739</v>
      </c>
      <c r="E2591" s="27" t="s">
        <v>9</v>
      </c>
      <c r="F2591" s="27">
        <v>2</v>
      </c>
      <c r="G2591" s="27">
        <v>4</v>
      </c>
      <c r="H2591" s="27">
        <v>2003</v>
      </c>
      <c r="I2591" s="27" t="s">
        <v>118</v>
      </c>
      <c r="J2591" s="25">
        <v>72</v>
      </c>
      <c r="K2591" s="25">
        <f>Sales!$B2591-Sales!$J2591</f>
        <v>-6.230000000000004</v>
      </c>
      <c r="L2591" s="28">
        <f>(Sales!$J2591-Sales!$B2591)/Sales!$J2591</f>
        <v>8.6527777777777828E-2</v>
      </c>
      <c r="M2591" s="28" t="str">
        <f t="shared" si="40"/>
        <v>5%-10%</v>
      </c>
      <c r="N2591" s="27" t="s">
        <v>37</v>
      </c>
      <c r="O2591" s="27" t="s">
        <v>38</v>
      </c>
      <c r="P2591" s="27" t="s">
        <v>17</v>
      </c>
      <c r="Q2591" s="27" t="s">
        <v>14</v>
      </c>
    </row>
    <row r="2592" spans="1:17" x14ac:dyDescent="0.3">
      <c r="A2592" s="22">
        <v>45</v>
      </c>
      <c r="B2592" s="19">
        <v>85.29</v>
      </c>
      <c r="C2592" s="20">
        <f>Sales!$B2592*Sales!$A2592</f>
        <v>3838.05</v>
      </c>
      <c r="D2592" s="21">
        <v>37784</v>
      </c>
      <c r="E2592" s="22" t="s">
        <v>9</v>
      </c>
      <c r="F2592" s="22">
        <v>2</v>
      </c>
      <c r="G2592" s="22">
        <v>6</v>
      </c>
      <c r="H2592" s="22">
        <v>2003</v>
      </c>
      <c r="I2592" s="22" t="s">
        <v>118</v>
      </c>
      <c r="J2592" s="20">
        <v>72</v>
      </c>
      <c r="K2592" s="20">
        <f>Sales!$B2592-Sales!$J2592</f>
        <v>13.290000000000006</v>
      </c>
      <c r="L2592" s="23">
        <f>(Sales!$J2592-Sales!$B2592)/Sales!$J2592</f>
        <v>-0.18458333333333343</v>
      </c>
      <c r="M2592" s="23" t="str">
        <f t="shared" si="40"/>
        <v>Below 0%</v>
      </c>
      <c r="N2592" s="22" t="s">
        <v>74</v>
      </c>
      <c r="O2592" s="22" t="s">
        <v>43</v>
      </c>
      <c r="P2592" s="22" t="s">
        <v>17</v>
      </c>
      <c r="Q2592" s="22" t="s">
        <v>19</v>
      </c>
    </row>
    <row r="2593" spans="1:17" x14ac:dyDescent="0.3">
      <c r="A2593" s="27">
        <v>31</v>
      </c>
      <c r="B2593" s="24">
        <v>85.29</v>
      </c>
      <c r="C2593" s="25">
        <f>Sales!$B2593*Sales!$A2593</f>
        <v>2643.9900000000002</v>
      </c>
      <c r="D2593" s="26">
        <v>37843</v>
      </c>
      <c r="E2593" s="27" t="s">
        <v>9</v>
      </c>
      <c r="F2593" s="27">
        <v>3</v>
      </c>
      <c r="G2593" s="27">
        <v>8</v>
      </c>
      <c r="H2593" s="27">
        <v>2003</v>
      </c>
      <c r="I2593" s="27" t="s">
        <v>118</v>
      </c>
      <c r="J2593" s="25">
        <v>72</v>
      </c>
      <c r="K2593" s="25">
        <f>Sales!$B2593-Sales!$J2593</f>
        <v>13.290000000000006</v>
      </c>
      <c r="L2593" s="28">
        <f>(Sales!$J2593-Sales!$B2593)/Sales!$J2593</f>
        <v>-0.18458333333333343</v>
      </c>
      <c r="M2593" s="28" t="str">
        <f t="shared" si="40"/>
        <v>Below 0%</v>
      </c>
      <c r="N2593" s="27" t="s">
        <v>41</v>
      </c>
      <c r="O2593" s="27" t="s">
        <v>12</v>
      </c>
      <c r="P2593" s="27" t="s">
        <v>13</v>
      </c>
      <c r="Q2593" s="27" t="s">
        <v>14</v>
      </c>
    </row>
    <row r="2594" spans="1:17" x14ac:dyDescent="0.3">
      <c r="A2594" s="22">
        <v>36</v>
      </c>
      <c r="B2594" s="19">
        <v>64.33</v>
      </c>
      <c r="C2594" s="20">
        <f>Sales!$B2594*Sales!$A2594</f>
        <v>2315.88</v>
      </c>
      <c r="D2594" s="21">
        <v>37896</v>
      </c>
      <c r="E2594" s="22" t="s">
        <v>9</v>
      </c>
      <c r="F2594" s="22">
        <v>4</v>
      </c>
      <c r="G2594" s="22">
        <v>10</v>
      </c>
      <c r="H2594" s="22">
        <v>2003</v>
      </c>
      <c r="I2594" s="22" t="s">
        <v>118</v>
      </c>
      <c r="J2594" s="20">
        <v>72</v>
      </c>
      <c r="K2594" s="20">
        <f>Sales!$B2594-Sales!$J2594</f>
        <v>-7.6700000000000017</v>
      </c>
      <c r="L2594" s="23">
        <f>(Sales!$J2594-Sales!$B2594)/Sales!$J2594</f>
        <v>0.1065277777777778</v>
      </c>
      <c r="M2594" s="23" t="str">
        <f t="shared" si="40"/>
        <v>10%-15%</v>
      </c>
      <c r="N2594" s="22" t="s">
        <v>105</v>
      </c>
      <c r="O2594" s="22" t="s">
        <v>12</v>
      </c>
      <c r="P2594" s="22" t="s">
        <v>13</v>
      </c>
      <c r="Q2594" s="22" t="s">
        <v>14</v>
      </c>
    </row>
    <row r="2595" spans="1:17" x14ac:dyDescent="0.3">
      <c r="A2595" s="27">
        <v>46</v>
      </c>
      <c r="B2595" s="24">
        <v>70.11</v>
      </c>
      <c r="C2595" s="25">
        <f>Sales!$B2595*Sales!$A2595</f>
        <v>3225.06</v>
      </c>
      <c r="D2595" s="26">
        <v>37917</v>
      </c>
      <c r="E2595" s="27" t="s">
        <v>75</v>
      </c>
      <c r="F2595" s="27">
        <v>4</v>
      </c>
      <c r="G2595" s="27">
        <v>10</v>
      </c>
      <c r="H2595" s="27">
        <v>2003</v>
      </c>
      <c r="I2595" s="27" t="s">
        <v>118</v>
      </c>
      <c r="J2595" s="25">
        <v>72</v>
      </c>
      <c r="K2595" s="25">
        <f>Sales!$B2595-Sales!$J2595</f>
        <v>-1.8900000000000006</v>
      </c>
      <c r="L2595" s="28">
        <f>(Sales!$J2595-Sales!$B2595)/Sales!$J2595</f>
        <v>2.6250000000000009E-2</v>
      </c>
      <c r="M2595" s="28" t="str">
        <f t="shared" si="40"/>
        <v>0%-5%</v>
      </c>
      <c r="N2595" s="27" t="s">
        <v>62</v>
      </c>
      <c r="O2595" s="27" t="s">
        <v>49</v>
      </c>
      <c r="P2595" s="27" t="s">
        <v>17</v>
      </c>
      <c r="Q2595" s="27" t="s">
        <v>19</v>
      </c>
    </row>
    <row r="2596" spans="1:17" x14ac:dyDescent="0.3">
      <c r="A2596" s="22">
        <v>32</v>
      </c>
      <c r="B2596" s="19">
        <v>76.62</v>
      </c>
      <c r="C2596" s="20">
        <f>Sales!$B2596*Sales!$A2596</f>
        <v>2451.84</v>
      </c>
      <c r="D2596" s="21">
        <v>37932</v>
      </c>
      <c r="E2596" s="22" t="s">
        <v>9</v>
      </c>
      <c r="F2596" s="22">
        <v>4</v>
      </c>
      <c r="G2596" s="22">
        <v>11</v>
      </c>
      <c r="H2596" s="22">
        <v>2003</v>
      </c>
      <c r="I2596" s="22" t="s">
        <v>118</v>
      </c>
      <c r="J2596" s="20">
        <v>72</v>
      </c>
      <c r="K2596" s="20">
        <f>Sales!$B2596-Sales!$J2596</f>
        <v>4.6200000000000045</v>
      </c>
      <c r="L2596" s="23">
        <f>(Sales!$J2596-Sales!$B2596)/Sales!$J2596</f>
        <v>-6.4166666666666733E-2</v>
      </c>
      <c r="M2596" s="23" t="str">
        <f t="shared" si="40"/>
        <v>Below 0%</v>
      </c>
      <c r="N2596" s="22" t="s">
        <v>45</v>
      </c>
      <c r="O2596" s="22" t="s">
        <v>46</v>
      </c>
      <c r="P2596" s="22" t="s">
        <v>17</v>
      </c>
      <c r="Q2596" s="22" t="s">
        <v>14</v>
      </c>
    </row>
    <row r="2597" spans="1:17" x14ac:dyDescent="0.3">
      <c r="A2597" s="27">
        <v>39</v>
      </c>
      <c r="B2597" s="24">
        <v>57.82</v>
      </c>
      <c r="C2597" s="25">
        <f>Sales!$B2597*Sales!$A2597</f>
        <v>2254.98</v>
      </c>
      <c r="D2597" s="26">
        <v>37939</v>
      </c>
      <c r="E2597" s="27" t="s">
        <v>9</v>
      </c>
      <c r="F2597" s="27">
        <v>4</v>
      </c>
      <c r="G2597" s="27">
        <v>11</v>
      </c>
      <c r="H2597" s="27">
        <v>2003</v>
      </c>
      <c r="I2597" s="27" t="s">
        <v>118</v>
      </c>
      <c r="J2597" s="25">
        <v>72</v>
      </c>
      <c r="K2597" s="25">
        <f>Sales!$B2597-Sales!$J2597</f>
        <v>-14.18</v>
      </c>
      <c r="L2597" s="28">
        <f>(Sales!$J2597-Sales!$B2597)/Sales!$J2597</f>
        <v>0.19694444444444445</v>
      </c>
      <c r="M2597" s="28" t="str">
        <f t="shared" si="40"/>
        <v>15%-20%</v>
      </c>
      <c r="N2597" s="27" t="s">
        <v>41</v>
      </c>
      <c r="O2597" s="27" t="s">
        <v>12</v>
      </c>
      <c r="P2597" s="27" t="s">
        <v>13</v>
      </c>
      <c r="Q2597" s="27" t="s">
        <v>14</v>
      </c>
    </row>
    <row r="2598" spans="1:17" x14ac:dyDescent="0.3">
      <c r="A2598" s="22">
        <v>50</v>
      </c>
      <c r="B2598" s="19">
        <v>78.790000000000006</v>
      </c>
      <c r="C2598" s="20">
        <f>Sales!$B2598*Sales!$A2598</f>
        <v>3939.5000000000005</v>
      </c>
      <c r="D2598" s="21">
        <v>37951</v>
      </c>
      <c r="E2598" s="22" t="s">
        <v>9</v>
      </c>
      <c r="F2598" s="22">
        <v>4</v>
      </c>
      <c r="G2598" s="22">
        <v>11</v>
      </c>
      <c r="H2598" s="22">
        <v>2003</v>
      </c>
      <c r="I2598" s="22" t="s">
        <v>118</v>
      </c>
      <c r="J2598" s="20">
        <v>72</v>
      </c>
      <c r="K2598" s="20">
        <f>Sales!$B2598-Sales!$J2598</f>
        <v>6.7900000000000063</v>
      </c>
      <c r="L2598" s="23">
        <f>(Sales!$J2598-Sales!$B2598)/Sales!$J2598</f>
        <v>-9.4305555555555642E-2</v>
      </c>
      <c r="M2598" s="23" t="str">
        <f t="shared" si="40"/>
        <v>Below 0%</v>
      </c>
      <c r="N2598" s="22" t="s">
        <v>77</v>
      </c>
      <c r="O2598" s="22" t="s">
        <v>46</v>
      </c>
      <c r="P2598" s="22" t="s">
        <v>17</v>
      </c>
      <c r="Q2598" s="22" t="s">
        <v>19</v>
      </c>
    </row>
    <row r="2599" spans="1:17" x14ac:dyDescent="0.3">
      <c r="A2599" s="27">
        <v>46</v>
      </c>
      <c r="B2599" s="24">
        <v>74.45</v>
      </c>
      <c r="C2599" s="25">
        <f>Sales!$B2599*Sales!$A2599</f>
        <v>3424.7000000000003</v>
      </c>
      <c r="D2599" s="26">
        <v>37988</v>
      </c>
      <c r="E2599" s="27" t="s">
        <v>9</v>
      </c>
      <c r="F2599" s="27">
        <v>1</v>
      </c>
      <c r="G2599" s="27">
        <v>1</v>
      </c>
      <c r="H2599" s="27">
        <v>2004</v>
      </c>
      <c r="I2599" s="27" t="s">
        <v>118</v>
      </c>
      <c r="J2599" s="25">
        <v>72</v>
      </c>
      <c r="K2599" s="25">
        <f>Sales!$B2599-Sales!$J2599</f>
        <v>2.4500000000000028</v>
      </c>
      <c r="L2599" s="28">
        <f>(Sales!$J2599-Sales!$B2599)/Sales!$J2599</f>
        <v>-3.4027777777777816E-2</v>
      </c>
      <c r="M2599" s="28" t="str">
        <f t="shared" si="40"/>
        <v>Below 0%</v>
      </c>
      <c r="N2599" s="27" t="s">
        <v>54</v>
      </c>
      <c r="O2599" s="27" t="s">
        <v>16</v>
      </c>
      <c r="P2599" s="27" t="s">
        <v>17</v>
      </c>
      <c r="Q2599" s="27" t="s">
        <v>19</v>
      </c>
    </row>
    <row r="2600" spans="1:17" x14ac:dyDescent="0.3">
      <c r="A2600" s="22">
        <v>36</v>
      </c>
      <c r="B2600" s="19">
        <v>80.95</v>
      </c>
      <c r="C2600" s="20">
        <f>Sales!$B2600*Sales!$A2600</f>
        <v>2914.2000000000003</v>
      </c>
      <c r="D2600" s="21">
        <v>38036</v>
      </c>
      <c r="E2600" s="22" t="s">
        <v>9</v>
      </c>
      <c r="F2600" s="22">
        <v>1</v>
      </c>
      <c r="G2600" s="22">
        <v>2</v>
      </c>
      <c r="H2600" s="22">
        <v>2004</v>
      </c>
      <c r="I2600" s="22" t="s">
        <v>118</v>
      </c>
      <c r="J2600" s="20">
        <v>72</v>
      </c>
      <c r="K2600" s="20">
        <f>Sales!$B2600-Sales!$J2600</f>
        <v>8.9500000000000028</v>
      </c>
      <c r="L2600" s="23">
        <f>(Sales!$J2600-Sales!$B2600)/Sales!$J2600</f>
        <v>-0.1243055555555556</v>
      </c>
      <c r="M2600" s="23" t="str">
        <f t="shared" si="40"/>
        <v>Below 0%</v>
      </c>
      <c r="N2600" s="22" t="s">
        <v>79</v>
      </c>
      <c r="O2600" s="22" t="s">
        <v>12</v>
      </c>
      <c r="P2600" s="22" t="s">
        <v>13</v>
      </c>
      <c r="Q2600" s="22" t="s">
        <v>14</v>
      </c>
    </row>
    <row r="2601" spans="1:17" x14ac:dyDescent="0.3">
      <c r="A2601" s="27">
        <v>29</v>
      </c>
      <c r="B2601" s="24">
        <v>82.4</v>
      </c>
      <c r="C2601" s="25">
        <f>Sales!$B2601*Sales!$A2601</f>
        <v>2389.6000000000004</v>
      </c>
      <c r="D2601" s="26">
        <v>38075</v>
      </c>
      <c r="E2601" s="27" t="s">
        <v>9</v>
      </c>
      <c r="F2601" s="27">
        <v>1</v>
      </c>
      <c r="G2601" s="27">
        <v>3</v>
      </c>
      <c r="H2601" s="27">
        <v>2004</v>
      </c>
      <c r="I2601" s="27" t="s">
        <v>118</v>
      </c>
      <c r="J2601" s="25">
        <v>72</v>
      </c>
      <c r="K2601" s="25">
        <f>Sales!$B2601-Sales!$J2601</f>
        <v>10.400000000000006</v>
      </c>
      <c r="L2601" s="28">
        <f>(Sales!$J2601-Sales!$B2601)/Sales!$J2601</f>
        <v>-0.14444444444444451</v>
      </c>
      <c r="M2601" s="28" t="str">
        <f t="shared" si="40"/>
        <v>Below 0%</v>
      </c>
      <c r="N2601" s="27" t="s">
        <v>29</v>
      </c>
      <c r="O2601" s="27" t="s">
        <v>12</v>
      </c>
      <c r="P2601" s="27" t="s">
        <v>13</v>
      </c>
      <c r="Q2601" s="27" t="s">
        <v>14</v>
      </c>
    </row>
    <row r="2602" spans="1:17" x14ac:dyDescent="0.3">
      <c r="A2602" s="22">
        <v>32</v>
      </c>
      <c r="B2602" s="19">
        <v>75.89</v>
      </c>
      <c r="C2602" s="20">
        <f>Sales!$B2602*Sales!$A2602</f>
        <v>2428.48</v>
      </c>
      <c r="D2602" s="21">
        <v>38114</v>
      </c>
      <c r="E2602" s="22" t="s">
        <v>75</v>
      </c>
      <c r="F2602" s="22">
        <v>2</v>
      </c>
      <c r="G2602" s="22">
        <v>5</v>
      </c>
      <c r="H2602" s="22">
        <v>2004</v>
      </c>
      <c r="I2602" s="22" t="s">
        <v>118</v>
      </c>
      <c r="J2602" s="20">
        <v>72</v>
      </c>
      <c r="K2602" s="20">
        <f>Sales!$B2602-Sales!$J2602</f>
        <v>3.8900000000000006</v>
      </c>
      <c r="L2602" s="23">
        <f>(Sales!$J2602-Sales!$B2602)/Sales!$J2602</f>
        <v>-5.4027777777777786E-2</v>
      </c>
      <c r="M2602" s="23" t="str">
        <f t="shared" si="40"/>
        <v>Below 0%</v>
      </c>
      <c r="N2602" s="22" t="s">
        <v>11</v>
      </c>
      <c r="O2602" s="22" t="s">
        <v>12</v>
      </c>
      <c r="P2602" s="22" t="s">
        <v>13</v>
      </c>
      <c r="Q2602" s="22" t="s">
        <v>14</v>
      </c>
    </row>
    <row r="2603" spans="1:17" x14ac:dyDescent="0.3">
      <c r="A2603" s="27">
        <v>44</v>
      </c>
      <c r="B2603" s="24">
        <v>68.67</v>
      </c>
      <c r="C2603" s="25">
        <f>Sales!$B2603*Sales!$A2603</f>
        <v>3021.48</v>
      </c>
      <c r="D2603" s="26">
        <v>38155</v>
      </c>
      <c r="E2603" s="27" t="s">
        <v>9</v>
      </c>
      <c r="F2603" s="27">
        <v>2</v>
      </c>
      <c r="G2603" s="27">
        <v>6</v>
      </c>
      <c r="H2603" s="27">
        <v>2004</v>
      </c>
      <c r="I2603" s="27" t="s">
        <v>118</v>
      </c>
      <c r="J2603" s="25">
        <v>72</v>
      </c>
      <c r="K2603" s="25">
        <f>Sales!$B2603-Sales!$J2603</f>
        <v>-3.3299999999999983</v>
      </c>
      <c r="L2603" s="28">
        <f>(Sales!$J2603-Sales!$B2603)/Sales!$J2603</f>
        <v>4.6249999999999979E-2</v>
      </c>
      <c r="M2603" s="28" t="str">
        <f t="shared" si="40"/>
        <v>0%-5%</v>
      </c>
      <c r="N2603" s="27" t="s">
        <v>68</v>
      </c>
      <c r="O2603" s="27" t="s">
        <v>56</v>
      </c>
      <c r="P2603" s="27" t="s">
        <v>13</v>
      </c>
      <c r="Q2603" s="27" t="s">
        <v>19</v>
      </c>
    </row>
    <row r="2604" spans="1:17" x14ac:dyDescent="0.3">
      <c r="A2604" s="22">
        <v>42</v>
      </c>
      <c r="B2604" s="19">
        <v>62.16</v>
      </c>
      <c r="C2604" s="20">
        <f>Sales!$B2604*Sales!$A2604</f>
        <v>2610.7199999999998</v>
      </c>
      <c r="D2604" s="21">
        <v>38189</v>
      </c>
      <c r="E2604" s="22" t="s">
        <v>9</v>
      </c>
      <c r="F2604" s="22">
        <v>3</v>
      </c>
      <c r="G2604" s="22">
        <v>7</v>
      </c>
      <c r="H2604" s="22">
        <v>2004</v>
      </c>
      <c r="I2604" s="22" t="s">
        <v>118</v>
      </c>
      <c r="J2604" s="20">
        <v>72</v>
      </c>
      <c r="K2604" s="20">
        <f>Sales!$B2604-Sales!$J2604</f>
        <v>-9.8400000000000034</v>
      </c>
      <c r="L2604" s="23">
        <f>(Sales!$J2604-Sales!$B2604)/Sales!$J2604</f>
        <v>0.13666666666666671</v>
      </c>
      <c r="M2604" s="23" t="str">
        <f t="shared" si="40"/>
        <v>10%-15%</v>
      </c>
      <c r="N2604" s="22" t="s">
        <v>80</v>
      </c>
      <c r="O2604" s="22" t="s">
        <v>81</v>
      </c>
      <c r="P2604" s="22" t="s">
        <v>17</v>
      </c>
      <c r="Q2604" s="22" t="s">
        <v>14</v>
      </c>
    </row>
    <row r="2605" spans="1:17" x14ac:dyDescent="0.3">
      <c r="A2605" s="27">
        <v>47</v>
      </c>
      <c r="B2605" s="24">
        <v>65.77</v>
      </c>
      <c r="C2605" s="25">
        <f>Sales!$B2605*Sales!$A2605</f>
        <v>3091.1899999999996</v>
      </c>
      <c r="D2605" s="26">
        <v>38219</v>
      </c>
      <c r="E2605" s="27" t="s">
        <v>9</v>
      </c>
      <c r="F2605" s="27">
        <v>3</v>
      </c>
      <c r="G2605" s="27">
        <v>8</v>
      </c>
      <c r="H2605" s="27">
        <v>2004</v>
      </c>
      <c r="I2605" s="27" t="s">
        <v>118</v>
      </c>
      <c r="J2605" s="25">
        <v>72</v>
      </c>
      <c r="K2605" s="25">
        <f>Sales!$B2605-Sales!$J2605</f>
        <v>-6.230000000000004</v>
      </c>
      <c r="L2605" s="28">
        <f>(Sales!$J2605-Sales!$B2605)/Sales!$J2605</f>
        <v>8.6527777777777828E-2</v>
      </c>
      <c r="M2605" s="28" t="str">
        <f t="shared" si="40"/>
        <v>5%-10%</v>
      </c>
      <c r="N2605" s="27" t="s">
        <v>82</v>
      </c>
      <c r="O2605" s="27" t="s">
        <v>56</v>
      </c>
      <c r="P2605" s="27" t="s">
        <v>13</v>
      </c>
      <c r="Q2605" s="27" t="s">
        <v>19</v>
      </c>
    </row>
    <row r="2606" spans="1:17" x14ac:dyDescent="0.3">
      <c r="A2606" s="22">
        <v>44</v>
      </c>
      <c r="B2606" s="19">
        <v>58.55</v>
      </c>
      <c r="C2606" s="20">
        <f>Sales!$B2606*Sales!$A2606</f>
        <v>2576.1999999999998</v>
      </c>
      <c r="D2606" s="21">
        <v>38240</v>
      </c>
      <c r="E2606" s="22" t="s">
        <v>9</v>
      </c>
      <c r="F2606" s="22">
        <v>3</v>
      </c>
      <c r="G2606" s="22">
        <v>9</v>
      </c>
      <c r="H2606" s="22">
        <v>2004</v>
      </c>
      <c r="I2606" s="22" t="s">
        <v>118</v>
      </c>
      <c r="J2606" s="20">
        <v>72</v>
      </c>
      <c r="K2606" s="20">
        <f>Sales!$B2606-Sales!$J2606</f>
        <v>-13.450000000000003</v>
      </c>
      <c r="L2606" s="23">
        <f>(Sales!$J2606-Sales!$B2606)/Sales!$J2606</f>
        <v>0.18680555555555559</v>
      </c>
      <c r="M2606" s="23" t="str">
        <f t="shared" si="40"/>
        <v>15%-20%</v>
      </c>
      <c r="N2606" s="22" t="s">
        <v>83</v>
      </c>
      <c r="O2606" s="22" t="s">
        <v>12</v>
      </c>
      <c r="P2606" s="22" t="s">
        <v>13</v>
      </c>
      <c r="Q2606" s="22" t="s">
        <v>14</v>
      </c>
    </row>
    <row r="2607" spans="1:17" x14ac:dyDescent="0.3">
      <c r="A2607" s="27">
        <v>43</v>
      </c>
      <c r="B2607" s="24">
        <v>75.17</v>
      </c>
      <c r="C2607" s="25">
        <f>Sales!$B2607*Sales!$A2607</f>
        <v>3232.31</v>
      </c>
      <c r="D2607" s="26">
        <v>38274</v>
      </c>
      <c r="E2607" s="27" t="s">
        <v>9</v>
      </c>
      <c r="F2607" s="27">
        <v>4</v>
      </c>
      <c r="G2607" s="27">
        <v>10</v>
      </c>
      <c r="H2607" s="27">
        <v>2004</v>
      </c>
      <c r="I2607" s="27" t="s">
        <v>118</v>
      </c>
      <c r="J2607" s="25">
        <v>72</v>
      </c>
      <c r="K2607" s="25">
        <f>Sales!$B2607-Sales!$J2607</f>
        <v>3.1700000000000017</v>
      </c>
      <c r="L2607" s="28">
        <f>(Sales!$J2607-Sales!$B2607)/Sales!$J2607</f>
        <v>-4.4027777777777805E-2</v>
      </c>
      <c r="M2607" s="28" t="str">
        <f t="shared" si="40"/>
        <v>Below 0%</v>
      </c>
      <c r="N2607" s="27" t="s">
        <v>102</v>
      </c>
      <c r="O2607" s="27" t="s">
        <v>43</v>
      </c>
      <c r="P2607" s="27" t="s">
        <v>17</v>
      </c>
      <c r="Q2607" s="27" t="s">
        <v>19</v>
      </c>
    </row>
    <row r="2608" spans="1:17" x14ac:dyDescent="0.3">
      <c r="A2608" s="22">
        <v>48</v>
      </c>
      <c r="B2608" s="19">
        <v>74.45</v>
      </c>
      <c r="C2608" s="20">
        <f>Sales!$B2608*Sales!$A2608</f>
        <v>3573.6000000000004</v>
      </c>
      <c r="D2608" s="21">
        <v>38292</v>
      </c>
      <c r="E2608" s="22" t="s">
        <v>9</v>
      </c>
      <c r="F2608" s="22">
        <v>4</v>
      </c>
      <c r="G2608" s="22">
        <v>11</v>
      </c>
      <c r="H2608" s="22">
        <v>2004</v>
      </c>
      <c r="I2608" s="22" t="s">
        <v>118</v>
      </c>
      <c r="J2608" s="20">
        <v>72</v>
      </c>
      <c r="K2608" s="20">
        <f>Sales!$B2608-Sales!$J2608</f>
        <v>2.4500000000000028</v>
      </c>
      <c r="L2608" s="23">
        <f>(Sales!$J2608-Sales!$B2608)/Sales!$J2608</f>
        <v>-3.4027777777777816E-2</v>
      </c>
      <c r="M2608" s="23" t="str">
        <f t="shared" si="40"/>
        <v>Below 0%</v>
      </c>
      <c r="N2608" s="22" t="s">
        <v>84</v>
      </c>
      <c r="O2608" s="22" t="s">
        <v>43</v>
      </c>
      <c r="P2608" s="22" t="s">
        <v>17</v>
      </c>
      <c r="Q2608" s="22" t="s">
        <v>19</v>
      </c>
    </row>
    <row r="2609" spans="1:17" x14ac:dyDescent="0.3">
      <c r="A2609" s="27">
        <v>21</v>
      </c>
      <c r="B2609" s="24">
        <v>96.31</v>
      </c>
      <c r="C2609" s="25">
        <f>Sales!$B2609*Sales!$A2609</f>
        <v>2022.51</v>
      </c>
      <c r="D2609" s="26">
        <v>38301</v>
      </c>
      <c r="E2609" s="27" t="s">
        <v>88</v>
      </c>
      <c r="F2609" s="27">
        <v>4</v>
      </c>
      <c r="G2609" s="27">
        <v>11</v>
      </c>
      <c r="H2609" s="27">
        <v>2004</v>
      </c>
      <c r="I2609" s="27" t="s">
        <v>118</v>
      </c>
      <c r="J2609" s="25">
        <v>72</v>
      </c>
      <c r="K2609" s="25">
        <f>Sales!$B2609-Sales!$J2609</f>
        <v>24.310000000000002</v>
      </c>
      <c r="L2609" s="28">
        <f>(Sales!$J2609-Sales!$B2609)/Sales!$J2609</f>
        <v>-0.33763888888888893</v>
      </c>
      <c r="M2609" s="28" t="str">
        <f t="shared" si="40"/>
        <v>Below 0%</v>
      </c>
      <c r="N2609" s="27" t="s">
        <v>72</v>
      </c>
      <c r="O2609" s="27" t="s">
        <v>73</v>
      </c>
      <c r="P2609" s="27" t="s">
        <v>17</v>
      </c>
      <c r="Q2609" s="27" t="s">
        <v>14</v>
      </c>
    </row>
    <row r="2610" spans="1:17" x14ac:dyDescent="0.3">
      <c r="A2610" s="22">
        <v>50</v>
      </c>
      <c r="B2610" s="19">
        <v>74.349999999999994</v>
      </c>
      <c r="C2610" s="20">
        <f>Sales!$B2610*Sales!$A2610</f>
        <v>3717.4999999999995</v>
      </c>
      <c r="D2610" s="21">
        <v>38314</v>
      </c>
      <c r="E2610" s="22" t="s">
        <v>9</v>
      </c>
      <c r="F2610" s="22">
        <v>4</v>
      </c>
      <c r="G2610" s="22">
        <v>11</v>
      </c>
      <c r="H2610" s="22">
        <v>2004</v>
      </c>
      <c r="I2610" s="22" t="s">
        <v>118</v>
      </c>
      <c r="J2610" s="20">
        <v>72</v>
      </c>
      <c r="K2610" s="20">
        <f>Sales!$B2610-Sales!$J2610</f>
        <v>2.3499999999999943</v>
      </c>
      <c r="L2610" s="23">
        <f>(Sales!$J2610-Sales!$B2610)/Sales!$J2610</f>
        <v>-3.2638888888888808E-2</v>
      </c>
      <c r="M2610" s="23" t="str">
        <f t="shared" si="40"/>
        <v>Below 0%</v>
      </c>
      <c r="N2610" s="22" t="s">
        <v>59</v>
      </c>
      <c r="O2610" s="22" t="s">
        <v>51</v>
      </c>
      <c r="P2610" s="22" t="s">
        <v>51</v>
      </c>
      <c r="Q2610" s="22" t="s">
        <v>19</v>
      </c>
    </row>
    <row r="2611" spans="1:17" x14ac:dyDescent="0.3">
      <c r="A2611" s="27">
        <v>29</v>
      </c>
      <c r="B2611" s="24">
        <v>75.349999999999994</v>
      </c>
      <c r="C2611" s="25">
        <f>Sales!$B2611*Sales!$A2611</f>
        <v>2185.1499999999996</v>
      </c>
      <c r="D2611" s="26">
        <v>38323</v>
      </c>
      <c r="E2611" s="27" t="s">
        <v>9</v>
      </c>
      <c r="F2611" s="27">
        <v>4</v>
      </c>
      <c r="G2611" s="27">
        <v>12</v>
      </c>
      <c r="H2611" s="27">
        <v>2004</v>
      </c>
      <c r="I2611" s="27" t="s">
        <v>118</v>
      </c>
      <c r="J2611" s="25">
        <v>72</v>
      </c>
      <c r="K2611" s="25">
        <f>Sales!$B2611-Sales!$J2611</f>
        <v>3.3499999999999943</v>
      </c>
      <c r="L2611" s="28">
        <f>(Sales!$J2611-Sales!$B2611)/Sales!$J2611</f>
        <v>-4.6527777777777696E-2</v>
      </c>
      <c r="M2611" s="28" t="str">
        <f t="shared" si="40"/>
        <v>Below 0%</v>
      </c>
      <c r="N2611" s="27" t="s">
        <v>45</v>
      </c>
      <c r="O2611" s="27" t="s">
        <v>46</v>
      </c>
      <c r="P2611" s="27" t="s">
        <v>17</v>
      </c>
      <c r="Q2611" s="27" t="s">
        <v>14</v>
      </c>
    </row>
    <row r="2612" spans="1:17" x14ac:dyDescent="0.3">
      <c r="A2612" s="22">
        <v>41</v>
      </c>
      <c r="B2612" s="19">
        <v>70.33</v>
      </c>
      <c r="C2612" s="20">
        <f>Sales!$B2612*Sales!$A2612</f>
        <v>2883.5299999999997</v>
      </c>
      <c r="D2612" s="21">
        <v>38383</v>
      </c>
      <c r="E2612" s="22" t="s">
        <v>9</v>
      </c>
      <c r="F2612" s="22">
        <v>1</v>
      </c>
      <c r="G2612" s="22">
        <v>1</v>
      </c>
      <c r="H2612" s="22">
        <v>2005</v>
      </c>
      <c r="I2612" s="22" t="s">
        <v>118</v>
      </c>
      <c r="J2612" s="20">
        <v>72</v>
      </c>
      <c r="K2612" s="20">
        <f>Sales!$B2612-Sales!$J2612</f>
        <v>-1.6700000000000017</v>
      </c>
      <c r="L2612" s="23">
        <f>(Sales!$J2612-Sales!$B2612)/Sales!$J2612</f>
        <v>2.3194444444444469E-2</v>
      </c>
      <c r="M2612" s="23" t="str">
        <f t="shared" si="40"/>
        <v>0%-5%</v>
      </c>
      <c r="N2612" s="22" t="s">
        <v>85</v>
      </c>
      <c r="O2612" s="22" t="s">
        <v>34</v>
      </c>
      <c r="P2612" s="22" t="s">
        <v>17</v>
      </c>
      <c r="Q2612" s="22" t="s">
        <v>14</v>
      </c>
    </row>
    <row r="2613" spans="1:17" x14ac:dyDescent="0.3">
      <c r="A2613" s="27">
        <v>37</v>
      </c>
      <c r="B2613" s="24">
        <v>100</v>
      </c>
      <c r="C2613" s="25">
        <f>Sales!$B2613*Sales!$A2613</f>
        <v>3700</v>
      </c>
      <c r="D2613" s="26">
        <v>38412</v>
      </c>
      <c r="E2613" s="27" t="s">
        <v>88</v>
      </c>
      <c r="F2613" s="27">
        <v>1</v>
      </c>
      <c r="G2613" s="27">
        <v>3</v>
      </c>
      <c r="H2613" s="27">
        <v>2005</v>
      </c>
      <c r="I2613" s="27" t="s">
        <v>118</v>
      </c>
      <c r="J2613" s="25">
        <v>72</v>
      </c>
      <c r="K2613" s="25">
        <f>Sales!$B2613-Sales!$J2613</f>
        <v>28</v>
      </c>
      <c r="L2613" s="28">
        <f>(Sales!$J2613-Sales!$B2613)/Sales!$J2613</f>
        <v>-0.3888888888888889</v>
      </c>
      <c r="M2613" s="28" t="str">
        <f t="shared" si="40"/>
        <v>Below 0%</v>
      </c>
      <c r="N2613" s="27" t="s">
        <v>45</v>
      </c>
      <c r="O2613" s="27" t="s">
        <v>46</v>
      </c>
      <c r="P2613" s="27" t="s">
        <v>17</v>
      </c>
      <c r="Q2613" s="27" t="s">
        <v>19</v>
      </c>
    </row>
    <row r="2614" spans="1:17" x14ac:dyDescent="0.3">
      <c r="A2614" s="22">
        <v>22</v>
      </c>
      <c r="B2614" s="19">
        <v>66.5</v>
      </c>
      <c r="C2614" s="20">
        <f>Sales!$B2614*Sales!$A2614</f>
        <v>1463</v>
      </c>
      <c r="D2614" s="21">
        <v>38439</v>
      </c>
      <c r="E2614" s="22" t="s">
        <v>9</v>
      </c>
      <c r="F2614" s="22">
        <v>1</v>
      </c>
      <c r="G2614" s="22">
        <v>3</v>
      </c>
      <c r="H2614" s="22">
        <v>2005</v>
      </c>
      <c r="I2614" s="22" t="s">
        <v>118</v>
      </c>
      <c r="J2614" s="20">
        <v>72</v>
      </c>
      <c r="K2614" s="20">
        <f>Sales!$B2614-Sales!$J2614</f>
        <v>-5.5</v>
      </c>
      <c r="L2614" s="23">
        <f>(Sales!$J2614-Sales!$B2614)/Sales!$J2614</f>
        <v>7.6388888888888895E-2</v>
      </c>
      <c r="M2614" s="23" t="str">
        <f t="shared" si="40"/>
        <v>5%-10%</v>
      </c>
      <c r="N2614" s="22" t="s">
        <v>76</v>
      </c>
      <c r="O2614" s="22" t="s">
        <v>16</v>
      </c>
      <c r="P2614" s="22" t="s">
        <v>17</v>
      </c>
      <c r="Q2614" s="22" t="s">
        <v>14</v>
      </c>
    </row>
    <row r="2615" spans="1:17" x14ac:dyDescent="0.3">
      <c r="A2615" s="27">
        <v>31</v>
      </c>
      <c r="B2615" s="24">
        <v>75.89</v>
      </c>
      <c r="C2615" s="25">
        <f>Sales!$B2615*Sales!$A2615</f>
        <v>2352.59</v>
      </c>
      <c r="D2615" s="26">
        <v>38478</v>
      </c>
      <c r="E2615" s="27" t="s">
        <v>87</v>
      </c>
      <c r="F2615" s="27">
        <v>2</v>
      </c>
      <c r="G2615" s="27">
        <v>5</v>
      </c>
      <c r="H2615" s="27">
        <v>2005</v>
      </c>
      <c r="I2615" s="27" t="s">
        <v>118</v>
      </c>
      <c r="J2615" s="25">
        <v>72</v>
      </c>
      <c r="K2615" s="25">
        <f>Sales!$B2615-Sales!$J2615</f>
        <v>3.8900000000000006</v>
      </c>
      <c r="L2615" s="28">
        <f>(Sales!$J2615-Sales!$B2615)/Sales!$J2615</f>
        <v>-5.4027777777777786E-2</v>
      </c>
      <c r="M2615" s="28" t="str">
        <f t="shared" si="40"/>
        <v>Below 0%</v>
      </c>
      <c r="N2615" s="27" t="s">
        <v>83</v>
      </c>
      <c r="O2615" s="27" t="s">
        <v>12</v>
      </c>
      <c r="P2615" s="27" t="s">
        <v>13</v>
      </c>
      <c r="Q2615" s="27" t="s">
        <v>14</v>
      </c>
    </row>
    <row r="2616" spans="1:17" x14ac:dyDescent="0.3">
      <c r="A2616" s="22">
        <v>42</v>
      </c>
      <c r="B2616" s="19">
        <v>100</v>
      </c>
      <c r="C2616" s="20">
        <f>Sales!$B2616*Sales!$A2616</f>
        <v>4200</v>
      </c>
      <c r="D2616" s="21">
        <v>37650</v>
      </c>
      <c r="E2616" s="22" t="s">
        <v>9</v>
      </c>
      <c r="F2616" s="22">
        <v>1</v>
      </c>
      <c r="G2616" s="22">
        <v>1</v>
      </c>
      <c r="H2616" s="22">
        <v>2003</v>
      </c>
      <c r="I2616" s="22" t="s">
        <v>47</v>
      </c>
      <c r="J2616" s="20">
        <v>101</v>
      </c>
      <c r="K2616" s="20">
        <f>Sales!$B2616-Sales!$J2616</f>
        <v>-1</v>
      </c>
      <c r="L2616" s="23">
        <f>(Sales!$J2616-Sales!$B2616)/Sales!$J2616</f>
        <v>9.9009900990099011E-3</v>
      </c>
      <c r="M2616" s="23" t="str">
        <f t="shared" si="40"/>
        <v>0%-5%</v>
      </c>
      <c r="N2616" s="22" t="s">
        <v>35</v>
      </c>
      <c r="O2616" s="22" t="s">
        <v>25</v>
      </c>
      <c r="P2616" s="22" t="s">
        <v>17</v>
      </c>
      <c r="Q2616" s="22" t="s">
        <v>19</v>
      </c>
    </row>
    <row r="2617" spans="1:17" x14ac:dyDescent="0.3">
      <c r="A2617" s="27">
        <v>42</v>
      </c>
      <c r="B2617" s="24">
        <v>100</v>
      </c>
      <c r="C2617" s="25">
        <f>Sales!$B2617*Sales!$A2617</f>
        <v>4200</v>
      </c>
      <c r="D2617" s="26">
        <v>37712</v>
      </c>
      <c r="E2617" s="27" t="s">
        <v>9</v>
      </c>
      <c r="F2617" s="27">
        <v>2</v>
      </c>
      <c r="G2617" s="27">
        <v>4</v>
      </c>
      <c r="H2617" s="27">
        <v>2003</v>
      </c>
      <c r="I2617" s="27" t="s">
        <v>47</v>
      </c>
      <c r="J2617" s="25">
        <v>101</v>
      </c>
      <c r="K2617" s="25">
        <f>Sales!$B2617-Sales!$J2617</f>
        <v>-1</v>
      </c>
      <c r="L2617" s="28">
        <f>(Sales!$J2617-Sales!$B2617)/Sales!$J2617</f>
        <v>9.9009900990099011E-3</v>
      </c>
      <c r="M2617" s="28" t="str">
        <f t="shared" si="40"/>
        <v>0%-5%</v>
      </c>
      <c r="N2617" s="27" t="s">
        <v>18</v>
      </c>
      <c r="O2617" s="27" t="s">
        <v>16</v>
      </c>
      <c r="P2617" s="27" t="s">
        <v>17</v>
      </c>
      <c r="Q2617" s="27" t="s">
        <v>19</v>
      </c>
    </row>
    <row r="2618" spans="1:17" x14ac:dyDescent="0.3">
      <c r="A2618" s="22">
        <v>45</v>
      </c>
      <c r="B2618" s="19">
        <v>100</v>
      </c>
      <c r="C2618" s="20">
        <f>Sales!$B2618*Sales!$A2618</f>
        <v>4500</v>
      </c>
      <c r="D2618" s="21">
        <v>37769</v>
      </c>
      <c r="E2618" s="22" t="s">
        <v>9</v>
      </c>
      <c r="F2618" s="22">
        <v>2</v>
      </c>
      <c r="G2618" s="22">
        <v>5</v>
      </c>
      <c r="H2618" s="22">
        <v>2003</v>
      </c>
      <c r="I2618" s="22" t="s">
        <v>47</v>
      </c>
      <c r="J2618" s="20">
        <v>101</v>
      </c>
      <c r="K2618" s="20">
        <f>Sales!$B2618-Sales!$J2618</f>
        <v>-1</v>
      </c>
      <c r="L2618" s="23">
        <f>(Sales!$J2618-Sales!$B2618)/Sales!$J2618</f>
        <v>9.9009900990099011E-3</v>
      </c>
      <c r="M2618" s="23" t="str">
        <f t="shared" si="40"/>
        <v>0%-5%</v>
      </c>
      <c r="N2618" s="22" t="s">
        <v>45</v>
      </c>
      <c r="O2618" s="22" t="s">
        <v>46</v>
      </c>
      <c r="P2618" s="22" t="s">
        <v>17</v>
      </c>
      <c r="Q2618" s="22" t="s">
        <v>19</v>
      </c>
    </row>
    <row r="2619" spans="1:17" x14ac:dyDescent="0.3">
      <c r="A2619" s="27">
        <v>36</v>
      </c>
      <c r="B2619" s="24">
        <v>100</v>
      </c>
      <c r="C2619" s="25">
        <f>Sales!$B2619*Sales!$A2619</f>
        <v>3600</v>
      </c>
      <c r="D2619" s="26">
        <v>37826</v>
      </c>
      <c r="E2619" s="27" t="s">
        <v>9</v>
      </c>
      <c r="F2619" s="27">
        <v>3</v>
      </c>
      <c r="G2619" s="27">
        <v>7</v>
      </c>
      <c r="H2619" s="27">
        <v>2003</v>
      </c>
      <c r="I2619" s="27" t="s">
        <v>47</v>
      </c>
      <c r="J2619" s="25">
        <v>101</v>
      </c>
      <c r="K2619" s="25">
        <f>Sales!$B2619-Sales!$J2619</f>
        <v>-1</v>
      </c>
      <c r="L2619" s="28">
        <f>(Sales!$J2619-Sales!$B2619)/Sales!$J2619</f>
        <v>9.9009900990099011E-3</v>
      </c>
      <c r="M2619" s="28" t="str">
        <f t="shared" si="40"/>
        <v>0%-5%</v>
      </c>
      <c r="N2619" s="27" t="s">
        <v>22</v>
      </c>
      <c r="O2619" s="27" t="s">
        <v>12</v>
      </c>
      <c r="P2619" s="27" t="s">
        <v>13</v>
      </c>
      <c r="Q2619" s="27" t="s">
        <v>19</v>
      </c>
    </row>
    <row r="2620" spans="1:17" x14ac:dyDescent="0.3">
      <c r="A2620" s="22">
        <v>20</v>
      </c>
      <c r="B2620" s="19">
        <v>100</v>
      </c>
      <c r="C2620" s="20">
        <f>Sales!$B2620*Sales!$A2620</f>
        <v>2000</v>
      </c>
      <c r="D2620" s="21">
        <v>37883</v>
      </c>
      <c r="E2620" s="22" t="s">
        <v>9</v>
      </c>
      <c r="F2620" s="22">
        <v>3</v>
      </c>
      <c r="G2620" s="22">
        <v>9</v>
      </c>
      <c r="H2620" s="22">
        <v>2003</v>
      </c>
      <c r="I2620" s="22" t="s">
        <v>47</v>
      </c>
      <c r="J2620" s="20">
        <v>101</v>
      </c>
      <c r="K2620" s="20">
        <f>Sales!$B2620-Sales!$J2620</f>
        <v>-1</v>
      </c>
      <c r="L2620" s="23">
        <f>(Sales!$J2620-Sales!$B2620)/Sales!$J2620</f>
        <v>9.9009900990099011E-3</v>
      </c>
      <c r="M2620" s="23" t="str">
        <f t="shared" si="40"/>
        <v>0%-5%</v>
      </c>
      <c r="N2620" s="22" t="s">
        <v>50</v>
      </c>
      <c r="O2620" s="22" t="s">
        <v>50</v>
      </c>
      <c r="P2620" s="22" t="s">
        <v>28</v>
      </c>
      <c r="Q2620" s="22" t="s">
        <v>14</v>
      </c>
    </row>
    <row r="2621" spans="1:17" x14ac:dyDescent="0.3">
      <c r="A2621" s="27">
        <v>39</v>
      </c>
      <c r="B2621" s="24">
        <v>81.93</v>
      </c>
      <c r="C2621" s="25">
        <f>Sales!$B2621*Sales!$A2621</f>
        <v>3195.2700000000004</v>
      </c>
      <c r="D2621" s="26">
        <v>37915</v>
      </c>
      <c r="E2621" s="27" t="s">
        <v>88</v>
      </c>
      <c r="F2621" s="27">
        <v>4</v>
      </c>
      <c r="G2621" s="27">
        <v>10</v>
      </c>
      <c r="H2621" s="27">
        <v>2003</v>
      </c>
      <c r="I2621" s="27" t="s">
        <v>47</v>
      </c>
      <c r="J2621" s="25">
        <v>101</v>
      </c>
      <c r="K2621" s="25">
        <f>Sales!$B2621-Sales!$J2621</f>
        <v>-19.069999999999993</v>
      </c>
      <c r="L2621" s="28">
        <f>(Sales!$J2621-Sales!$B2621)/Sales!$J2621</f>
        <v>0.18881188118811876</v>
      </c>
      <c r="M2621" s="28" t="str">
        <f t="shared" si="40"/>
        <v>15%-20%</v>
      </c>
      <c r="N2621" s="27" t="s">
        <v>89</v>
      </c>
      <c r="O2621" s="27" t="s">
        <v>38</v>
      </c>
      <c r="P2621" s="27" t="s">
        <v>17</v>
      </c>
      <c r="Q2621" s="27" t="s">
        <v>19</v>
      </c>
    </row>
    <row r="2622" spans="1:17" x14ac:dyDescent="0.3">
      <c r="A2622" s="22">
        <v>42</v>
      </c>
      <c r="B2622" s="19">
        <v>85.98</v>
      </c>
      <c r="C2622" s="20">
        <f>Sales!$B2622*Sales!$A2622</f>
        <v>3611.1600000000003</v>
      </c>
      <c r="D2622" s="21">
        <v>37931</v>
      </c>
      <c r="E2622" s="22" t="s">
        <v>9</v>
      </c>
      <c r="F2622" s="22">
        <v>4</v>
      </c>
      <c r="G2622" s="22">
        <v>11</v>
      </c>
      <c r="H2622" s="22">
        <v>2003</v>
      </c>
      <c r="I2622" s="22" t="s">
        <v>47</v>
      </c>
      <c r="J2622" s="20">
        <v>101</v>
      </c>
      <c r="K2622" s="20">
        <f>Sales!$B2622-Sales!$J2622</f>
        <v>-15.019999999999996</v>
      </c>
      <c r="L2622" s="23">
        <f>(Sales!$J2622-Sales!$B2622)/Sales!$J2622</f>
        <v>0.14871287128712868</v>
      </c>
      <c r="M2622" s="23" t="str">
        <f t="shared" si="40"/>
        <v>10%-15%</v>
      </c>
      <c r="N2622" s="22" t="s">
        <v>74</v>
      </c>
      <c r="O2622" s="22" t="s">
        <v>43</v>
      </c>
      <c r="P2622" s="22" t="s">
        <v>17</v>
      </c>
      <c r="Q2622" s="22" t="s">
        <v>19</v>
      </c>
    </row>
    <row r="2623" spans="1:17" x14ac:dyDescent="0.3">
      <c r="A2623" s="27">
        <v>23</v>
      </c>
      <c r="B2623" s="24">
        <v>86.99</v>
      </c>
      <c r="C2623" s="25">
        <f>Sales!$B2623*Sales!$A2623</f>
        <v>2000.77</v>
      </c>
      <c r="D2623" s="26">
        <v>37938</v>
      </c>
      <c r="E2623" s="27" t="s">
        <v>9</v>
      </c>
      <c r="F2623" s="27">
        <v>4</v>
      </c>
      <c r="G2623" s="27">
        <v>11</v>
      </c>
      <c r="H2623" s="27">
        <v>2003</v>
      </c>
      <c r="I2623" s="27" t="s">
        <v>47</v>
      </c>
      <c r="J2623" s="25">
        <v>101</v>
      </c>
      <c r="K2623" s="25">
        <f>Sales!$B2623-Sales!$J2623</f>
        <v>-14.010000000000005</v>
      </c>
      <c r="L2623" s="28">
        <f>(Sales!$J2623-Sales!$B2623)/Sales!$J2623</f>
        <v>0.13871287128712875</v>
      </c>
      <c r="M2623" s="28" t="str">
        <f t="shared" si="40"/>
        <v>10%-15%</v>
      </c>
      <c r="N2623" s="27" t="s">
        <v>53</v>
      </c>
      <c r="O2623" s="27" t="s">
        <v>12</v>
      </c>
      <c r="P2623" s="27" t="s">
        <v>13</v>
      </c>
      <c r="Q2623" s="27" t="s">
        <v>14</v>
      </c>
    </row>
    <row r="2624" spans="1:17" x14ac:dyDescent="0.3">
      <c r="A2624" s="22">
        <v>26</v>
      </c>
      <c r="B2624" s="19">
        <v>89.01</v>
      </c>
      <c r="C2624" s="20">
        <f>Sales!$B2624*Sales!$A2624</f>
        <v>2314.2600000000002</v>
      </c>
      <c r="D2624" s="21">
        <v>37950</v>
      </c>
      <c r="E2624" s="22" t="s">
        <v>9</v>
      </c>
      <c r="F2624" s="22">
        <v>4</v>
      </c>
      <c r="G2624" s="22">
        <v>11</v>
      </c>
      <c r="H2624" s="22">
        <v>2003</v>
      </c>
      <c r="I2624" s="22" t="s">
        <v>47</v>
      </c>
      <c r="J2624" s="20">
        <v>101</v>
      </c>
      <c r="K2624" s="20">
        <f>Sales!$B2624-Sales!$J2624</f>
        <v>-11.989999999999995</v>
      </c>
      <c r="L2624" s="23">
        <f>(Sales!$J2624-Sales!$B2624)/Sales!$J2624</f>
        <v>0.11871287128712867</v>
      </c>
      <c r="M2624" s="23" t="str">
        <f t="shared" si="40"/>
        <v>10%-15%</v>
      </c>
      <c r="N2624" s="22" t="s">
        <v>54</v>
      </c>
      <c r="O2624" s="22" t="s">
        <v>16</v>
      </c>
      <c r="P2624" s="22" t="s">
        <v>17</v>
      </c>
      <c r="Q2624" s="22" t="s">
        <v>14</v>
      </c>
    </row>
    <row r="2625" spans="1:17" x14ac:dyDescent="0.3">
      <c r="A2625" s="27">
        <v>33</v>
      </c>
      <c r="B2625" s="24">
        <v>100</v>
      </c>
      <c r="C2625" s="25">
        <f>Sales!$B2625*Sales!$A2625</f>
        <v>3300</v>
      </c>
      <c r="D2625" s="26">
        <v>37960</v>
      </c>
      <c r="E2625" s="27" t="s">
        <v>9</v>
      </c>
      <c r="F2625" s="27">
        <v>4</v>
      </c>
      <c r="G2625" s="27">
        <v>12</v>
      </c>
      <c r="H2625" s="27">
        <v>2003</v>
      </c>
      <c r="I2625" s="27" t="s">
        <v>47</v>
      </c>
      <c r="J2625" s="25">
        <v>101</v>
      </c>
      <c r="K2625" s="25">
        <f>Sales!$B2625-Sales!$J2625</f>
        <v>-1</v>
      </c>
      <c r="L2625" s="28">
        <f>(Sales!$J2625-Sales!$B2625)/Sales!$J2625</f>
        <v>9.9009900990099011E-3</v>
      </c>
      <c r="M2625" s="28" t="str">
        <f t="shared" si="40"/>
        <v>0%-5%</v>
      </c>
      <c r="N2625" s="27" t="s">
        <v>55</v>
      </c>
      <c r="O2625" s="27" t="s">
        <v>56</v>
      </c>
      <c r="P2625" s="27" t="s">
        <v>13</v>
      </c>
      <c r="Q2625" s="27" t="s">
        <v>19</v>
      </c>
    </row>
    <row r="2626" spans="1:17" x14ac:dyDescent="0.3">
      <c r="A2626" s="22">
        <v>31</v>
      </c>
      <c r="B2626" s="19">
        <v>88</v>
      </c>
      <c r="C2626" s="20">
        <f>Sales!$B2626*Sales!$A2626</f>
        <v>2728</v>
      </c>
      <c r="D2626" s="21">
        <v>38021</v>
      </c>
      <c r="E2626" s="22" t="s">
        <v>9</v>
      </c>
      <c r="F2626" s="22">
        <v>1</v>
      </c>
      <c r="G2626" s="22">
        <v>2</v>
      </c>
      <c r="H2626" s="22">
        <v>2004</v>
      </c>
      <c r="I2626" s="22" t="s">
        <v>47</v>
      </c>
      <c r="J2626" s="20">
        <v>101</v>
      </c>
      <c r="K2626" s="20">
        <f>Sales!$B2626-Sales!$J2626</f>
        <v>-13</v>
      </c>
      <c r="L2626" s="23">
        <f>(Sales!$J2626-Sales!$B2626)/Sales!$J2626</f>
        <v>0.12871287128712872</v>
      </c>
      <c r="M2626" s="23" t="str">
        <f t="shared" si="40"/>
        <v>10%-15%</v>
      </c>
      <c r="N2626" s="22" t="s">
        <v>50</v>
      </c>
      <c r="O2626" s="22" t="s">
        <v>50</v>
      </c>
      <c r="P2626" s="22" t="s">
        <v>28</v>
      </c>
      <c r="Q2626" s="22" t="s">
        <v>14</v>
      </c>
    </row>
    <row r="2627" spans="1:17" x14ac:dyDescent="0.3">
      <c r="A2627" s="27">
        <v>50</v>
      </c>
      <c r="B2627" s="24">
        <v>100</v>
      </c>
      <c r="C2627" s="25">
        <f>Sales!$B2627*Sales!$A2627</f>
        <v>5000</v>
      </c>
      <c r="D2627" s="26">
        <v>38057</v>
      </c>
      <c r="E2627" s="27" t="s">
        <v>9</v>
      </c>
      <c r="F2627" s="27">
        <v>1</v>
      </c>
      <c r="G2627" s="27">
        <v>3</v>
      </c>
      <c r="H2627" s="27">
        <v>2004</v>
      </c>
      <c r="I2627" s="27" t="s">
        <v>47</v>
      </c>
      <c r="J2627" s="25">
        <v>101</v>
      </c>
      <c r="K2627" s="25">
        <f>Sales!$B2627-Sales!$J2627</f>
        <v>-1</v>
      </c>
      <c r="L2627" s="28">
        <f>(Sales!$J2627-Sales!$B2627)/Sales!$J2627</f>
        <v>9.9009900990099011E-3</v>
      </c>
      <c r="M2627" s="28" t="str">
        <f t="shared" ref="M2627:M2690" si="41">IF(L2627&lt;0%,"Below 0%",IF(L2627=0%,"0%",IF(AND(L2627&lt;=5%,L2627&gt;0%),"0%-5%",IF(AND(L2627&lt;=10%,L2627&gt;5%),"5%-10%",IF(AND(L2627&lt;=15%,L2627&gt;10%),"10%-15%",IF(AND(L2627&lt;=20%,L2627&gt;15%),"15%-20%","+20%"))))))</f>
        <v>0%-5%</v>
      </c>
      <c r="N2627" s="27" t="s">
        <v>64</v>
      </c>
      <c r="O2627" s="27" t="s">
        <v>12</v>
      </c>
      <c r="P2627" s="27" t="s">
        <v>13</v>
      </c>
      <c r="Q2627" s="27" t="s">
        <v>19</v>
      </c>
    </row>
    <row r="2628" spans="1:17" x14ac:dyDescent="0.3">
      <c r="A2628" s="22">
        <v>44</v>
      </c>
      <c r="B2628" s="19">
        <v>100</v>
      </c>
      <c r="C2628" s="20">
        <f>Sales!$B2628*Sales!$A2628</f>
        <v>4400</v>
      </c>
      <c r="D2628" s="21">
        <v>38111</v>
      </c>
      <c r="E2628" s="22" t="s">
        <v>9</v>
      </c>
      <c r="F2628" s="22">
        <v>2</v>
      </c>
      <c r="G2628" s="22">
        <v>5</v>
      </c>
      <c r="H2628" s="22">
        <v>2004</v>
      </c>
      <c r="I2628" s="22" t="s">
        <v>47</v>
      </c>
      <c r="J2628" s="20">
        <v>101</v>
      </c>
      <c r="K2628" s="20">
        <f>Sales!$B2628-Sales!$J2628</f>
        <v>-1</v>
      </c>
      <c r="L2628" s="23">
        <f>(Sales!$J2628-Sales!$B2628)/Sales!$J2628</f>
        <v>9.9009900990099011E-3</v>
      </c>
      <c r="M2628" s="23" t="str">
        <f t="shared" si="41"/>
        <v>0%-5%</v>
      </c>
      <c r="N2628" s="22" t="s">
        <v>58</v>
      </c>
      <c r="O2628" s="22" t="s">
        <v>12</v>
      </c>
      <c r="P2628" s="22" t="s">
        <v>13</v>
      </c>
      <c r="Q2628" s="22" t="s">
        <v>19</v>
      </c>
    </row>
    <row r="2629" spans="1:17" x14ac:dyDescent="0.3">
      <c r="A2629" s="27">
        <v>45</v>
      </c>
      <c r="B2629" s="24">
        <v>80.92</v>
      </c>
      <c r="C2629" s="25">
        <f>Sales!$B2629*Sales!$A2629</f>
        <v>3641.4</v>
      </c>
      <c r="D2629" s="26">
        <v>38153</v>
      </c>
      <c r="E2629" s="27" t="s">
        <v>9</v>
      </c>
      <c r="F2629" s="27">
        <v>2</v>
      </c>
      <c r="G2629" s="27">
        <v>6</v>
      </c>
      <c r="H2629" s="27">
        <v>2004</v>
      </c>
      <c r="I2629" s="27" t="s">
        <v>47</v>
      </c>
      <c r="J2629" s="25">
        <v>101</v>
      </c>
      <c r="K2629" s="25">
        <f>Sales!$B2629-Sales!$J2629</f>
        <v>-20.079999999999998</v>
      </c>
      <c r="L2629" s="28">
        <f>(Sales!$J2629-Sales!$B2629)/Sales!$J2629</f>
        <v>0.19881188118811879</v>
      </c>
      <c r="M2629" s="28" t="str">
        <f t="shared" si="41"/>
        <v>15%-20%</v>
      </c>
      <c r="N2629" s="27" t="s">
        <v>59</v>
      </c>
      <c r="O2629" s="27" t="s">
        <v>51</v>
      </c>
      <c r="P2629" s="27" t="s">
        <v>51</v>
      </c>
      <c r="Q2629" s="27" t="s">
        <v>19</v>
      </c>
    </row>
    <row r="2630" spans="1:17" x14ac:dyDescent="0.3">
      <c r="A2630" s="22">
        <v>46</v>
      </c>
      <c r="B2630" s="19">
        <v>88</v>
      </c>
      <c r="C2630" s="20">
        <f>Sales!$B2630*Sales!$A2630</f>
        <v>4048</v>
      </c>
      <c r="D2630" s="21">
        <v>38187</v>
      </c>
      <c r="E2630" s="22" t="s">
        <v>9</v>
      </c>
      <c r="F2630" s="22">
        <v>3</v>
      </c>
      <c r="G2630" s="22">
        <v>7</v>
      </c>
      <c r="H2630" s="22">
        <v>2004</v>
      </c>
      <c r="I2630" s="22" t="s">
        <v>47</v>
      </c>
      <c r="J2630" s="20">
        <v>101</v>
      </c>
      <c r="K2630" s="20">
        <f>Sales!$B2630-Sales!$J2630</f>
        <v>-13</v>
      </c>
      <c r="L2630" s="23">
        <f>(Sales!$J2630-Sales!$B2630)/Sales!$J2630</f>
        <v>0.12871287128712872</v>
      </c>
      <c r="M2630" s="23" t="str">
        <f t="shared" si="41"/>
        <v>10%-15%</v>
      </c>
      <c r="N2630" s="22" t="s">
        <v>40</v>
      </c>
      <c r="O2630" s="22" t="s">
        <v>27</v>
      </c>
      <c r="P2630" s="22" t="s">
        <v>28</v>
      </c>
      <c r="Q2630" s="22" t="s">
        <v>19</v>
      </c>
    </row>
    <row r="2631" spans="1:17" x14ac:dyDescent="0.3">
      <c r="A2631" s="27">
        <v>27</v>
      </c>
      <c r="B2631" s="24">
        <v>85.98</v>
      </c>
      <c r="C2631" s="25">
        <f>Sales!$B2631*Sales!$A2631</f>
        <v>2321.46</v>
      </c>
      <c r="D2631" s="26">
        <v>38218</v>
      </c>
      <c r="E2631" s="27" t="s">
        <v>9</v>
      </c>
      <c r="F2631" s="27">
        <v>3</v>
      </c>
      <c r="G2631" s="27">
        <v>8</v>
      </c>
      <c r="H2631" s="27">
        <v>2004</v>
      </c>
      <c r="I2631" s="27" t="s">
        <v>47</v>
      </c>
      <c r="J2631" s="25">
        <v>101</v>
      </c>
      <c r="K2631" s="25">
        <f>Sales!$B2631-Sales!$J2631</f>
        <v>-15.019999999999996</v>
      </c>
      <c r="L2631" s="28">
        <f>(Sales!$J2631-Sales!$B2631)/Sales!$J2631</f>
        <v>0.14871287128712868</v>
      </c>
      <c r="M2631" s="28" t="str">
        <f t="shared" si="41"/>
        <v>10%-15%</v>
      </c>
      <c r="N2631" s="27" t="s">
        <v>36</v>
      </c>
      <c r="O2631" s="27" t="s">
        <v>12</v>
      </c>
      <c r="P2631" s="27" t="s">
        <v>13</v>
      </c>
      <c r="Q2631" s="27" t="s">
        <v>14</v>
      </c>
    </row>
    <row r="2632" spans="1:17" x14ac:dyDescent="0.3">
      <c r="A2632" s="22">
        <v>28</v>
      </c>
      <c r="B2632" s="19">
        <v>100</v>
      </c>
      <c r="C2632" s="20">
        <f>Sales!$B2632*Sales!$A2632</f>
        <v>2800</v>
      </c>
      <c r="D2632" s="21">
        <v>38238</v>
      </c>
      <c r="E2632" s="22" t="s">
        <v>9</v>
      </c>
      <c r="F2632" s="22">
        <v>3</v>
      </c>
      <c r="G2632" s="22">
        <v>9</v>
      </c>
      <c r="H2632" s="22">
        <v>2004</v>
      </c>
      <c r="I2632" s="22" t="s">
        <v>47</v>
      </c>
      <c r="J2632" s="20">
        <v>101</v>
      </c>
      <c r="K2632" s="20">
        <f>Sales!$B2632-Sales!$J2632</f>
        <v>-1</v>
      </c>
      <c r="L2632" s="23">
        <f>(Sales!$J2632-Sales!$B2632)/Sales!$J2632</f>
        <v>9.9009900990099011E-3</v>
      </c>
      <c r="M2632" s="23" t="str">
        <f t="shared" si="41"/>
        <v>0%-5%</v>
      </c>
      <c r="N2632" s="22" t="s">
        <v>62</v>
      </c>
      <c r="O2632" s="22" t="s">
        <v>49</v>
      </c>
      <c r="P2632" s="22" t="s">
        <v>17</v>
      </c>
      <c r="Q2632" s="22" t="s">
        <v>19</v>
      </c>
    </row>
    <row r="2633" spans="1:17" x14ac:dyDescent="0.3">
      <c r="A2633" s="27">
        <v>40</v>
      </c>
      <c r="B2633" s="24">
        <v>100</v>
      </c>
      <c r="C2633" s="25">
        <f>Sales!$B2633*Sales!$A2633</f>
        <v>4000</v>
      </c>
      <c r="D2633" s="26">
        <v>38271</v>
      </c>
      <c r="E2633" s="27" t="s">
        <v>9</v>
      </c>
      <c r="F2633" s="27">
        <v>4</v>
      </c>
      <c r="G2633" s="27">
        <v>10</v>
      </c>
      <c r="H2633" s="27">
        <v>2004</v>
      </c>
      <c r="I2633" s="27" t="s">
        <v>47</v>
      </c>
      <c r="J2633" s="25">
        <v>101</v>
      </c>
      <c r="K2633" s="25">
        <f>Sales!$B2633-Sales!$J2633</f>
        <v>-1</v>
      </c>
      <c r="L2633" s="28">
        <f>(Sales!$J2633-Sales!$B2633)/Sales!$J2633</f>
        <v>9.9009900990099011E-3</v>
      </c>
      <c r="M2633" s="28" t="str">
        <f t="shared" si="41"/>
        <v>0%-5%</v>
      </c>
      <c r="N2633" s="27" t="s">
        <v>63</v>
      </c>
      <c r="O2633" s="27" t="s">
        <v>16</v>
      </c>
      <c r="P2633" s="27" t="s">
        <v>17</v>
      </c>
      <c r="Q2633" s="27" t="s">
        <v>19</v>
      </c>
    </row>
    <row r="2634" spans="1:17" x14ac:dyDescent="0.3">
      <c r="A2634" s="22">
        <v>30</v>
      </c>
      <c r="B2634" s="19">
        <v>99.13</v>
      </c>
      <c r="C2634" s="20">
        <f>Sales!$B2634*Sales!$A2634</f>
        <v>2973.8999999999996</v>
      </c>
      <c r="D2634" s="21">
        <v>38282</v>
      </c>
      <c r="E2634" s="22" t="s">
        <v>9</v>
      </c>
      <c r="F2634" s="22">
        <v>4</v>
      </c>
      <c r="G2634" s="22">
        <v>10</v>
      </c>
      <c r="H2634" s="22">
        <v>2004</v>
      </c>
      <c r="I2634" s="22" t="s">
        <v>47</v>
      </c>
      <c r="J2634" s="20">
        <v>101</v>
      </c>
      <c r="K2634" s="20">
        <f>Sales!$B2634-Sales!$J2634</f>
        <v>-1.8700000000000045</v>
      </c>
      <c r="L2634" s="23">
        <f>(Sales!$J2634-Sales!$B2634)/Sales!$J2634</f>
        <v>1.8514851485148559E-2</v>
      </c>
      <c r="M2634" s="23" t="str">
        <f t="shared" si="41"/>
        <v>0%-5%</v>
      </c>
      <c r="N2634" s="22" t="s">
        <v>55</v>
      </c>
      <c r="O2634" s="22" t="s">
        <v>56</v>
      </c>
      <c r="P2634" s="22" t="s">
        <v>13</v>
      </c>
      <c r="Q2634" s="22" t="s">
        <v>14</v>
      </c>
    </row>
    <row r="2635" spans="1:17" x14ac:dyDescent="0.3">
      <c r="A2635" s="27">
        <v>34</v>
      </c>
      <c r="B2635" s="24">
        <v>100</v>
      </c>
      <c r="C2635" s="25">
        <f>Sales!$B2635*Sales!$A2635</f>
        <v>3400</v>
      </c>
      <c r="D2635" s="26">
        <v>38296</v>
      </c>
      <c r="E2635" s="27" t="s">
        <v>9</v>
      </c>
      <c r="F2635" s="27">
        <v>4</v>
      </c>
      <c r="G2635" s="27">
        <v>11</v>
      </c>
      <c r="H2635" s="27">
        <v>2004</v>
      </c>
      <c r="I2635" s="27" t="s">
        <v>47</v>
      </c>
      <c r="J2635" s="25">
        <v>101</v>
      </c>
      <c r="K2635" s="25">
        <f>Sales!$B2635-Sales!$J2635</f>
        <v>-1</v>
      </c>
      <c r="L2635" s="28">
        <f>(Sales!$J2635-Sales!$B2635)/Sales!$J2635</f>
        <v>9.9009900990099011E-3</v>
      </c>
      <c r="M2635" s="28" t="str">
        <f t="shared" si="41"/>
        <v>0%-5%</v>
      </c>
      <c r="N2635" s="27" t="s">
        <v>11</v>
      </c>
      <c r="O2635" s="27" t="s">
        <v>12</v>
      </c>
      <c r="P2635" s="27" t="s">
        <v>13</v>
      </c>
      <c r="Q2635" s="27" t="s">
        <v>19</v>
      </c>
    </row>
    <row r="2636" spans="1:17" x14ac:dyDescent="0.3">
      <c r="A2636" s="22">
        <v>46</v>
      </c>
      <c r="B2636" s="19">
        <v>100</v>
      </c>
      <c r="C2636" s="20">
        <f>Sales!$B2636*Sales!$A2636</f>
        <v>4600</v>
      </c>
      <c r="D2636" s="21">
        <v>38311</v>
      </c>
      <c r="E2636" s="22" t="s">
        <v>9</v>
      </c>
      <c r="F2636" s="22">
        <v>4</v>
      </c>
      <c r="G2636" s="22">
        <v>11</v>
      </c>
      <c r="H2636" s="22">
        <v>2004</v>
      </c>
      <c r="I2636" s="22" t="s">
        <v>47</v>
      </c>
      <c r="J2636" s="20">
        <v>101</v>
      </c>
      <c r="K2636" s="20">
        <f>Sales!$B2636-Sales!$J2636</f>
        <v>-1</v>
      </c>
      <c r="L2636" s="23">
        <f>(Sales!$J2636-Sales!$B2636)/Sales!$J2636</f>
        <v>9.9009900990099011E-3</v>
      </c>
      <c r="M2636" s="23" t="str">
        <f t="shared" si="41"/>
        <v>0%-5%</v>
      </c>
      <c r="N2636" s="22" t="s">
        <v>18</v>
      </c>
      <c r="O2636" s="22" t="s">
        <v>16</v>
      </c>
      <c r="P2636" s="22" t="s">
        <v>17</v>
      </c>
      <c r="Q2636" s="22" t="s">
        <v>39</v>
      </c>
    </row>
    <row r="2637" spans="1:17" x14ac:dyDescent="0.3">
      <c r="A2637" s="27">
        <v>32</v>
      </c>
      <c r="B2637" s="24">
        <v>82.83</v>
      </c>
      <c r="C2637" s="25">
        <f>Sales!$B2637*Sales!$A2637</f>
        <v>2650.56</v>
      </c>
      <c r="D2637" s="26">
        <v>38292</v>
      </c>
      <c r="E2637" s="27" t="s">
        <v>9</v>
      </c>
      <c r="F2637" s="27">
        <v>4</v>
      </c>
      <c r="G2637" s="27">
        <v>11</v>
      </c>
      <c r="H2637" s="27">
        <v>2004</v>
      </c>
      <c r="I2637" s="27" t="s">
        <v>47</v>
      </c>
      <c r="J2637" s="25">
        <v>101</v>
      </c>
      <c r="K2637" s="25">
        <f>Sales!$B2637-Sales!$J2637</f>
        <v>-18.170000000000002</v>
      </c>
      <c r="L2637" s="28">
        <f>(Sales!$J2637-Sales!$B2637)/Sales!$J2637</f>
        <v>0.17990099009900992</v>
      </c>
      <c r="M2637" s="28" t="str">
        <f t="shared" si="41"/>
        <v>15%-20%</v>
      </c>
      <c r="N2637" s="27" t="s">
        <v>45</v>
      </c>
      <c r="O2637" s="27" t="s">
        <v>46</v>
      </c>
      <c r="P2637" s="27" t="s">
        <v>17</v>
      </c>
      <c r="Q2637" s="27" t="s">
        <v>14</v>
      </c>
    </row>
    <row r="2638" spans="1:17" x14ac:dyDescent="0.3">
      <c r="A2638" s="22">
        <v>27</v>
      </c>
      <c r="B2638" s="19">
        <v>100</v>
      </c>
      <c r="C2638" s="20">
        <f>Sales!$B2638*Sales!$A2638</f>
        <v>2700</v>
      </c>
      <c r="D2638" s="21">
        <v>38331</v>
      </c>
      <c r="E2638" s="22" t="s">
        <v>9</v>
      </c>
      <c r="F2638" s="22">
        <v>4</v>
      </c>
      <c r="G2638" s="22">
        <v>12</v>
      </c>
      <c r="H2638" s="22">
        <v>2004</v>
      </c>
      <c r="I2638" s="22" t="s">
        <v>47</v>
      </c>
      <c r="J2638" s="20">
        <v>101</v>
      </c>
      <c r="K2638" s="20">
        <f>Sales!$B2638-Sales!$J2638</f>
        <v>-1</v>
      </c>
      <c r="L2638" s="23">
        <f>(Sales!$J2638-Sales!$B2638)/Sales!$J2638</f>
        <v>9.9009900990099011E-3</v>
      </c>
      <c r="M2638" s="23" t="str">
        <f t="shared" si="41"/>
        <v>0%-5%</v>
      </c>
      <c r="N2638" s="22" t="s">
        <v>45</v>
      </c>
      <c r="O2638" s="22" t="s">
        <v>46</v>
      </c>
      <c r="P2638" s="22" t="s">
        <v>17</v>
      </c>
      <c r="Q2638" s="22" t="s">
        <v>19</v>
      </c>
    </row>
    <row r="2639" spans="1:17" x14ac:dyDescent="0.3">
      <c r="A2639" s="27">
        <v>34</v>
      </c>
      <c r="B2639" s="24">
        <v>100</v>
      </c>
      <c r="C2639" s="25">
        <f>Sales!$B2639*Sales!$A2639</f>
        <v>3400</v>
      </c>
      <c r="D2639" s="26">
        <v>38375</v>
      </c>
      <c r="E2639" s="27" t="s">
        <v>9</v>
      </c>
      <c r="F2639" s="27">
        <v>1</v>
      </c>
      <c r="G2639" s="27">
        <v>1</v>
      </c>
      <c r="H2639" s="27">
        <v>2005</v>
      </c>
      <c r="I2639" s="27" t="s">
        <v>47</v>
      </c>
      <c r="J2639" s="25">
        <v>101</v>
      </c>
      <c r="K2639" s="25">
        <f>Sales!$B2639-Sales!$J2639</f>
        <v>-1</v>
      </c>
      <c r="L2639" s="28">
        <f>(Sales!$J2639-Sales!$B2639)/Sales!$J2639</f>
        <v>9.9009900990099011E-3</v>
      </c>
      <c r="M2639" s="28" t="str">
        <f t="shared" si="41"/>
        <v>0%-5%</v>
      </c>
      <c r="N2639" s="27" t="s">
        <v>64</v>
      </c>
      <c r="O2639" s="27" t="s">
        <v>12</v>
      </c>
      <c r="P2639" s="27" t="s">
        <v>13</v>
      </c>
      <c r="Q2639" s="27" t="s">
        <v>19</v>
      </c>
    </row>
    <row r="2640" spans="1:17" x14ac:dyDescent="0.3">
      <c r="A2640" s="22">
        <v>34</v>
      </c>
      <c r="B2640" s="19">
        <v>54.84</v>
      </c>
      <c r="C2640" s="20">
        <f>Sales!$B2640*Sales!$A2640</f>
        <v>1864.5600000000002</v>
      </c>
      <c r="D2640" s="21">
        <v>38400</v>
      </c>
      <c r="E2640" s="22" t="s">
        <v>9</v>
      </c>
      <c r="F2640" s="22">
        <v>1</v>
      </c>
      <c r="G2640" s="22">
        <v>2</v>
      </c>
      <c r="H2640" s="22">
        <v>2005</v>
      </c>
      <c r="I2640" s="22" t="s">
        <v>47</v>
      </c>
      <c r="J2640" s="20">
        <v>101</v>
      </c>
      <c r="K2640" s="20">
        <f>Sales!$B2640-Sales!$J2640</f>
        <v>-46.16</v>
      </c>
      <c r="L2640" s="23">
        <f>(Sales!$J2640-Sales!$B2640)/Sales!$J2640</f>
        <v>0.45702970297029699</v>
      </c>
      <c r="M2640" s="23" t="str">
        <f t="shared" si="41"/>
        <v>+20%</v>
      </c>
      <c r="N2640" s="22" t="s">
        <v>64</v>
      </c>
      <c r="O2640" s="22" t="s">
        <v>12</v>
      </c>
      <c r="P2640" s="22" t="s">
        <v>13</v>
      </c>
      <c r="Q2640" s="22" t="s">
        <v>14</v>
      </c>
    </row>
    <row r="2641" spans="1:17" x14ac:dyDescent="0.3">
      <c r="A2641" s="27">
        <v>34</v>
      </c>
      <c r="B2641" s="24">
        <v>100</v>
      </c>
      <c r="C2641" s="25">
        <f>Sales!$B2641*Sales!$A2641</f>
        <v>3400</v>
      </c>
      <c r="D2641" s="26">
        <v>38473</v>
      </c>
      <c r="E2641" s="27" t="s">
        <v>9</v>
      </c>
      <c r="F2641" s="27">
        <v>2</v>
      </c>
      <c r="G2641" s="27">
        <v>5</v>
      </c>
      <c r="H2641" s="27">
        <v>2005</v>
      </c>
      <c r="I2641" s="27" t="s">
        <v>47</v>
      </c>
      <c r="J2641" s="25">
        <v>101</v>
      </c>
      <c r="K2641" s="25">
        <f>Sales!$B2641-Sales!$J2641</f>
        <v>-1</v>
      </c>
      <c r="L2641" s="28">
        <f>(Sales!$J2641-Sales!$B2641)/Sales!$J2641</f>
        <v>9.9009900990099011E-3</v>
      </c>
      <c r="M2641" s="28" t="str">
        <f t="shared" si="41"/>
        <v>0%-5%</v>
      </c>
      <c r="N2641" s="27" t="s">
        <v>68</v>
      </c>
      <c r="O2641" s="27" t="s">
        <v>56</v>
      </c>
      <c r="P2641" s="27" t="s">
        <v>13</v>
      </c>
      <c r="Q2641" s="27" t="s">
        <v>19</v>
      </c>
    </row>
    <row r="2642" spans="1:17" x14ac:dyDescent="0.3">
      <c r="A2642" s="22">
        <v>46</v>
      </c>
      <c r="B2642" s="19">
        <v>80.92</v>
      </c>
      <c r="C2642" s="20">
        <f>Sales!$B2642*Sales!$A2642</f>
        <v>3722.32</v>
      </c>
      <c r="D2642" s="21">
        <v>38503</v>
      </c>
      <c r="E2642" s="22" t="s">
        <v>69</v>
      </c>
      <c r="F2642" s="22">
        <v>2</v>
      </c>
      <c r="G2642" s="22">
        <v>5</v>
      </c>
      <c r="H2642" s="22">
        <v>2005</v>
      </c>
      <c r="I2642" s="22" t="s">
        <v>47</v>
      </c>
      <c r="J2642" s="20">
        <v>101</v>
      </c>
      <c r="K2642" s="20">
        <f>Sales!$B2642-Sales!$J2642</f>
        <v>-20.079999999999998</v>
      </c>
      <c r="L2642" s="23">
        <f>(Sales!$J2642-Sales!$B2642)/Sales!$J2642</f>
        <v>0.19881188118811879</v>
      </c>
      <c r="M2642" s="23" t="str">
        <f t="shared" si="41"/>
        <v>15%-20%</v>
      </c>
      <c r="N2642" s="22" t="s">
        <v>45</v>
      </c>
      <c r="O2642" s="22" t="s">
        <v>46</v>
      </c>
      <c r="P2642" s="22" t="s">
        <v>17</v>
      </c>
      <c r="Q2642" s="22" t="s">
        <v>19</v>
      </c>
    </row>
    <row r="2643" spans="1:17" x14ac:dyDescent="0.3">
      <c r="A2643" s="27">
        <v>32</v>
      </c>
      <c r="B2643" s="24">
        <v>100</v>
      </c>
      <c r="C2643" s="25">
        <f>Sales!$B2643*Sales!$A2643</f>
        <v>3200</v>
      </c>
      <c r="D2643" s="26">
        <v>37669</v>
      </c>
      <c r="E2643" s="27" t="s">
        <v>9</v>
      </c>
      <c r="F2643" s="27">
        <v>1</v>
      </c>
      <c r="G2643" s="27">
        <v>2</v>
      </c>
      <c r="H2643" s="27">
        <v>2003</v>
      </c>
      <c r="I2643" s="27" t="s">
        <v>115</v>
      </c>
      <c r="J2643" s="25">
        <v>118</v>
      </c>
      <c r="K2643" s="25">
        <f>Sales!$B2643-Sales!$J2643</f>
        <v>-18</v>
      </c>
      <c r="L2643" s="28">
        <f>(Sales!$J2643-Sales!$B2643)/Sales!$J2643</f>
        <v>0.15254237288135594</v>
      </c>
      <c r="M2643" s="28" t="s">
        <v>132</v>
      </c>
      <c r="N2643" s="27" t="s">
        <v>113</v>
      </c>
      <c r="O2643" s="27" t="s">
        <v>61</v>
      </c>
      <c r="P2643" s="27" t="s">
        <v>17</v>
      </c>
      <c r="Q2643" s="27" t="s">
        <v>19</v>
      </c>
    </row>
    <row r="2644" spans="1:17" x14ac:dyDescent="0.3">
      <c r="A2644" s="22">
        <v>24</v>
      </c>
      <c r="B2644" s="19">
        <v>100</v>
      </c>
      <c r="C2644" s="20">
        <f>Sales!$B2644*Sales!$A2644</f>
        <v>2400</v>
      </c>
      <c r="D2644" s="21">
        <v>37740</v>
      </c>
      <c r="E2644" s="22" t="s">
        <v>9</v>
      </c>
      <c r="F2644" s="22">
        <v>2</v>
      </c>
      <c r="G2644" s="22">
        <v>4</v>
      </c>
      <c r="H2644" s="22">
        <v>2003</v>
      </c>
      <c r="I2644" s="22" t="s">
        <v>115</v>
      </c>
      <c r="J2644" s="20">
        <v>118</v>
      </c>
      <c r="K2644" s="20">
        <f>Sales!$B2644-Sales!$J2644</f>
        <v>-18</v>
      </c>
      <c r="L2644" s="23">
        <f>(Sales!$J2644-Sales!$B2644)/Sales!$J2644</f>
        <v>0.15254237288135594</v>
      </c>
      <c r="M2644" s="23" t="s">
        <v>132</v>
      </c>
      <c r="N2644" s="22" t="s">
        <v>26</v>
      </c>
      <c r="O2644" s="22" t="s">
        <v>27</v>
      </c>
      <c r="P2644" s="22" t="s">
        <v>28</v>
      </c>
      <c r="Q2644" s="22" t="s">
        <v>19</v>
      </c>
    </row>
    <row r="2645" spans="1:17" x14ac:dyDescent="0.3">
      <c r="A2645" s="27">
        <v>27</v>
      </c>
      <c r="B2645" s="24">
        <v>99.67</v>
      </c>
      <c r="C2645" s="25">
        <f>Sales!$B2645*Sales!$A2645</f>
        <v>2691.09</v>
      </c>
      <c r="D2645" s="26">
        <v>37799</v>
      </c>
      <c r="E2645" s="27" t="s">
        <v>9</v>
      </c>
      <c r="F2645" s="27">
        <v>2</v>
      </c>
      <c r="G2645" s="27">
        <v>6</v>
      </c>
      <c r="H2645" s="27">
        <v>2003</v>
      </c>
      <c r="I2645" s="27" t="s">
        <v>115</v>
      </c>
      <c r="J2645" s="25">
        <v>118</v>
      </c>
      <c r="K2645" s="25">
        <f>Sales!$B2645-Sales!$J2645</f>
        <v>-18.329999999999998</v>
      </c>
      <c r="L2645" s="28">
        <f>(Sales!$J2645-Sales!$B2645)/Sales!$J2645</f>
        <v>0.15533898305084745</v>
      </c>
      <c r="M2645" s="28" t="str">
        <f t="shared" si="41"/>
        <v>15%-20%</v>
      </c>
      <c r="N2645" s="27" t="s">
        <v>45</v>
      </c>
      <c r="O2645" s="27" t="s">
        <v>46</v>
      </c>
      <c r="P2645" s="27" t="s">
        <v>17</v>
      </c>
      <c r="Q2645" s="27" t="s">
        <v>14</v>
      </c>
    </row>
    <row r="2646" spans="1:17" x14ac:dyDescent="0.3">
      <c r="A2646" s="22">
        <v>20</v>
      </c>
      <c r="B2646" s="19">
        <v>100</v>
      </c>
      <c r="C2646" s="20">
        <f>Sales!$B2646*Sales!$A2646</f>
        <v>2000</v>
      </c>
      <c r="D2646" s="21">
        <v>37858</v>
      </c>
      <c r="E2646" s="22" t="s">
        <v>9</v>
      </c>
      <c r="F2646" s="22">
        <v>3</v>
      </c>
      <c r="G2646" s="22">
        <v>8</v>
      </c>
      <c r="H2646" s="22">
        <v>2003</v>
      </c>
      <c r="I2646" s="22" t="s">
        <v>115</v>
      </c>
      <c r="J2646" s="20">
        <v>118</v>
      </c>
      <c r="K2646" s="20">
        <f>Sales!$B2646-Sales!$J2646</f>
        <v>-18</v>
      </c>
      <c r="L2646" s="23">
        <f>(Sales!$J2646-Sales!$B2646)/Sales!$J2646</f>
        <v>0.15254237288135594</v>
      </c>
      <c r="M2646" s="23" t="s">
        <v>132</v>
      </c>
      <c r="N2646" s="22" t="s">
        <v>20</v>
      </c>
      <c r="O2646" s="22" t="s">
        <v>12</v>
      </c>
      <c r="P2646" s="22" t="s">
        <v>13</v>
      </c>
      <c r="Q2646" s="22" t="s">
        <v>14</v>
      </c>
    </row>
    <row r="2647" spans="1:17" x14ac:dyDescent="0.3">
      <c r="A2647" s="27">
        <v>36</v>
      </c>
      <c r="B2647" s="24">
        <v>100</v>
      </c>
      <c r="C2647" s="25">
        <f>Sales!$B2647*Sales!$A2647</f>
        <v>3600</v>
      </c>
      <c r="D2647" s="26">
        <v>37922</v>
      </c>
      <c r="E2647" s="27" t="s">
        <v>9</v>
      </c>
      <c r="F2647" s="27">
        <v>4</v>
      </c>
      <c r="G2647" s="27">
        <v>10</v>
      </c>
      <c r="H2647" s="27">
        <v>2003</v>
      </c>
      <c r="I2647" s="27" t="s">
        <v>115</v>
      </c>
      <c r="J2647" s="25">
        <v>118</v>
      </c>
      <c r="K2647" s="25">
        <f>Sales!$B2647-Sales!$J2647</f>
        <v>-18</v>
      </c>
      <c r="L2647" s="28">
        <f>(Sales!$J2647-Sales!$B2647)/Sales!$J2647</f>
        <v>0.15254237288135594</v>
      </c>
      <c r="M2647" s="28" t="s">
        <v>132</v>
      </c>
      <c r="N2647" s="27" t="s">
        <v>22</v>
      </c>
      <c r="O2647" s="27" t="s">
        <v>12</v>
      </c>
      <c r="P2647" s="27" t="s">
        <v>13</v>
      </c>
      <c r="Q2647" s="27" t="s">
        <v>19</v>
      </c>
    </row>
    <row r="2648" spans="1:17" x14ac:dyDescent="0.3">
      <c r="A2648" s="22">
        <v>29</v>
      </c>
      <c r="B2648" s="19">
        <v>100</v>
      </c>
      <c r="C2648" s="20">
        <f>Sales!$B2648*Sales!$A2648</f>
        <v>2900</v>
      </c>
      <c r="D2648" s="21">
        <v>37943</v>
      </c>
      <c r="E2648" s="22" t="s">
        <v>9</v>
      </c>
      <c r="F2648" s="22">
        <v>4</v>
      </c>
      <c r="G2648" s="22">
        <v>11</v>
      </c>
      <c r="H2648" s="22">
        <v>2003</v>
      </c>
      <c r="I2648" s="22" t="s">
        <v>115</v>
      </c>
      <c r="J2648" s="20">
        <v>118</v>
      </c>
      <c r="K2648" s="20">
        <f>Sales!$B2648-Sales!$J2648</f>
        <v>-18</v>
      </c>
      <c r="L2648" s="23">
        <f>(Sales!$J2648-Sales!$B2648)/Sales!$J2648</f>
        <v>0.15254237288135594</v>
      </c>
      <c r="M2648" s="23" t="s">
        <v>132</v>
      </c>
      <c r="N2648" s="22" t="s">
        <v>24</v>
      </c>
      <c r="O2648" s="22" t="s">
        <v>25</v>
      </c>
      <c r="P2648" s="22" t="s">
        <v>17</v>
      </c>
      <c r="Q2648" s="22" t="s">
        <v>19</v>
      </c>
    </row>
    <row r="2649" spans="1:17" x14ac:dyDescent="0.3">
      <c r="A2649" s="27">
        <v>25</v>
      </c>
      <c r="B2649" s="24">
        <v>100</v>
      </c>
      <c r="C2649" s="25">
        <f>Sales!$B2649*Sales!$A2649</f>
        <v>2500</v>
      </c>
      <c r="D2649" s="26">
        <v>37998</v>
      </c>
      <c r="E2649" s="27" t="s">
        <v>9</v>
      </c>
      <c r="F2649" s="27">
        <v>1</v>
      </c>
      <c r="G2649" s="27">
        <v>1</v>
      </c>
      <c r="H2649" s="27">
        <v>2004</v>
      </c>
      <c r="I2649" s="27" t="s">
        <v>115</v>
      </c>
      <c r="J2649" s="25">
        <v>118</v>
      </c>
      <c r="K2649" s="25">
        <f>Sales!$B2649-Sales!$J2649</f>
        <v>-18</v>
      </c>
      <c r="L2649" s="28">
        <f>(Sales!$J2649-Sales!$B2649)/Sales!$J2649</f>
        <v>0.15254237288135594</v>
      </c>
      <c r="M2649" s="28" t="s">
        <v>132</v>
      </c>
      <c r="N2649" s="27" t="s">
        <v>70</v>
      </c>
      <c r="O2649" s="27" t="s">
        <v>51</v>
      </c>
      <c r="P2649" s="27" t="s">
        <v>51</v>
      </c>
      <c r="Q2649" s="27" t="s">
        <v>14</v>
      </c>
    </row>
    <row r="2650" spans="1:17" x14ac:dyDescent="0.3">
      <c r="A2650" s="22">
        <v>29</v>
      </c>
      <c r="B2650" s="19">
        <v>100</v>
      </c>
      <c r="C2650" s="20">
        <f>Sales!$B2650*Sales!$A2650</f>
        <v>2900</v>
      </c>
      <c r="D2650" s="21">
        <v>38037</v>
      </c>
      <c r="E2650" s="22" t="s">
        <v>9</v>
      </c>
      <c r="F2650" s="22">
        <v>1</v>
      </c>
      <c r="G2650" s="22">
        <v>2</v>
      </c>
      <c r="H2650" s="22">
        <v>2004</v>
      </c>
      <c r="I2650" s="22" t="s">
        <v>115</v>
      </c>
      <c r="J2650" s="20">
        <v>118</v>
      </c>
      <c r="K2650" s="20">
        <f>Sales!$B2650-Sales!$J2650</f>
        <v>-18</v>
      </c>
      <c r="L2650" s="23">
        <f>(Sales!$J2650-Sales!$B2650)/Sales!$J2650</f>
        <v>0.15254237288135594</v>
      </c>
      <c r="M2650" s="23" t="s">
        <v>132</v>
      </c>
      <c r="N2650" s="22" t="s">
        <v>26</v>
      </c>
      <c r="O2650" s="22" t="s">
        <v>27</v>
      </c>
      <c r="P2650" s="22" t="s">
        <v>28</v>
      </c>
      <c r="Q2650" s="22" t="s">
        <v>19</v>
      </c>
    </row>
    <row r="2651" spans="1:17" x14ac:dyDescent="0.3">
      <c r="A2651" s="27">
        <v>25</v>
      </c>
      <c r="B2651" s="24">
        <v>96.11</v>
      </c>
      <c r="C2651" s="25">
        <f>Sales!$B2651*Sales!$A2651</f>
        <v>2402.75</v>
      </c>
      <c r="D2651" s="26">
        <v>38079</v>
      </c>
      <c r="E2651" s="27" t="s">
        <v>9</v>
      </c>
      <c r="F2651" s="27">
        <v>2</v>
      </c>
      <c r="G2651" s="27">
        <v>4</v>
      </c>
      <c r="H2651" s="27">
        <v>2004</v>
      </c>
      <c r="I2651" s="27" t="s">
        <v>115</v>
      </c>
      <c r="J2651" s="25">
        <v>118</v>
      </c>
      <c r="K2651" s="25">
        <f>Sales!$B2651-Sales!$J2651</f>
        <v>-21.89</v>
      </c>
      <c r="L2651" s="28">
        <f>(Sales!$J2651-Sales!$B2651)/Sales!$J2651</f>
        <v>0.1855084745762712</v>
      </c>
      <c r="M2651" s="28" t="str">
        <f t="shared" si="41"/>
        <v>15%-20%</v>
      </c>
      <c r="N2651" s="27" t="s">
        <v>82</v>
      </c>
      <c r="O2651" s="27" t="s">
        <v>56</v>
      </c>
      <c r="P2651" s="27" t="s">
        <v>13</v>
      </c>
      <c r="Q2651" s="27" t="s">
        <v>14</v>
      </c>
    </row>
    <row r="2652" spans="1:17" x14ac:dyDescent="0.3">
      <c r="A2652" s="22">
        <v>44</v>
      </c>
      <c r="B2652" s="19">
        <v>100</v>
      </c>
      <c r="C2652" s="20">
        <f>Sales!$B2652*Sales!$A2652</f>
        <v>4400</v>
      </c>
      <c r="D2652" s="21">
        <v>38118</v>
      </c>
      <c r="E2652" s="22" t="s">
        <v>9</v>
      </c>
      <c r="F2652" s="22">
        <v>2</v>
      </c>
      <c r="G2652" s="22">
        <v>5</v>
      </c>
      <c r="H2652" s="22">
        <v>2004</v>
      </c>
      <c r="I2652" s="22" t="s">
        <v>115</v>
      </c>
      <c r="J2652" s="20">
        <v>118</v>
      </c>
      <c r="K2652" s="20">
        <f>Sales!$B2652-Sales!$J2652</f>
        <v>-18</v>
      </c>
      <c r="L2652" s="23">
        <f>(Sales!$J2652-Sales!$B2652)/Sales!$J2652</f>
        <v>0.15254237288135594</v>
      </c>
      <c r="M2652" s="23" t="s">
        <v>132</v>
      </c>
      <c r="N2652" s="22" t="s">
        <v>86</v>
      </c>
      <c r="O2652" s="22" t="s">
        <v>12</v>
      </c>
      <c r="P2652" s="22" t="s">
        <v>13</v>
      </c>
      <c r="Q2652" s="22" t="s">
        <v>19</v>
      </c>
    </row>
    <row r="2653" spans="1:17" x14ac:dyDescent="0.3">
      <c r="A2653" s="27">
        <v>47</v>
      </c>
      <c r="B2653" s="24">
        <v>100</v>
      </c>
      <c r="C2653" s="25">
        <f>Sales!$B2653*Sales!$A2653</f>
        <v>4700</v>
      </c>
      <c r="D2653" s="26">
        <v>38166</v>
      </c>
      <c r="E2653" s="27" t="s">
        <v>9</v>
      </c>
      <c r="F2653" s="27">
        <v>2</v>
      </c>
      <c r="G2653" s="27">
        <v>6</v>
      </c>
      <c r="H2653" s="27">
        <v>2004</v>
      </c>
      <c r="I2653" s="27" t="s">
        <v>115</v>
      </c>
      <c r="J2653" s="25">
        <v>118</v>
      </c>
      <c r="K2653" s="25">
        <f>Sales!$B2653-Sales!$J2653</f>
        <v>-18</v>
      </c>
      <c r="L2653" s="28">
        <f>(Sales!$J2653-Sales!$B2653)/Sales!$J2653</f>
        <v>0.15254237288135594</v>
      </c>
      <c r="M2653" s="28" t="s">
        <v>132</v>
      </c>
      <c r="N2653" s="27" t="s">
        <v>30</v>
      </c>
      <c r="O2653" s="27" t="s">
        <v>12</v>
      </c>
      <c r="P2653" s="27" t="s">
        <v>13</v>
      </c>
      <c r="Q2653" s="27" t="s">
        <v>19</v>
      </c>
    </row>
    <row r="2654" spans="1:17" x14ac:dyDescent="0.3">
      <c r="A2654" s="22">
        <v>48</v>
      </c>
      <c r="B2654" s="19">
        <v>100</v>
      </c>
      <c r="C2654" s="20">
        <f>Sales!$B2654*Sales!$A2654</f>
        <v>4800</v>
      </c>
      <c r="D2654" s="21">
        <v>38191</v>
      </c>
      <c r="E2654" s="22" t="s">
        <v>9</v>
      </c>
      <c r="F2654" s="22">
        <v>3</v>
      </c>
      <c r="G2654" s="22">
        <v>7</v>
      </c>
      <c r="H2654" s="22">
        <v>2004</v>
      </c>
      <c r="I2654" s="22" t="s">
        <v>115</v>
      </c>
      <c r="J2654" s="20">
        <v>118</v>
      </c>
      <c r="K2654" s="20">
        <f>Sales!$B2654-Sales!$J2654</f>
        <v>-18</v>
      </c>
      <c r="L2654" s="23">
        <f>(Sales!$J2654-Sales!$B2654)/Sales!$J2654</f>
        <v>0.15254237288135594</v>
      </c>
      <c r="M2654" s="23" t="s">
        <v>132</v>
      </c>
      <c r="N2654" s="22" t="s">
        <v>31</v>
      </c>
      <c r="O2654" s="22" t="s">
        <v>16</v>
      </c>
      <c r="P2654" s="22" t="s">
        <v>17</v>
      </c>
      <c r="Q2654" s="22" t="s">
        <v>19</v>
      </c>
    </row>
    <row r="2655" spans="1:17" x14ac:dyDescent="0.3">
      <c r="A2655" s="27">
        <v>45</v>
      </c>
      <c r="B2655" s="24">
        <v>100</v>
      </c>
      <c r="C2655" s="25">
        <f>Sales!$B2655*Sales!$A2655</f>
        <v>4500</v>
      </c>
      <c r="D2655" s="26">
        <v>38226</v>
      </c>
      <c r="E2655" s="27" t="s">
        <v>9</v>
      </c>
      <c r="F2655" s="27">
        <v>3</v>
      </c>
      <c r="G2655" s="27">
        <v>8</v>
      </c>
      <c r="H2655" s="27">
        <v>2004</v>
      </c>
      <c r="I2655" s="27" t="s">
        <v>115</v>
      </c>
      <c r="J2655" s="25">
        <v>118</v>
      </c>
      <c r="K2655" s="25">
        <f>Sales!$B2655-Sales!$J2655</f>
        <v>-18</v>
      </c>
      <c r="L2655" s="28">
        <f>(Sales!$J2655-Sales!$B2655)/Sales!$J2655</f>
        <v>0.15254237288135594</v>
      </c>
      <c r="M2655" s="28" t="s">
        <v>132</v>
      </c>
      <c r="N2655" s="27" t="s">
        <v>32</v>
      </c>
      <c r="O2655" s="27" t="s">
        <v>12</v>
      </c>
      <c r="P2655" s="27" t="s">
        <v>13</v>
      </c>
      <c r="Q2655" s="27" t="s">
        <v>19</v>
      </c>
    </row>
    <row r="2656" spans="1:17" x14ac:dyDescent="0.3">
      <c r="A2656" s="22">
        <v>35</v>
      </c>
      <c r="B2656" s="19">
        <v>100</v>
      </c>
      <c r="C2656" s="20">
        <f>Sales!$B2656*Sales!$A2656</f>
        <v>3500</v>
      </c>
      <c r="D2656" s="21">
        <v>38246</v>
      </c>
      <c r="E2656" s="22" t="s">
        <v>9</v>
      </c>
      <c r="F2656" s="22">
        <v>3</v>
      </c>
      <c r="G2656" s="22">
        <v>9</v>
      </c>
      <c r="H2656" s="22">
        <v>2004</v>
      </c>
      <c r="I2656" s="22" t="s">
        <v>115</v>
      </c>
      <c r="J2656" s="20">
        <v>118</v>
      </c>
      <c r="K2656" s="20">
        <f>Sales!$B2656-Sales!$J2656</f>
        <v>-18</v>
      </c>
      <c r="L2656" s="23">
        <f>(Sales!$J2656-Sales!$B2656)/Sales!$J2656</f>
        <v>0.15254237288135594</v>
      </c>
      <c r="M2656" s="23" t="s">
        <v>132</v>
      </c>
      <c r="N2656" s="22" t="s">
        <v>100</v>
      </c>
      <c r="O2656" s="22" t="s">
        <v>101</v>
      </c>
      <c r="P2656" s="22" t="s">
        <v>17</v>
      </c>
      <c r="Q2656" s="22" t="s">
        <v>19</v>
      </c>
    </row>
    <row r="2657" spans="1:17" x14ac:dyDescent="0.3">
      <c r="A2657" s="27">
        <v>31</v>
      </c>
      <c r="B2657" s="24">
        <v>100</v>
      </c>
      <c r="C2657" s="25">
        <f>Sales!$B2657*Sales!$A2657</f>
        <v>3100</v>
      </c>
      <c r="D2657" s="26">
        <v>38275</v>
      </c>
      <c r="E2657" s="27" t="s">
        <v>9</v>
      </c>
      <c r="F2657" s="27">
        <v>4</v>
      </c>
      <c r="G2657" s="27">
        <v>10</v>
      </c>
      <c r="H2657" s="27">
        <v>2004</v>
      </c>
      <c r="I2657" s="27" t="s">
        <v>115</v>
      </c>
      <c r="J2657" s="25">
        <v>118</v>
      </c>
      <c r="K2657" s="25">
        <f>Sales!$B2657-Sales!$J2657</f>
        <v>-18</v>
      </c>
      <c r="L2657" s="28">
        <f>(Sales!$J2657-Sales!$B2657)/Sales!$J2657</f>
        <v>0.15254237288135594</v>
      </c>
      <c r="M2657" s="28" t="s">
        <v>132</v>
      </c>
      <c r="N2657" s="27" t="s">
        <v>71</v>
      </c>
      <c r="O2657" s="27" t="s">
        <v>12</v>
      </c>
      <c r="P2657" s="27" t="s">
        <v>13</v>
      </c>
      <c r="Q2657" s="27" t="s">
        <v>19</v>
      </c>
    </row>
    <row r="2658" spans="1:17" x14ac:dyDescent="0.3">
      <c r="A2658" s="22">
        <v>50</v>
      </c>
      <c r="B2658" s="19">
        <v>100</v>
      </c>
      <c r="C2658" s="20">
        <f>Sales!$B2658*Sales!$A2658</f>
        <v>5000</v>
      </c>
      <c r="D2658" s="21">
        <v>38293</v>
      </c>
      <c r="E2658" s="22" t="s">
        <v>9</v>
      </c>
      <c r="F2658" s="22">
        <v>4</v>
      </c>
      <c r="G2658" s="22">
        <v>11</v>
      </c>
      <c r="H2658" s="22">
        <v>2004</v>
      </c>
      <c r="I2658" s="22" t="s">
        <v>115</v>
      </c>
      <c r="J2658" s="20">
        <v>118</v>
      </c>
      <c r="K2658" s="20">
        <f>Sales!$B2658-Sales!$J2658</f>
        <v>-18</v>
      </c>
      <c r="L2658" s="23">
        <f>(Sales!$J2658-Sales!$B2658)/Sales!$J2658</f>
        <v>0.15254237288135594</v>
      </c>
      <c r="M2658" s="23" t="s">
        <v>132</v>
      </c>
      <c r="N2658" s="22" t="s">
        <v>36</v>
      </c>
      <c r="O2658" s="22" t="s">
        <v>12</v>
      </c>
      <c r="P2658" s="22" t="s">
        <v>13</v>
      </c>
      <c r="Q2658" s="22" t="s">
        <v>39</v>
      </c>
    </row>
    <row r="2659" spans="1:17" x14ac:dyDescent="0.3">
      <c r="A2659" s="27">
        <v>33</v>
      </c>
      <c r="B2659" s="24">
        <v>100</v>
      </c>
      <c r="C2659" s="25">
        <f>Sales!$B2659*Sales!$A2659</f>
        <v>3300</v>
      </c>
      <c r="D2659" s="26">
        <v>38303</v>
      </c>
      <c r="E2659" s="27" t="s">
        <v>9</v>
      </c>
      <c r="F2659" s="27">
        <v>4</v>
      </c>
      <c r="G2659" s="27">
        <v>11</v>
      </c>
      <c r="H2659" s="27">
        <v>2004</v>
      </c>
      <c r="I2659" s="27" t="s">
        <v>115</v>
      </c>
      <c r="J2659" s="25">
        <v>118</v>
      </c>
      <c r="K2659" s="25">
        <f>Sales!$B2659-Sales!$J2659</f>
        <v>-18</v>
      </c>
      <c r="L2659" s="28">
        <f>(Sales!$J2659-Sales!$B2659)/Sales!$J2659</f>
        <v>0.15254237288135594</v>
      </c>
      <c r="M2659" s="28" t="s">
        <v>132</v>
      </c>
      <c r="N2659" s="27" t="s">
        <v>113</v>
      </c>
      <c r="O2659" s="27" t="s">
        <v>61</v>
      </c>
      <c r="P2659" s="27" t="s">
        <v>17</v>
      </c>
      <c r="Q2659" s="27" t="s">
        <v>19</v>
      </c>
    </row>
    <row r="2660" spans="1:17" x14ac:dyDescent="0.3">
      <c r="A2660" s="22">
        <v>29</v>
      </c>
      <c r="B2660" s="19">
        <v>100</v>
      </c>
      <c r="C2660" s="20">
        <f>Sales!$B2660*Sales!$A2660</f>
        <v>2900</v>
      </c>
      <c r="D2660" s="21">
        <v>38315</v>
      </c>
      <c r="E2660" s="22" t="s">
        <v>9</v>
      </c>
      <c r="F2660" s="22">
        <v>4</v>
      </c>
      <c r="G2660" s="22">
        <v>11</v>
      </c>
      <c r="H2660" s="22">
        <v>2004</v>
      </c>
      <c r="I2660" s="22" t="s">
        <v>115</v>
      </c>
      <c r="J2660" s="20">
        <v>118</v>
      </c>
      <c r="K2660" s="20">
        <f>Sales!$B2660-Sales!$J2660</f>
        <v>-18</v>
      </c>
      <c r="L2660" s="23">
        <f>(Sales!$J2660-Sales!$B2660)/Sales!$J2660</f>
        <v>0.15254237288135594</v>
      </c>
      <c r="M2660" s="23" t="s">
        <v>132</v>
      </c>
      <c r="N2660" s="22" t="s">
        <v>77</v>
      </c>
      <c r="O2660" s="22" t="s">
        <v>46</v>
      </c>
      <c r="P2660" s="22" t="s">
        <v>17</v>
      </c>
      <c r="Q2660" s="22" t="s">
        <v>19</v>
      </c>
    </row>
    <row r="2661" spans="1:17" x14ac:dyDescent="0.3">
      <c r="A2661" s="27">
        <v>48</v>
      </c>
      <c r="B2661" s="24">
        <v>68.8</v>
      </c>
      <c r="C2661" s="25">
        <f>Sales!$B2661*Sales!$A2661</f>
        <v>3302.3999999999996</v>
      </c>
      <c r="D2661" s="26">
        <v>38325</v>
      </c>
      <c r="E2661" s="27" t="s">
        <v>9</v>
      </c>
      <c r="F2661" s="27">
        <v>4</v>
      </c>
      <c r="G2661" s="27">
        <v>12</v>
      </c>
      <c r="H2661" s="27">
        <v>2004</v>
      </c>
      <c r="I2661" s="27" t="s">
        <v>115</v>
      </c>
      <c r="J2661" s="25">
        <v>118</v>
      </c>
      <c r="K2661" s="25">
        <f>Sales!$B2661-Sales!$J2661</f>
        <v>-49.2</v>
      </c>
      <c r="L2661" s="28">
        <f>(Sales!$J2661-Sales!$B2661)/Sales!$J2661</f>
        <v>0.41694915254237291</v>
      </c>
      <c r="M2661" s="28" t="str">
        <f t="shared" si="41"/>
        <v>+20%</v>
      </c>
      <c r="N2661" s="27" t="s">
        <v>105</v>
      </c>
      <c r="O2661" s="27" t="s">
        <v>12</v>
      </c>
      <c r="P2661" s="27" t="s">
        <v>13</v>
      </c>
      <c r="Q2661" s="27" t="s">
        <v>19</v>
      </c>
    </row>
    <row r="2662" spans="1:17" x14ac:dyDescent="0.3">
      <c r="A2662" s="22">
        <v>44</v>
      </c>
      <c r="B2662" s="19">
        <v>72.42</v>
      </c>
      <c r="C2662" s="20">
        <f>Sales!$B2662*Sales!$A2662</f>
        <v>3186.48</v>
      </c>
      <c r="D2662" s="21">
        <v>38338</v>
      </c>
      <c r="E2662" s="22" t="s">
        <v>9</v>
      </c>
      <c r="F2662" s="22">
        <v>4</v>
      </c>
      <c r="G2662" s="22">
        <v>12</v>
      </c>
      <c r="H2662" s="22">
        <v>2004</v>
      </c>
      <c r="I2662" s="22" t="s">
        <v>115</v>
      </c>
      <c r="J2662" s="20">
        <v>118</v>
      </c>
      <c r="K2662" s="20">
        <f>Sales!$B2662-Sales!$J2662</f>
        <v>-45.58</v>
      </c>
      <c r="L2662" s="23">
        <f>(Sales!$J2662-Sales!$B2662)/Sales!$J2662</f>
        <v>0.38627118644067793</v>
      </c>
      <c r="M2662" s="23" t="str">
        <f t="shared" si="41"/>
        <v>+20%</v>
      </c>
      <c r="N2662" s="22" t="s">
        <v>40</v>
      </c>
      <c r="O2662" s="22" t="s">
        <v>27</v>
      </c>
      <c r="P2662" s="22" t="s">
        <v>28</v>
      </c>
      <c r="Q2662" s="22" t="s">
        <v>19</v>
      </c>
    </row>
    <row r="2663" spans="1:17" x14ac:dyDescent="0.3">
      <c r="A2663" s="27">
        <v>25</v>
      </c>
      <c r="B2663" s="24">
        <v>66.73</v>
      </c>
      <c r="C2663" s="25">
        <f>Sales!$B2663*Sales!$A2663</f>
        <v>1668.25</v>
      </c>
      <c r="D2663" s="26">
        <v>38386</v>
      </c>
      <c r="E2663" s="27" t="s">
        <v>9</v>
      </c>
      <c r="F2663" s="27">
        <v>1</v>
      </c>
      <c r="G2663" s="27">
        <v>2</v>
      </c>
      <c r="H2663" s="27">
        <v>2005</v>
      </c>
      <c r="I2663" s="27" t="s">
        <v>115</v>
      </c>
      <c r="J2663" s="25">
        <v>118</v>
      </c>
      <c r="K2663" s="25">
        <f>Sales!$B2663-Sales!$J2663</f>
        <v>-51.269999999999996</v>
      </c>
      <c r="L2663" s="28">
        <f>(Sales!$J2663-Sales!$B2663)/Sales!$J2663</f>
        <v>0.43449152542372876</v>
      </c>
      <c r="M2663" s="28" t="str">
        <f t="shared" si="41"/>
        <v>+20%</v>
      </c>
      <c r="N2663" s="27" t="s">
        <v>31</v>
      </c>
      <c r="O2663" s="27" t="s">
        <v>16</v>
      </c>
      <c r="P2663" s="27" t="s">
        <v>17</v>
      </c>
      <c r="Q2663" s="27" t="s">
        <v>14</v>
      </c>
    </row>
    <row r="2664" spans="1:17" x14ac:dyDescent="0.3">
      <c r="A2664" s="22">
        <v>50</v>
      </c>
      <c r="B2664" s="19">
        <v>100</v>
      </c>
      <c r="C2664" s="20">
        <f>Sales!$B2664*Sales!$A2664</f>
        <v>5000</v>
      </c>
      <c r="D2664" s="21">
        <v>38414</v>
      </c>
      <c r="E2664" s="22" t="s">
        <v>9</v>
      </c>
      <c r="F2664" s="22">
        <v>1</v>
      </c>
      <c r="G2664" s="22">
        <v>3</v>
      </c>
      <c r="H2664" s="22">
        <v>2005</v>
      </c>
      <c r="I2664" s="22" t="s">
        <v>115</v>
      </c>
      <c r="J2664" s="20">
        <v>118</v>
      </c>
      <c r="K2664" s="20">
        <f>Sales!$B2664-Sales!$J2664</f>
        <v>-18</v>
      </c>
      <c r="L2664" s="23">
        <f>(Sales!$J2664-Sales!$B2664)/Sales!$J2664</f>
        <v>0.15254237288135594</v>
      </c>
      <c r="M2664" s="23" t="s">
        <v>132</v>
      </c>
      <c r="N2664" s="22" t="s">
        <v>41</v>
      </c>
      <c r="O2664" s="22" t="s">
        <v>12</v>
      </c>
      <c r="P2664" s="22" t="s">
        <v>13</v>
      </c>
      <c r="Q2664" s="22" t="s">
        <v>39</v>
      </c>
    </row>
    <row r="2665" spans="1:17" x14ac:dyDescent="0.3">
      <c r="A2665" s="27">
        <v>23</v>
      </c>
      <c r="B2665" s="24">
        <v>100</v>
      </c>
      <c r="C2665" s="25">
        <f>Sales!$B2665*Sales!$A2665</f>
        <v>2300</v>
      </c>
      <c r="D2665" s="26">
        <v>38441</v>
      </c>
      <c r="E2665" s="27" t="s">
        <v>9</v>
      </c>
      <c r="F2665" s="27">
        <v>1</v>
      </c>
      <c r="G2665" s="27">
        <v>3</v>
      </c>
      <c r="H2665" s="27">
        <v>2005</v>
      </c>
      <c r="I2665" s="27" t="s">
        <v>115</v>
      </c>
      <c r="J2665" s="25">
        <v>118</v>
      </c>
      <c r="K2665" s="25">
        <f>Sales!$B2665-Sales!$J2665</f>
        <v>-18</v>
      </c>
      <c r="L2665" s="28">
        <f>(Sales!$J2665-Sales!$B2665)/Sales!$J2665</f>
        <v>0.15254237288135594</v>
      </c>
      <c r="M2665" s="28" t="s">
        <v>132</v>
      </c>
      <c r="N2665" s="27" t="s">
        <v>15</v>
      </c>
      <c r="O2665" s="27" t="s">
        <v>16</v>
      </c>
      <c r="P2665" s="27" t="s">
        <v>17</v>
      </c>
      <c r="Q2665" s="27" t="s">
        <v>14</v>
      </c>
    </row>
    <row r="2666" spans="1:17" x14ac:dyDescent="0.3">
      <c r="A2666" s="22">
        <v>21</v>
      </c>
      <c r="B2666" s="19">
        <v>96.11</v>
      </c>
      <c r="C2666" s="20">
        <f>Sales!$B2666*Sales!$A2666</f>
        <v>2018.31</v>
      </c>
      <c r="D2666" s="21">
        <v>38445</v>
      </c>
      <c r="E2666" s="22" t="s">
        <v>87</v>
      </c>
      <c r="F2666" s="22">
        <v>2</v>
      </c>
      <c r="G2666" s="22">
        <v>4</v>
      </c>
      <c r="H2666" s="22">
        <v>2005</v>
      </c>
      <c r="I2666" s="22" t="s">
        <v>115</v>
      </c>
      <c r="J2666" s="20">
        <v>118</v>
      </c>
      <c r="K2666" s="20">
        <f>Sales!$B2666-Sales!$J2666</f>
        <v>-21.89</v>
      </c>
      <c r="L2666" s="23">
        <f>(Sales!$J2666-Sales!$B2666)/Sales!$J2666</f>
        <v>0.1855084745762712</v>
      </c>
      <c r="M2666" s="23" t="str">
        <f t="shared" si="41"/>
        <v>15%-20%</v>
      </c>
      <c r="N2666" s="22" t="s">
        <v>29</v>
      </c>
      <c r="O2666" s="22" t="s">
        <v>12</v>
      </c>
      <c r="P2666" s="22" t="s">
        <v>13</v>
      </c>
      <c r="Q2666" s="22" t="s">
        <v>14</v>
      </c>
    </row>
    <row r="2667" spans="1:17" x14ac:dyDescent="0.3">
      <c r="A2667" s="27">
        <v>41</v>
      </c>
      <c r="B2667" s="24">
        <v>100</v>
      </c>
      <c r="C2667" s="25">
        <f>Sales!$B2667*Sales!$A2667</f>
        <v>4100</v>
      </c>
      <c r="D2667" s="26">
        <v>38482</v>
      </c>
      <c r="E2667" s="27" t="s">
        <v>9</v>
      </c>
      <c r="F2667" s="27">
        <v>2</v>
      </c>
      <c r="G2667" s="27">
        <v>5</v>
      </c>
      <c r="H2667" s="27">
        <v>2005</v>
      </c>
      <c r="I2667" s="27" t="s">
        <v>115</v>
      </c>
      <c r="J2667" s="25">
        <v>118</v>
      </c>
      <c r="K2667" s="25">
        <f>Sales!$B2667-Sales!$J2667</f>
        <v>-18</v>
      </c>
      <c r="L2667" s="28">
        <f>(Sales!$J2667-Sales!$B2667)/Sales!$J2667</f>
        <v>0.15254237288135594</v>
      </c>
      <c r="M2667" s="28" t="s">
        <v>132</v>
      </c>
      <c r="N2667" s="27" t="s">
        <v>97</v>
      </c>
      <c r="O2667" s="27" t="s">
        <v>61</v>
      </c>
      <c r="P2667" s="27" t="s">
        <v>17</v>
      </c>
      <c r="Q2667" s="27" t="s">
        <v>19</v>
      </c>
    </row>
    <row r="2668" spans="1:17" x14ac:dyDescent="0.3">
      <c r="A2668" s="22">
        <v>44</v>
      </c>
      <c r="B2668" s="19">
        <v>74.400000000000006</v>
      </c>
      <c r="C2668" s="20">
        <f>Sales!$B2668*Sales!$A2668</f>
        <v>3273.6000000000004</v>
      </c>
      <c r="D2668" s="21">
        <v>37669</v>
      </c>
      <c r="E2668" s="22" t="s">
        <v>9</v>
      </c>
      <c r="F2668" s="22">
        <v>1</v>
      </c>
      <c r="G2668" s="22">
        <v>2</v>
      </c>
      <c r="H2668" s="22">
        <v>2003</v>
      </c>
      <c r="I2668" s="22" t="s">
        <v>115</v>
      </c>
      <c r="J2668" s="20">
        <v>80</v>
      </c>
      <c r="K2668" s="20">
        <f>Sales!$B2668-Sales!$J2668</f>
        <v>-5.5999999999999943</v>
      </c>
      <c r="L2668" s="23">
        <f>(Sales!$J2668-Sales!$B2668)/Sales!$J2668</f>
        <v>6.9999999999999923E-2</v>
      </c>
      <c r="M2668" s="23" t="str">
        <f t="shared" si="41"/>
        <v>5%-10%</v>
      </c>
      <c r="N2668" s="22" t="s">
        <v>113</v>
      </c>
      <c r="O2668" s="22" t="s">
        <v>61</v>
      </c>
      <c r="P2668" s="22" t="s">
        <v>17</v>
      </c>
      <c r="Q2668" s="22" t="s">
        <v>19</v>
      </c>
    </row>
    <row r="2669" spans="1:17" x14ac:dyDescent="0.3">
      <c r="A2669" s="27">
        <v>43</v>
      </c>
      <c r="B2669" s="24">
        <v>76</v>
      </c>
      <c r="C2669" s="25">
        <f>Sales!$B2669*Sales!$A2669</f>
        <v>3268</v>
      </c>
      <c r="D2669" s="26">
        <v>37740</v>
      </c>
      <c r="E2669" s="27" t="s">
        <v>9</v>
      </c>
      <c r="F2669" s="27">
        <v>2</v>
      </c>
      <c r="G2669" s="27">
        <v>4</v>
      </c>
      <c r="H2669" s="27">
        <v>2003</v>
      </c>
      <c r="I2669" s="27" t="s">
        <v>115</v>
      </c>
      <c r="J2669" s="25">
        <v>80</v>
      </c>
      <c r="K2669" s="25">
        <f>Sales!$B2669-Sales!$J2669</f>
        <v>-4</v>
      </c>
      <c r="L2669" s="28">
        <f>(Sales!$J2669-Sales!$B2669)/Sales!$J2669</f>
        <v>0.05</v>
      </c>
      <c r="M2669" s="28" t="str">
        <f t="shared" si="41"/>
        <v>0%-5%</v>
      </c>
      <c r="N2669" s="27" t="s">
        <v>26</v>
      </c>
      <c r="O2669" s="27" t="s">
        <v>27</v>
      </c>
      <c r="P2669" s="27" t="s">
        <v>28</v>
      </c>
      <c r="Q2669" s="27" t="s">
        <v>19</v>
      </c>
    </row>
    <row r="2670" spans="1:17" x14ac:dyDescent="0.3">
      <c r="A2670" s="22">
        <v>28</v>
      </c>
      <c r="B2670" s="19">
        <v>96</v>
      </c>
      <c r="C2670" s="20">
        <f>Sales!$B2670*Sales!$A2670</f>
        <v>2688</v>
      </c>
      <c r="D2670" s="21">
        <v>37843</v>
      </c>
      <c r="E2670" s="22" t="s">
        <v>9</v>
      </c>
      <c r="F2670" s="22">
        <v>3</v>
      </c>
      <c r="G2670" s="22">
        <v>8</v>
      </c>
      <c r="H2670" s="22">
        <v>2003</v>
      </c>
      <c r="I2670" s="22" t="s">
        <v>115</v>
      </c>
      <c r="J2670" s="20">
        <v>80</v>
      </c>
      <c r="K2670" s="20">
        <f>Sales!$B2670-Sales!$J2670</f>
        <v>16</v>
      </c>
      <c r="L2670" s="23">
        <f>(Sales!$J2670-Sales!$B2670)/Sales!$J2670</f>
        <v>-0.2</v>
      </c>
      <c r="M2670" s="23" t="str">
        <f t="shared" si="41"/>
        <v>Below 0%</v>
      </c>
      <c r="N2670" s="22" t="s">
        <v>41</v>
      </c>
      <c r="O2670" s="22" t="s">
        <v>12</v>
      </c>
      <c r="P2670" s="22" t="s">
        <v>13</v>
      </c>
      <c r="Q2670" s="22" t="s">
        <v>14</v>
      </c>
    </row>
    <row r="2671" spans="1:17" x14ac:dyDescent="0.3">
      <c r="A2671" s="27">
        <v>43</v>
      </c>
      <c r="B2671" s="24">
        <v>86.4</v>
      </c>
      <c r="C2671" s="25">
        <f>Sales!$B2671*Sales!$A2671</f>
        <v>3715.2000000000003</v>
      </c>
      <c r="D2671" s="26">
        <v>37900</v>
      </c>
      <c r="E2671" s="27" t="s">
        <v>9</v>
      </c>
      <c r="F2671" s="27">
        <v>4</v>
      </c>
      <c r="G2671" s="27">
        <v>10</v>
      </c>
      <c r="H2671" s="27">
        <v>2003</v>
      </c>
      <c r="I2671" s="27" t="s">
        <v>115</v>
      </c>
      <c r="J2671" s="25">
        <v>80</v>
      </c>
      <c r="K2671" s="25">
        <f>Sales!$B2671-Sales!$J2671</f>
        <v>6.4000000000000057</v>
      </c>
      <c r="L2671" s="28">
        <f>(Sales!$J2671-Sales!$B2671)/Sales!$J2671</f>
        <v>-8.0000000000000071E-2</v>
      </c>
      <c r="M2671" s="28" t="str">
        <f t="shared" si="41"/>
        <v>Below 0%</v>
      </c>
      <c r="N2671" s="27" t="s">
        <v>33</v>
      </c>
      <c r="O2671" s="27" t="s">
        <v>34</v>
      </c>
      <c r="P2671" s="27" t="s">
        <v>17</v>
      </c>
      <c r="Q2671" s="27" t="s">
        <v>19</v>
      </c>
    </row>
    <row r="2672" spans="1:17" x14ac:dyDescent="0.3">
      <c r="A2672" s="22">
        <v>48</v>
      </c>
      <c r="B2672" s="19">
        <v>96</v>
      </c>
      <c r="C2672" s="20">
        <f>Sales!$B2672*Sales!$A2672</f>
        <v>4608</v>
      </c>
      <c r="D2672" s="21">
        <v>37922</v>
      </c>
      <c r="E2672" s="22" t="s">
        <v>9</v>
      </c>
      <c r="F2672" s="22">
        <v>4</v>
      </c>
      <c r="G2672" s="22">
        <v>10</v>
      </c>
      <c r="H2672" s="22">
        <v>2003</v>
      </c>
      <c r="I2672" s="22" t="s">
        <v>115</v>
      </c>
      <c r="J2672" s="20">
        <v>80</v>
      </c>
      <c r="K2672" s="20">
        <f>Sales!$B2672-Sales!$J2672</f>
        <v>16</v>
      </c>
      <c r="L2672" s="23">
        <f>(Sales!$J2672-Sales!$B2672)/Sales!$J2672</f>
        <v>-0.2</v>
      </c>
      <c r="M2672" s="23" t="str">
        <f t="shared" si="41"/>
        <v>Below 0%</v>
      </c>
      <c r="N2672" s="22" t="s">
        <v>22</v>
      </c>
      <c r="O2672" s="22" t="s">
        <v>12</v>
      </c>
      <c r="P2672" s="22" t="s">
        <v>13</v>
      </c>
      <c r="Q2672" s="22" t="s">
        <v>19</v>
      </c>
    </row>
    <row r="2673" spans="1:17" x14ac:dyDescent="0.3">
      <c r="A2673" s="27">
        <v>38</v>
      </c>
      <c r="B2673" s="24">
        <v>82.4</v>
      </c>
      <c r="C2673" s="25">
        <f>Sales!$B2673*Sales!$A2673</f>
        <v>3131.2000000000003</v>
      </c>
      <c r="D2673" s="26">
        <v>37956</v>
      </c>
      <c r="E2673" s="27" t="s">
        <v>9</v>
      </c>
      <c r="F2673" s="27">
        <v>4</v>
      </c>
      <c r="G2673" s="27">
        <v>12</v>
      </c>
      <c r="H2673" s="27">
        <v>2003</v>
      </c>
      <c r="I2673" s="27" t="s">
        <v>115</v>
      </c>
      <c r="J2673" s="25">
        <v>80</v>
      </c>
      <c r="K2673" s="25">
        <f>Sales!$B2673-Sales!$J2673</f>
        <v>2.4000000000000057</v>
      </c>
      <c r="L2673" s="28">
        <f>(Sales!$J2673-Sales!$B2673)/Sales!$J2673</f>
        <v>-3.0000000000000072E-2</v>
      </c>
      <c r="M2673" s="28" t="str">
        <f t="shared" si="41"/>
        <v>Below 0%</v>
      </c>
      <c r="N2673" s="27" t="s">
        <v>57</v>
      </c>
      <c r="O2673" s="27" t="s">
        <v>12</v>
      </c>
      <c r="P2673" s="27" t="s">
        <v>13</v>
      </c>
      <c r="Q2673" s="27" t="s">
        <v>19</v>
      </c>
    </row>
    <row r="2674" spans="1:17" x14ac:dyDescent="0.3">
      <c r="A2674" s="22">
        <v>31</v>
      </c>
      <c r="B2674" s="19">
        <v>86.4</v>
      </c>
      <c r="C2674" s="20">
        <f>Sales!$B2674*Sales!$A2674</f>
        <v>2678.4</v>
      </c>
      <c r="D2674" s="21">
        <v>37998</v>
      </c>
      <c r="E2674" s="22" t="s">
        <v>9</v>
      </c>
      <c r="F2674" s="22">
        <v>1</v>
      </c>
      <c r="G2674" s="22">
        <v>1</v>
      </c>
      <c r="H2674" s="22">
        <v>2004</v>
      </c>
      <c r="I2674" s="22" t="s">
        <v>115</v>
      </c>
      <c r="J2674" s="20">
        <v>80</v>
      </c>
      <c r="K2674" s="20">
        <f>Sales!$B2674-Sales!$J2674</f>
        <v>6.4000000000000057</v>
      </c>
      <c r="L2674" s="23">
        <f>(Sales!$J2674-Sales!$B2674)/Sales!$J2674</f>
        <v>-8.0000000000000071E-2</v>
      </c>
      <c r="M2674" s="23" t="str">
        <f t="shared" si="41"/>
        <v>Below 0%</v>
      </c>
      <c r="N2674" s="22" t="s">
        <v>70</v>
      </c>
      <c r="O2674" s="22" t="s">
        <v>51</v>
      </c>
      <c r="P2674" s="22" t="s">
        <v>51</v>
      </c>
      <c r="Q2674" s="22" t="s">
        <v>14</v>
      </c>
    </row>
    <row r="2675" spans="1:17" x14ac:dyDescent="0.3">
      <c r="A2675" s="27">
        <v>26</v>
      </c>
      <c r="B2675" s="24">
        <v>67.2</v>
      </c>
      <c r="C2675" s="25">
        <f>Sales!$B2675*Sales!$A2675</f>
        <v>1747.2</v>
      </c>
      <c r="D2675" s="26">
        <v>38037</v>
      </c>
      <c r="E2675" s="27" t="s">
        <v>9</v>
      </c>
      <c r="F2675" s="27">
        <v>1</v>
      </c>
      <c r="G2675" s="27">
        <v>2</v>
      </c>
      <c r="H2675" s="27">
        <v>2004</v>
      </c>
      <c r="I2675" s="27" t="s">
        <v>115</v>
      </c>
      <c r="J2675" s="25">
        <v>80</v>
      </c>
      <c r="K2675" s="25">
        <f>Sales!$B2675-Sales!$J2675</f>
        <v>-12.799999999999997</v>
      </c>
      <c r="L2675" s="28">
        <f>(Sales!$J2675-Sales!$B2675)/Sales!$J2675</f>
        <v>0.15999999999999998</v>
      </c>
      <c r="M2675" s="28" t="str">
        <f t="shared" si="41"/>
        <v>15%-20%</v>
      </c>
      <c r="N2675" s="27" t="s">
        <v>26</v>
      </c>
      <c r="O2675" s="27" t="s">
        <v>27</v>
      </c>
      <c r="P2675" s="27" t="s">
        <v>28</v>
      </c>
      <c r="Q2675" s="27" t="s">
        <v>14</v>
      </c>
    </row>
    <row r="2676" spans="1:17" x14ac:dyDescent="0.3">
      <c r="A2676" s="22">
        <v>32</v>
      </c>
      <c r="B2676" s="19">
        <v>92</v>
      </c>
      <c r="C2676" s="20">
        <f>Sales!$B2676*Sales!$A2676</f>
        <v>2944</v>
      </c>
      <c r="D2676" s="21">
        <v>38079</v>
      </c>
      <c r="E2676" s="22" t="s">
        <v>9</v>
      </c>
      <c r="F2676" s="22">
        <v>2</v>
      </c>
      <c r="G2676" s="22">
        <v>4</v>
      </c>
      <c r="H2676" s="22">
        <v>2004</v>
      </c>
      <c r="I2676" s="22" t="s">
        <v>115</v>
      </c>
      <c r="J2676" s="20">
        <v>80</v>
      </c>
      <c r="K2676" s="20">
        <f>Sales!$B2676-Sales!$J2676</f>
        <v>12</v>
      </c>
      <c r="L2676" s="23">
        <f>(Sales!$J2676-Sales!$B2676)/Sales!$J2676</f>
        <v>-0.15</v>
      </c>
      <c r="M2676" s="23" t="str">
        <f t="shared" si="41"/>
        <v>Below 0%</v>
      </c>
      <c r="N2676" s="22" t="s">
        <v>82</v>
      </c>
      <c r="O2676" s="22" t="s">
        <v>56</v>
      </c>
      <c r="P2676" s="22" t="s">
        <v>13</v>
      </c>
      <c r="Q2676" s="22" t="s">
        <v>14</v>
      </c>
    </row>
    <row r="2677" spans="1:17" x14ac:dyDescent="0.3">
      <c r="A2677" s="27">
        <v>44</v>
      </c>
      <c r="B2677" s="24">
        <v>67.2</v>
      </c>
      <c r="C2677" s="25">
        <f>Sales!$B2677*Sales!$A2677</f>
        <v>2956.8</v>
      </c>
      <c r="D2677" s="26">
        <v>38118</v>
      </c>
      <c r="E2677" s="27" t="s">
        <v>9</v>
      </c>
      <c r="F2677" s="27">
        <v>2</v>
      </c>
      <c r="G2677" s="27">
        <v>5</v>
      </c>
      <c r="H2677" s="27">
        <v>2004</v>
      </c>
      <c r="I2677" s="27" t="s">
        <v>115</v>
      </c>
      <c r="J2677" s="25">
        <v>80</v>
      </c>
      <c r="K2677" s="25">
        <f>Sales!$B2677-Sales!$J2677</f>
        <v>-12.799999999999997</v>
      </c>
      <c r="L2677" s="28">
        <f>(Sales!$J2677-Sales!$B2677)/Sales!$J2677</f>
        <v>0.15999999999999998</v>
      </c>
      <c r="M2677" s="28" t="str">
        <f t="shared" si="41"/>
        <v>15%-20%</v>
      </c>
      <c r="N2677" s="27" t="s">
        <v>86</v>
      </c>
      <c r="O2677" s="27" t="s">
        <v>12</v>
      </c>
      <c r="P2677" s="27" t="s">
        <v>13</v>
      </c>
      <c r="Q2677" s="27" t="s">
        <v>14</v>
      </c>
    </row>
    <row r="2678" spans="1:17" x14ac:dyDescent="0.3">
      <c r="A2678" s="22">
        <v>27</v>
      </c>
      <c r="B2678" s="19">
        <v>76</v>
      </c>
      <c r="C2678" s="20">
        <f>Sales!$B2678*Sales!$A2678</f>
        <v>2052</v>
      </c>
      <c r="D2678" s="21">
        <v>38162</v>
      </c>
      <c r="E2678" s="22" t="s">
        <v>75</v>
      </c>
      <c r="F2678" s="22">
        <v>2</v>
      </c>
      <c r="G2678" s="22">
        <v>6</v>
      </c>
      <c r="H2678" s="22">
        <v>2004</v>
      </c>
      <c r="I2678" s="22" t="s">
        <v>115</v>
      </c>
      <c r="J2678" s="20">
        <v>80</v>
      </c>
      <c r="K2678" s="20">
        <f>Sales!$B2678-Sales!$J2678</f>
        <v>-4</v>
      </c>
      <c r="L2678" s="23">
        <f>(Sales!$J2678-Sales!$B2678)/Sales!$J2678</f>
        <v>0.05</v>
      </c>
      <c r="M2678" s="23" t="str">
        <f t="shared" si="41"/>
        <v>0%-5%</v>
      </c>
      <c r="N2678" s="22" t="s">
        <v>45</v>
      </c>
      <c r="O2678" s="22" t="s">
        <v>46</v>
      </c>
      <c r="P2678" s="22" t="s">
        <v>17</v>
      </c>
      <c r="Q2678" s="22" t="s">
        <v>14</v>
      </c>
    </row>
    <row r="2679" spans="1:17" x14ac:dyDescent="0.3">
      <c r="A2679" s="27">
        <v>43</v>
      </c>
      <c r="B2679" s="24">
        <v>73.599999999999994</v>
      </c>
      <c r="C2679" s="25">
        <f>Sales!$B2679*Sales!$A2679</f>
        <v>3164.7999999999997</v>
      </c>
      <c r="D2679" s="26">
        <v>38191</v>
      </c>
      <c r="E2679" s="27" t="s">
        <v>9</v>
      </c>
      <c r="F2679" s="27">
        <v>3</v>
      </c>
      <c r="G2679" s="27">
        <v>7</v>
      </c>
      <c r="H2679" s="27">
        <v>2004</v>
      </c>
      <c r="I2679" s="27" t="s">
        <v>115</v>
      </c>
      <c r="J2679" s="25">
        <v>80</v>
      </c>
      <c r="K2679" s="25">
        <f>Sales!$B2679-Sales!$J2679</f>
        <v>-6.4000000000000057</v>
      </c>
      <c r="L2679" s="28">
        <f>(Sales!$J2679-Sales!$B2679)/Sales!$J2679</f>
        <v>8.0000000000000071E-2</v>
      </c>
      <c r="M2679" s="28" t="str">
        <f t="shared" si="41"/>
        <v>5%-10%</v>
      </c>
      <c r="N2679" s="27" t="s">
        <v>31</v>
      </c>
      <c r="O2679" s="27" t="s">
        <v>16</v>
      </c>
      <c r="P2679" s="27" t="s">
        <v>17</v>
      </c>
      <c r="Q2679" s="27" t="s">
        <v>19</v>
      </c>
    </row>
    <row r="2680" spans="1:17" x14ac:dyDescent="0.3">
      <c r="A2680" s="22">
        <v>25</v>
      </c>
      <c r="B2680" s="19">
        <v>69.599999999999994</v>
      </c>
      <c r="C2680" s="20">
        <f>Sales!$B2680*Sales!$A2680</f>
        <v>1739.9999999999998</v>
      </c>
      <c r="D2680" s="21">
        <v>38220</v>
      </c>
      <c r="E2680" s="22" t="s">
        <v>9</v>
      </c>
      <c r="F2680" s="22">
        <v>3</v>
      </c>
      <c r="G2680" s="22">
        <v>8</v>
      </c>
      <c r="H2680" s="22">
        <v>2004</v>
      </c>
      <c r="I2680" s="22" t="s">
        <v>115</v>
      </c>
      <c r="J2680" s="20">
        <v>80</v>
      </c>
      <c r="K2680" s="20">
        <f>Sales!$B2680-Sales!$J2680</f>
        <v>-10.400000000000006</v>
      </c>
      <c r="L2680" s="23">
        <f>(Sales!$J2680-Sales!$B2680)/Sales!$J2680</f>
        <v>0.13000000000000006</v>
      </c>
      <c r="M2680" s="23" t="str">
        <f t="shared" si="41"/>
        <v>10%-15%</v>
      </c>
      <c r="N2680" s="22" t="s">
        <v>110</v>
      </c>
      <c r="O2680" s="22" t="s">
        <v>25</v>
      </c>
      <c r="P2680" s="22" t="s">
        <v>17</v>
      </c>
      <c r="Q2680" s="22" t="s">
        <v>14</v>
      </c>
    </row>
    <row r="2681" spans="1:17" x14ac:dyDescent="0.3">
      <c r="A2681" s="27">
        <v>22</v>
      </c>
      <c r="B2681" s="24">
        <v>80.8</v>
      </c>
      <c r="C2681" s="25">
        <f>Sales!$B2681*Sales!$A2681</f>
        <v>1777.6</v>
      </c>
      <c r="D2681" s="26">
        <v>38245</v>
      </c>
      <c r="E2681" s="27" t="s">
        <v>9</v>
      </c>
      <c r="F2681" s="27">
        <v>3</v>
      </c>
      <c r="G2681" s="27">
        <v>9</v>
      </c>
      <c r="H2681" s="27">
        <v>2004</v>
      </c>
      <c r="I2681" s="27" t="s">
        <v>115</v>
      </c>
      <c r="J2681" s="25">
        <v>80</v>
      </c>
      <c r="K2681" s="25">
        <f>Sales!$B2681-Sales!$J2681</f>
        <v>0.79999999999999716</v>
      </c>
      <c r="L2681" s="28">
        <f>(Sales!$J2681-Sales!$B2681)/Sales!$J2681</f>
        <v>-9.9999999999999638E-3</v>
      </c>
      <c r="M2681" s="28" t="str">
        <f t="shared" si="41"/>
        <v>Below 0%</v>
      </c>
      <c r="N2681" s="27" t="s">
        <v>116</v>
      </c>
      <c r="O2681" s="27" t="s">
        <v>94</v>
      </c>
      <c r="P2681" s="27" t="s">
        <v>17</v>
      </c>
      <c r="Q2681" s="27" t="s">
        <v>14</v>
      </c>
    </row>
    <row r="2682" spans="1:17" x14ac:dyDescent="0.3">
      <c r="A2682" s="22">
        <v>21</v>
      </c>
      <c r="B2682" s="19">
        <v>87.2</v>
      </c>
      <c r="C2682" s="20">
        <f>Sales!$B2682*Sales!$A2682</f>
        <v>1831.2</v>
      </c>
      <c r="D2682" s="21">
        <v>38275</v>
      </c>
      <c r="E2682" s="22" t="s">
        <v>9</v>
      </c>
      <c r="F2682" s="22">
        <v>4</v>
      </c>
      <c r="G2682" s="22">
        <v>10</v>
      </c>
      <c r="H2682" s="22">
        <v>2004</v>
      </c>
      <c r="I2682" s="22" t="s">
        <v>115</v>
      </c>
      <c r="J2682" s="20">
        <v>80</v>
      </c>
      <c r="K2682" s="20">
        <f>Sales!$B2682-Sales!$J2682</f>
        <v>7.2000000000000028</v>
      </c>
      <c r="L2682" s="23">
        <f>(Sales!$J2682-Sales!$B2682)/Sales!$J2682</f>
        <v>-9.0000000000000038E-2</v>
      </c>
      <c r="M2682" s="23" t="str">
        <f t="shared" si="41"/>
        <v>Below 0%</v>
      </c>
      <c r="N2682" s="22" t="s">
        <v>71</v>
      </c>
      <c r="O2682" s="22" t="s">
        <v>12</v>
      </c>
      <c r="P2682" s="22" t="s">
        <v>13</v>
      </c>
      <c r="Q2682" s="22" t="s">
        <v>14</v>
      </c>
    </row>
    <row r="2683" spans="1:17" x14ac:dyDescent="0.3">
      <c r="A2683" s="27">
        <v>48</v>
      </c>
      <c r="B2683" s="24">
        <v>75.2</v>
      </c>
      <c r="C2683" s="25">
        <f>Sales!$B2683*Sales!$A2683</f>
        <v>3609.6000000000004</v>
      </c>
      <c r="D2683" s="26">
        <v>38292</v>
      </c>
      <c r="E2683" s="27" t="s">
        <v>9</v>
      </c>
      <c r="F2683" s="27">
        <v>4</v>
      </c>
      <c r="G2683" s="27">
        <v>11</v>
      </c>
      <c r="H2683" s="27">
        <v>2004</v>
      </c>
      <c r="I2683" s="27" t="s">
        <v>115</v>
      </c>
      <c r="J2683" s="25">
        <v>80</v>
      </c>
      <c r="K2683" s="25">
        <f>Sales!$B2683-Sales!$J2683</f>
        <v>-4.7999999999999972</v>
      </c>
      <c r="L2683" s="28">
        <f>(Sales!$J2683-Sales!$B2683)/Sales!$J2683</f>
        <v>5.9999999999999963E-2</v>
      </c>
      <c r="M2683" s="28" t="str">
        <f t="shared" si="41"/>
        <v>5%-10%</v>
      </c>
      <c r="N2683" s="27" t="s">
        <v>84</v>
      </c>
      <c r="O2683" s="27" t="s">
        <v>43</v>
      </c>
      <c r="P2683" s="27" t="s">
        <v>17</v>
      </c>
      <c r="Q2683" s="27" t="s">
        <v>19</v>
      </c>
    </row>
    <row r="2684" spans="1:17" x14ac:dyDescent="0.3">
      <c r="A2684" s="22">
        <v>33</v>
      </c>
      <c r="B2684" s="19">
        <v>64</v>
      </c>
      <c r="C2684" s="20">
        <f>Sales!$B2684*Sales!$A2684</f>
        <v>2112</v>
      </c>
      <c r="D2684" s="21">
        <v>38303</v>
      </c>
      <c r="E2684" s="22" t="s">
        <v>9</v>
      </c>
      <c r="F2684" s="22">
        <v>4</v>
      </c>
      <c r="G2684" s="22">
        <v>11</v>
      </c>
      <c r="H2684" s="22">
        <v>2004</v>
      </c>
      <c r="I2684" s="22" t="s">
        <v>115</v>
      </c>
      <c r="J2684" s="20">
        <v>80</v>
      </c>
      <c r="K2684" s="20">
        <f>Sales!$B2684-Sales!$J2684</f>
        <v>-16</v>
      </c>
      <c r="L2684" s="23">
        <f>(Sales!$J2684-Sales!$B2684)/Sales!$J2684</f>
        <v>0.2</v>
      </c>
      <c r="M2684" s="23" t="str">
        <f t="shared" si="41"/>
        <v>15%-20%</v>
      </c>
      <c r="N2684" s="22" t="s">
        <v>113</v>
      </c>
      <c r="O2684" s="22" t="s">
        <v>61</v>
      </c>
      <c r="P2684" s="22" t="s">
        <v>17</v>
      </c>
      <c r="Q2684" s="22" t="s">
        <v>14</v>
      </c>
    </row>
    <row r="2685" spans="1:17" x14ac:dyDescent="0.3">
      <c r="A2685" s="27">
        <v>34</v>
      </c>
      <c r="B2685" s="24">
        <v>100</v>
      </c>
      <c r="C2685" s="25">
        <f>Sales!$B2685*Sales!$A2685</f>
        <v>3400</v>
      </c>
      <c r="D2685" s="26">
        <v>38315</v>
      </c>
      <c r="E2685" s="27" t="s">
        <v>9</v>
      </c>
      <c r="F2685" s="27">
        <v>4</v>
      </c>
      <c r="G2685" s="27">
        <v>11</v>
      </c>
      <c r="H2685" s="27">
        <v>2004</v>
      </c>
      <c r="I2685" s="27" t="s">
        <v>115</v>
      </c>
      <c r="J2685" s="25">
        <v>80</v>
      </c>
      <c r="K2685" s="25">
        <f>Sales!$B2685-Sales!$J2685</f>
        <v>20</v>
      </c>
      <c r="L2685" s="28">
        <f>(Sales!$J2685-Sales!$B2685)/Sales!$J2685</f>
        <v>-0.25</v>
      </c>
      <c r="M2685" s="28" t="str">
        <f t="shared" si="41"/>
        <v>Below 0%</v>
      </c>
      <c r="N2685" s="27" t="s">
        <v>37</v>
      </c>
      <c r="O2685" s="27" t="s">
        <v>38</v>
      </c>
      <c r="P2685" s="27" t="s">
        <v>17</v>
      </c>
      <c r="Q2685" s="27" t="s">
        <v>19</v>
      </c>
    </row>
    <row r="2686" spans="1:17" x14ac:dyDescent="0.3">
      <c r="A2686" s="22">
        <v>43</v>
      </c>
      <c r="B2686" s="19">
        <v>81.95</v>
      </c>
      <c r="C2686" s="20">
        <f>Sales!$B2686*Sales!$A2686</f>
        <v>3523.85</v>
      </c>
      <c r="D2686" s="21">
        <v>38325</v>
      </c>
      <c r="E2686" s="22" t="s">
        <v>9</v>
      </c>
      <c r="F2686" s="22">
        <v>4</v>
      </c>
      <c r="G2686" s="22">
        <v>12</v>
      </c>
      <c r="H2686" s="22">
        <v>2004</v>
      </c>
      <c r="I2686" s="22" t="s">
        <v>115</v>
      </c>
      <c r="J2686" s="20">
        <v>80</v>
      </c>
      <c r="K2686" s="20">
        <f>Sales!$B2686-Sales!$J2686</f>
        <v>1.9500000000000028</v>
      </c>
      <c r="L2686" s="23">
        <f>(Sales!$J2686-Sales!$B2686)/Sales!$J2686</f>
        <v>-2.4375000000000036E-2</v>
      </c>
      <c r="M2686" s="23" t="str">
        <f t="shared" si="41"/>
        <v>Below 0%</v>
      </c>
      <c r="N2686" s="22" t="s">
        <v>105</v>
      </c>
      <c r="O2686" s="22" t="s">
        <v>12</v>
      </c>
      <c r="P2686" s="22" t="s">
        <v>13</v>
      </c>
      <c r="Q2686" s="22" t="s">
        <v>19</v>
      </c>
    </row>
    <row r="2687" spans="1:17" x14ac:dyDescent="0.3">
      <c r="A2687" s="27">
        <v>44</v>
      </c>
      <c r="B2687" s="24">
        <v>100</v>
      </c>
      <c r="C2687" s="25">
        <f>Sales!$B2687*Sales!$A2687</f>
        <v>4400</v>
      </c>
      <c r="D2687" s="26">
        <v>38338</v>
      </c>
      <c r="E2687" s="27" t="s">
        <v>9</v>
      </c>
      <c r="F2687" s="27">
        <v>4</v>
      </c>
      <c r="G2687" s="27">
        <v>12</v>
      </c>
      <c r="H2687" s="27">
        <v>2004</v>
      </c>
      <c r="I2687" s="27" t="s">
        <v>115</v>
      </c>
      <c r="J2687" s="25">
        <v>80</v>
      </c>
      <c r="K2687" s="25">
        <f>Sales!$B2687-Sales!$J2687</f>
        <v>20</v>
      </c>
      <c r="L2687" s="28">
        <f>(Sales!$J2687-Sales!$B2687)/Sales!$J2687</f>
        <v>-0.25</v>
      </c>
      <c r="M2687" s="28" t="str">
        <f t="shared" si="41"/>
        <v>Below 0%</v>
      </c>
      <c r="N2687" s="27" t="s">
        <v>40</v>
      </c>
      <c r="O2687" s="27" t="s">
        <v>27</v>
      </c>
      <c r="P2687" s="27" t="s">
        <v>28</v>
      </c>
      <c r="Q2687" s="27" t="s">
        <v>19</v>
      </c>
    </row>
    <row r="2688" spans="1:17" x14ac:dyDescent="0.3">
      <c r="A2688" s="22">
        <v>44</v>
      </c>
      <c r="B2688" s="19">
        <v>100</v>
      </c>
      <c r="C2688" s="20">
        <f>Sales!$B2688*Sales!$A2688</f>
        <v>4400</v>
      </c>
      <c r="D2688" s="21">
        <v>38386</v>
      </c>
      <c r="E2688" s="22" t="s">
        <v>9</v>
      </c>
      <c r="F2688" s="22">
        <v>1</v>
      </c>
      <c r="G2688" s="22">
        <v>2</v>
      </c>
      <c r="H2688" s="22">
        <v>2005</v>
      </c>
      <c r="I2688" s="22" t="s">
        <v>115</v>
      </c>
      <c r="J2688" s="20">
        <v>80</v>
      </c>
      <c r="K2688" s="20">
        <f>Sales!$B2688-Sales!$J2688</f>
        <v>20</v>
      </c>
      <c r="L2688" s="23">
        <f>(Sales!$J2688-Sales!$B2688)/Sales!$J2688</f>
        <v>-0.25</v>
      </c>
      <c r="M2688" s="23" t="str">
        <f t="shared" si="41"/>
        <v>Below 0%</v>
      </c>
      <c r="N2688" s="22" t="s">
        <v>31</v>
      </c>
      <c r="O2688" s="22" t="s">
        <v>16</v>
      </c>
      <c r="P2688" s="22" t="s">
        <v>17</v>
      </c>
      <c r="Q2688" s="22" t="s">
        <v>19</v>
      </c>
    </row>
    <row r="2689" spans="1:17" x14ac:dyDescent="0.3">
      <c r="A2689" s="27">
        <v>32</v>
      </c>
      <c r="B2689" s="24">
        <v>94.34</v>
      </c>
      <c r="C2689" s="25">
        <f>Sales!$B2689*Sales!$A2689</f>
        <v>3018.88</v>
      </c>
      <c r="D2689" s="26">
        <v>38412</v>
      </c>
      <c r="E2689" s="27" t="s">
        <v>88</v>
      </c>
      <c r="F2689" s="27">
        <v>1</v>
      </c>
      <c r="G2689" s="27">
        <v>3</v>
      </c>
      <c r="H2689" s="27">
        <v>2005</v>
      </c>
      <c r="I2689" s="27" t="s">
        <v>115</v>
      </c>
      <c r="J2689" s="25">
        <v>80</v>
      </c>
      <c r="K2689" s="25">
        <f>Sales!$B2689-Sales!$J2689</f>
        <v>14.340000000000003</v>
      </c>
      <c r="L2689" s="28">
        <f>(Sales!$J2689-Sales!$B2689)/Sales!$J2689</f>
        <v>-0.17925000000000005</v>
      </c>
      <c r="M2689" s="28" t="str">
        <f t="shared" si="41"/>
        <v>Below 0%</v>
      </c>
      <c r="N2689" s="27" t="s">
        <v>45</v>
      </c>
      <c r="O2689" s="27" t="s">
        <v>46</v>
      </c>
      <c r="P2689" s="27" t="s">
        <v>17</v>
      </c>
      <c r="Q2689" s="27" t="s">
        <v>19</v>
      </c>
    </row>
    <row r="2690" spans="1:17" x14ac:dyDescent="0.3">
      <c r="A2690" s="22">
        <v>29</v>
      </c>
      <c r="B2690" s="19">
        <v>65.599999999999994</v>
      </c>
      <c r="C2690" s="20">
        <f>Sales!$B2690*Sales!$A2690</f>
        <v>1902.3999999999999</v>
      </c>
      <c r="D2690" s="21">
        <v>38441</v>
      </c>
      <c r="E2690" s="22" t="s">
        <v>9</v>
      </c>
      <c r="F2690" s="22">
        <v>1</v>
      </c>
      <c r="G2690" s="22">
        <v>3</v>
      </c>
      <c r="H2690" s="22">
        <v>2005</v>
      </c>
      <c r="I2690" s="22" t="s">
        <v>115</v>
      </c>
      <c r="J2690" s="20">
        <v>80</v>
      </c>
      <c r="K2690" s="20">
        <f>Sales!$B2690-Sales!$J2690</f>
        <v>-14.400000000000006</v>
      </c>
      <c r="L2690" s="23">
        <f>(Sales!$J2690-Sales!$B2690)/Sales!$J2690</f>
        <v>0.18000000000000008</v>
      </c>
      <c r="M2690" s="23" t="str">
        <f t="shared" si="41"/>
        <v>15%-20%</v>
      </c>
      <c r="N2690" s="22" t="s">
        <v>15</v>
      </c>
      <c r="O2690" s="22" t="s">
        <v>16</v>
      </c>
      <c r="P2690" s="22" t="s">
        <v>17</v>
      </c>
      <c r="Q2690" s="22" t="s">
        <v>14</v>
      </c>
    </row>
    <row r="2691" spans="1:17" x14ac:dyDescent="0.3">
      <c r="A2691" s="27">
        <v>77</v>
      </c>
      <c r="B2691" s="24">
        <v>92</v>
      </c>
      <c r="C2691" s="25">
        <f>Sales!$B2691*Sales!$A2691</f>
        <v>7084</v>
      </c>
      <c r="D2691" s="26">
        <v>38445</v>
      </c>
      <c r="E2691" s="27" t="s">
        <v>87</v>
      </c>
      <c r="F2691" s="27">
        <v>2</v>
      </c>
      <c r="G2691" s="27">
        <v>4</v>
      </c>
      <c r="H2691" s="27">
        <v>2005</v>
      </c>
      <c r="I2691" s="27" t="s">
        <v>115</v>
      </c>
      <c r="J2691" s="25">
        <v>80</v>
      </c>
      <c r="K2691" s="25">
        <f>Sales!$B2691-Sales!$J2691</f>
        <v>12</v>
      </c>
      <c r="L2691" s="28">
        <f>(Sales!$J2691-Sales!$B2691)/Sales!$J2691</f>
        <v>-0.15</v>
      </c>
      <c r="M2691" s="28" t="str">
        <f t="shared" ref="M2691:M2753" si="42">IF(L2691&lt;0%,"Below 0%",IF(L2691=0%,"0%",IF(AND(L2691&lt;=5%,L2691&gt;0%),"0%-5%",IF(AND(L2691&lt;=10%,L2691&gt;5%),"5%-10%",IF(AND(L2691&lt;=15%,L2691&gt;10%),"10%-15%",IF(AND(L2691&lt;=20%,L2691&gt;15%),"15%-20%","+20%"))))))</f>
        <v>Below 0%</v>
      </c>
      <c r="N2691" s="27" t="s">
        <v>29</v>
      </c>
      <c r="O2691" s="27" t="s">
        <v>12</v>
      </c>
      <c r="P2691" s="27" t="s">
        <v>13</v>
      </c>
      <c r="Q2691" s="27" t="s">
        <v>39</v>
      </c>
    </row>
    <row r="2692" spans="1:17" x14ac:dyDescent="0.3">
      <c r="A2692" s="22">
        <v>39</v>
      </c>
      <c r="B2692" s="19">
        <v>67.2</v>
      </c>
      <c r="C2692" s="20">
        <f>Sales!$B2692*Sales!$A2692</f>
        <v>2620.8000000000002</v>
      </c>
      <c r="D2692" s="21">
        <v>38482</v>
      </c>
      <c r="E2692" s="22" t="s">
        <v>9</v>
      </c>
      <c r="F2692" s="22">
        <v>2</v>
      </c>
      <c r="G2692" s="22">
        <v>5</v>
      </c>
      <c r="H2692" s="22">
        <v>2005</v>
      </c>
      <c r="I2692" s="22" t="s">
        <v>115</v>
      </c>
      <c r="J2692" s="20">
        <v>80</v>
      </c>
      <c r="K2692" s="20">
        <f>Sales!$B2692-Sales!$J2692</f>
        <v>-12.799999999999997</v>
      </c>
      <c r="L2692" s="23">
        <f>(Sales!$J2692-Sales!$B2692)/Sales!$J2692</f>
        <v>0.15999999999999998</v>
      </c>
      <c r="M2692" s="23" t="str">
        <f t="shared" si="42"/>
        <v>15%-20%</v>
      </c>
      <c r="N2692" s="22" t="s">
        <v>97</v>
      </c>
      <c r="O2692" s="22" t="s">
        <v>61</v>
      </c>
      <c r="P2692" s="22" t="s">
        <v>17</v>
      </c>
      <c r="Q2692" s="22" t="s">
        <v>14</v>
      </c>
    </row>
    <row r="2693" spans="1:17" x14ac:dyDescent="0.3">
      <c r="A2693" s="27">
        <v>39</v>
      </c>
      <c r="B2693" s="24">
        <v>81.14</v>
      </c>
      <c r="C2693" s="25">
        <f>Sales!$B2693*Sales!$A2693</f>
        <v>3164.46</v>
      </c>
      <c r="D2693" s="26">
        <v>37663</v>
      </c>
      <c r="E2693" s="27" t="s">
        <v>9</v>
      </c>
      <c r="F2693" s="27">
        <v>1</v>
      </c>
      <c r="G2693" s="27">
        <v>2</v>
      </c>
      <c r="H2693" s="27">
        <v>2003</v>
      </c>
      <c r="I2693" s="27" t="s">
        <v>118</v>
      </c>
      <c r="J2693" s="25">
        <v>100</v>
      </c>
      <c r="K2693" s="25">
        <f>Sales!$B2693-Sales!$J2693</f>
        <v>-18.86</v>
      </c>
      <c r="L2693" s="28">
        <f>(Sales!$J2693-Sales!$B2693)/Sales!$J2693</f>
        <v>0.18859999999999999</v>
      </c>
      <c r="M2693" s="28" t="str">
        <f t="shared" si="42"/>
        <v>15%-20%</v>
      </c>
      <c r="N2693" s="27" t="s">
        <v>72</v>
      </c>
      <c r="O2693" s="27" t="s">
        <v>73</v>
      </c>
      <c r="P2693" s="27" t="s">
        <v>17</v>
      </c>
      <c r="Q2693" s="27" t="s">
        <v>19</v>
      </c>
    </row>
    <row r="2694" spans="1:17" x14ac:dyDescent="0.3">
      <c r="A2694" s="22">
        <v>36</v>
      </c>
      <c r="B2694" s="19">
        <v>100</v>
      </c>
      <c r="C2694" s="20">
        <f>Sales!$B2694*Sales!$A2694</f>
        <v>3600</v>
      </c>
      <c r="D2694" s="21">
        <v>37732</v>
      </c>
      <c r="E2694" s="22" t="s">
        <v>9</v>
      </c>
      <c r="F2694" s="22">
        <v>2</v>
      </c>
      <c r="G2694" s="22">
        <v>4</v>
      </c>
      <c r="H2694" s="22">
        <v>2003</v>
      </c>
      <c r="I2694" s="22" t="s">
        <v>118</v>
      </c>
      <c r="J2694" s="20">
        <v>100</v>
      </c>
      <c r="K2694" s="20">
        <f>Sales!$B2694-Sales!$J2694</f>
        <v>0</v>
      </c>
      <c r="L2694" s="23">
        <f>(Sales!$J2694-Sales!$B2694)/Sales!$J2694</f>
        <v>0</v>
      </c>
      <c r="M2694" s="23" t="s">
        <v>130</v>
      </c>
      <c r="N2694" s="22" t="s">
        <v>77</v>
      </c>
      <c r="O2694" s="22" t="s">
        <v>46</v>
      </c>
      <c r="P2694" s="22" t="s">
        <v>17</v>
      </c>
      <c r="Q2694" s="22" t="s">
        <v>19</v>
      </c>
    </row>
    <row r="2695" spans="1:17" x14ac:dyDescent="0.3">
      <c r="A2695" s="27">
        <v>42</v>
      </c>
      <c r="B2695" s="24">
        <v>91.15</v>
      </c>
      <c r="C2695" s="25">
        <f>Sales!$B2695*Sales!$A2695</f>
        <v>3828.3</v>
      </c>
      <c r="D2695" s="26">
        <v>37784</v>
      </c>
      <c r="E2695" s="27" t="s">
        <v>9</v>
      </c>
      <c r="F2695" s="27">
        <v>2</v>
      </c>
      <c r="G2695" s="27">
        <v>6</v>
      </c>
      <c r="H2695" s="27">
        <v>2003</v>
      </c>
      <c r="I2695" s="27" t="s">
        <v>118</v>
      </c>
      <c r="J2695" s="25">
        <v>100</v>
      </c>
      <c r="K2695" s="25">
        <f>Sales!$B2695-Sales!$J2695</f>
        <v>-8.8499999999999943</v>
      </c>
      <c r="L2695" s="28">
        <f>(Sales!$J2695-Sales!$B2695)/Sales!$J2695</f>
        <v>8.849999999999994E-2</v>
      </c>
      <c r="M2695" s="28" t="str">
        <f t="shared" si="42"/>
        <v>5%-10%</v>
      </c>
      <c r="N2695" s="27" t="s">
        <v>74</v>
      </c>
      <c r="O2695" s="27" t="s">
        <v>43</v>
      </c>
      <c r="P2695" s="27" t="s">
        <v>17</v>
      </c>
      <c r="Q2695" s="27" t="s">
        <v>19</v>
      </c>
    </row>
    <row r="2696" spans="1:17" x14ac:dyDescent="0.3">
      <c r="A2696" s="22">
        <v>21</v>
      </c>
      <c r="B2696" s="19">
        <v>100</v>
      </c>
      <c r="C2696" s="20">
        <f>Sales!$B2696*Sales!$A2696</f>
        <v>2100</v>
      </c>
      <c r="D2696" s="21">
        <v>37841</v>
      </c>
      <c r="E2696" s="22" t="s">
        <v>9</v>
      </c>
      <c r="F2696" s="22">
        <v>3</v>
      </c>
      <c r="G2696" s="22">
        <v>8</v>
      </c>
      <c r="H2696" s="22">
        <v>2003</v>
      </c>
      <c r="I2696" s="22" t="s">
        <v>118</v>
      </c>
      <c r="J2696" s="20">
        <v>100</v>
      </c>
      <c r="K2696" s="20">
        <f>Sales!$B2696-Sales!$J2696</f>
        <v>0</v>
      </c>
      <c r="L2696" s="23">
        <f>(Sales!$J2696-Sales!$B2696)/Sales!$J2696</f>
        <v>0</v>
      </c>
      <c r="M2696" s="23" t="s">
        <v>130</v>
      </c>
      <c r="N2696" s="22" t="s">
        <v>64</v>
      </c>
      <c r="O2696" s="22" t="s">
        <v>12</v>
      </c>
      <c r="P2696" s="22" t="s">
        <v>13</v>
      </c>
      <c r="Q2696" s="22" t="s">
        <v>14</v>
      </c>
    </row>
    <row r="2697" spans="1:17" x14ac:dyDescent="0.3">
      <c r="A2697" s="27">
        <v>50</v>
      </c>
      <c r="B2697" s="24">
        <v>88.15</v>
      </c>
      <c r="C2697" s="25">
        <f>Sales!$B2697*Sales!$A2697</f>
        <v>4407.5</v>
      </c>
      <c r="D2697" s="26">
        <v>37892</v>
      </c>
      <c r="E2697" s="27" t="s">
        <v>9</v>
      </c>
      <c r="F2697" s="27">
        <v>3</v>
      </c>
      <c r="G2697" s="27">
        <v>9</v>
      </c>
      <c r="H2697" s="27">
        <v>2003</v>
      </c>
      <c r="I2697" s="27" t="s">
        <v>118</v>
      </c>
      <c r="J2697" s="25">
        <v>100</v>
      </c>
      <c r="K2697" s="25">
        <f>Sales!$B2697-Sales!$J2697</f>
        <v>-11.849999999999994</v>
      </c>
      <c r="L2697" s="28">
        <f>(Sales!$J2697-Sales!$B2697)/Sales!$J2697</f>
        <v>0.11849999999999994</v>
      </c>
      <c r="M2697" s="28" t="str">
        <f t="shared" si="42"/>
        <v>10%-15%</v>
      </c>
      <c r="N2697" s="27" t="s">
        <v>45</v>
      </c>
      <c r="O2697" s="27" t="s">
        <v>46</v>
      </c>
      <c r="P2697" s="27" t="s">
        <v>17</v>
      </c>
      <c r="Q2697" s="27" t="s">
        <v>19</v>
      </c>
    </row>
    <row r="2698" spans="1:17" x14ac:dyDescent="0.3">
      <c r="A2698" s="22">
        <v>24</v>
      </c>
      <c r="B2698" s="19">
        <v>100</v>
      </c>
      <c r="C2698" s="20">
        <f>Sales!$B2698*Sales!$A2698</f>
        <v>2400</v>
      </c>
      <c r="D2698" s="21">
        <v>37917</v>
      </c>
      <c r="E2698" s="22" t="s">
        <v>75</v>
      </c>
      <c r="F2698" s="22">
        <v>4</v>
      </c>
      <c r="G2698" s="22">
        <v>10</v>
      </c>
      <c r="H2698" s="22">
        <v>2003</v>
      </c>
      <c r="I2698" s="22" t="s">
        <v>118</v>
      </c>
      <c r="J2698" s="20">
        <v>100</v>
      </c>
      <c r="K2698" s="20">
        <f>Sales!$B2698-Sales!$J2698</f>
        <v>0</v>
      </c>
      <c r="L2698" s="23">
        <f>(Sales!$J2698-Sales!$B2698)/Sales!$J2698</f>
        <v>0</v>
      </c>
      <c r="M2698" s="23" t="s">
        <v>130</v>
      </c>
      <c r="N2698" s="22" t="s">
        <v>62</v>
      </c>
      <c r="O2698" s="22" t="s">
        <v>49</v>
      </c>
      <c r="P2698" s="22" t="s">
        <v>17</v>
      </c>
      <c r="Q2698" s="22" t="s">
        <v>14</v>
      </c>
    </row>
    <row r="2699" spans="1:17" x14ac:dyDescent="0.3">
      <c r="A2699" s="27">
        <v>44</v>
      </c>
      <c r="B2699" s="24">
        <v>92.16</v>
      </c>
      <c r="C2699" s="25">
        <f>Sales!$B2699*Sales!$A2699</f>
        <v>4055.04</v>
      </c>
      <c r="D2699" s="26">
        <v>37932</v>
      </c>
      <c r="E2699" s="27" t="s">
        <v>9</v>
      </c>
      <c r="F2699" s="27">
        <v>4</v>
      </c>
      <c r="G2699" s="27">
        <v>11</v>
      </c>
      <c r="H2699" s="27">
        <v>2003</v>
      </c>
      <c r="I2699" s="27" t="s">
        <v>118</v>
      </c>
      <c r="J2699" s="25">
        <v>100</v>
      </c>
      <c r="K2699" s="25">
        <f>Sales!$B2699-Sales!$J2699</f>
        <v>-7.8400000000000034</v>
      </c>
      <c r="L2699" s="28">
        <f>(Sales!$J2699-Sales!$B2699)/Sales!$J2699</f>
        <v>7.8400000000000039E-2</v>
      </c>
      <c r="M2699" s="28" t="str">
        <f t="shared" si="42"/>
        <v>5%-10%</v>
      </c>
      <c r="N2699" s="27" t="s">
        <v>45</v>
      </c>
      <c r="O2699" s="27" t="s">
        <v>46</v>
      </c>
      <c r="P2699" s="27" t="s">
        <v>17</v>
      </c>
      <c r="Q2699" s="27" t="s">
        <v>19</v>
      </c>
    </row>
    <row r="2700" spans="1:17" x14ac:dyDescent="0.3">
      <c r="A2700" s="22">
        <v>37</v>
      </c>
      <c r="B2700" s="19">
        <v>100</v>
      </c>
      <c r="C2700" s="20">
        <f>Sales!$B2700*Sales!$A2700</f>
        <v>3700</v>
      </c>
      <c r="D2700" s="21">
        <v>37939</v>
      </c>
      <c r="E2700" s="22" t="s">
        <v>9</v>
      </c>
      <c r="F2700" s="22">
        <v>4</v>
      </c>
      <c r="G2700" s="22">
        <v>11</v>
      </c>
      <c r="H2700" s="22">
        <v>2003</v>
      </c>
      <c r="I2700" s="22" t="s">
        <v>118</v>
      </c>
      <c r="J2700" s="20">
        <v>100</v>
      </c>
      <c r="K2700" s="20">
        <f>Sales!$B2700-Sales!$J2700</f>
        <v>0</v>
      </c>
      <c r="L2700" s="23">
        <f>(Sales!$J2700-Sales!$B2700)/Sales!$J2700</f>
        <v>0</v>
      </c>
      <c r="M2700" s="23" t="s">
        <v>130</v>
      </c>
      <c r="N2700" s="22" t="s">
        <v>41</v>
      </c>
      <c r="O2700" s="22" t="s">
        <v>12</v>
      </c>
      <c r="P2700" s="22" t="s">
        <v>13</v>
      </c>
      <c r="Q2700" s="22" t="s">
        <v>19</v>
      </c>
    </row>
    <row r="2701" spans="1:17" x14ac:dyDescent="0.3">
      <c r="A2701" s="27">
        <v>27</v>
      </c>
      <c r="B2701" s="24">
        <v>92.16</v>
      </c>
      <c r="C2701" s="25">
        <f>Sales!$B2701*Sales!$A2701</f>
        <v>2488.3199999999997</v>
      </c>
      <c r="D2701" s="26">
        <v>37951</v>
      </c>
      <c r="E2701" s="27" t="s">
        <v>9</v>
      </c>
      <c r="F2701" s="27">
        <v>4</v>
      </c>
      <c r="G2701" s="27">
        <v>11</v>
      </c>
      <c r="H2701" s="27">
        <v>2003</v>
      </c>
      <c r="I2701" s="27" t="s">
        <v>118</v>
      </c>
      <c r="J2701" s="25">
        <v>100</v>
      </c>
      <c r="K2701" s="25">
        <f>Sales!$B2701-Sales!$J2701</f>
        <v>-7.8400000000000034</v>
      </c>
      <c r="L2701" s="28">
        <f>(Sales!$J2701-Sales!$B2701)/Sales!$J2701</f>
        <v>7.8400000000000039E-2</v>
      </c>
      <c r="M2701" s="28" t="str">
        <f t="shared" si="42"/>
        <v>5%-10%</v>
      </c>
      <c r="N2701" s="27" t="s">
        <v>77</v>
      </c>
      <c r="O2701" s="27" t="s">
        <v>46</v>
      </c>
      <c r="P2701" s="27" t="s">
        <v>17</v>
      </c>
      <c r="Q2701" s="27" t="s">
        <v>14</v>
      </c>
    </row>
    <row r="2702" spans="1:17" x14ac:dyDescent="0.3">
      <c r="A2702" s="22">
        <v>37</v>
      </c>
      <c r="B2702" s="19">
        <v>100</v>
      </c>
      <c r="C2702" s="20">
        <f>Sales!$B2702*Sales!$A2702</f>
        <v>3700</v>
      </c>
      <c r="D2702" s="21">
        <v>37988</v>
      </c>
      <c r="E2702" s="22" t="s">
        <v>9</v>
      </c>
      <c r="F2702" s="22">
        <v>1</v>
      </c>
      <c r="G2702" s="22">
        <v>1</v>
      </c>
      <c r="H2702" s="22">
        <v>2004</v>
      </c>
      <c r="I2702" s="22" t="s">
        <v>118</v>
      </c>
      <c r="J2702" s="20">
        <v>100</v>
      </c>
      <c r="K2702" s="20">
        <f>Sales!$B2702-Sales!$J2702</f>
        <v>0</v>
      </c>
      <c r="L2702" s="23">
        <f>(Sales!$J2702-Sales!$B2702)/Sales!$J2702</f>
        <v>0</v>
      </c>
      <c r="M2702" s="23" t="s">
        <v>130</v>
      </c>
      <c r="N2702" s="22" t="s">
        <v>54</v>
      </c>
      <c r="O2702" s="22" t="s">
        <v>16</v>
      </c>
      <c r="P2702" s="22" t="s">
        <v>17</v>
      </c>
      <c r="Q2702" s="22" t="s">
        <v>19</v>
      </c>
    </row>
    <row r="2703" spans="1:17" x14ac:dyDescent="0.3">
      <c r="A2703" s="27">
        <v>38</v>
      </c>
      <c r="B2703" s="24">
        <v>100</v>
      </c>
      <c r="C2703" s="25">
        <f>Sales!$B2703*Sales!$A2703</f>
        <v>3800</v>
      </c>
      <c r="D2703" s="26">
        <v>38036</v>
      </c>
      <c r="E2703" s="27" t="s">
        <v>9</v>
      </c>
      <c r="F2703" s="27">
        <v>1</v>
      </c>
      <c r="G2703" s="27">
        <v>2</v>
      </c>
      <c r="H2703" s="27">
        <v>2004</v>
      </c>
      <c r="I2703" s="27" t="s">
        <v>118</v>
      </c>
      <c r="J2703" s="25">
        <v>100</v>
      </c>
      <c r="K2703" s="25">
        <f>Sales!$B2703-Sales!$J2703</f>
        <v>0</v>
      </c>
      <c r="L2703" s="28">
        <f>(Sales!$J2703-Sales!$B2703)/Sales!$J2703</f>
        <v>0</v>
      </c>
      <c r="M2703" s="28" t="s">
        <v>130</v>
      </c>
      <c r="N2703" s="27" t="s">
        <v>79</v>
      </c>
      <c r="O2703" s="27" t="s">
        <v>12</v>
      </c>
      <c r="P2703" s="27" t="s">
        <v>13</v>
      </c>
      <c r="Q2703" s="27" t="s">
        <v>19</v>
      </c>
    </row>
    <row r="2704" spans="1:17" x14ac:dyDescent="0.3">
      <c r="A2704" s="22">
        <v>48</v>
      </c>
      <c r="B2704" s="19">
        <v>96.16</v>
      </c>
      <c r="C2704" s="20">
        <f>Sales!$B2704*Sales!$A2704</f>
        <v>4615.68</v>
      </c>
      <c r="D2704" s="21">
        <v>38066</v>
      </c>
      <c r="E2704" s="22" t="s">
        <v>9</v>
      </c>
      <c r="F2704" s="22">
        <v>1</v>
      </c>
      <c r="G2704" s="22">
        <v>3</v>
      </c>
      <c r="H2704" s="22">
        <v>2004</v>
      </c>
      <c r="I2704" s="22" t="s">
        <v>118</v>
      </c>
      <c r="J2704" s="20">
        <v>100</v>
      </c>
      <c r="K2704" s="20">
        <f>Sales!$B2704-Sales!$J2704</f>
        <v>-3.8400000000000034</v>
      </c>
      <c r="L2704" s="23">
        <f>(Sales!$J2704-Sales!$B2704)/Sales!$J2704</f>
        <v>3.8400000000000031E-2</v>
      </c>
      <c r="M2704" s="23" t="str">
        <f t="shared" si="42"/>
        <v>0%-5%</v>
      </c>
      <c r="N2704" s="22" t="s">
        <v>84</v>
      </c>
      <c r="O2704" s="22" t="s">
        <v>43</v>
      </c>
      <c r="P2704" s="22" t="s">
        <v>17</v>
      </c>
      <c r="Q2704" s="22" t="s">
        <v>19</v>
      </c>
    </row>
    <row r="2705" spans="1:17" x14ac:dyDescent="0.3">
      <c r="A2705" s="27">
        <v>30</v>
      </c>
      <c r="B2705" s="24">
        <v>100</v>
      </c>
      <c r="C2705" s="25">
        <f>Sales!$B2705*Sales!$A2705</f>
        <v>3000</v>
      </c>
      <c r="D2705" s="26">
        <v>38114</v>
      </c>
      <c r="E2705" s="27" t="s">
        <v>75</v>
      </c>
      <c r="F2705" s="27">
        <v>2</v>
      </c>
      <c r="G2705" s="27">
        <v>5</v>
      </c>
      <c r="H2705" s="27">
        <v>2004</v>
      </c>
      <c r="I2705" s="27" t="s">
        <v>118</v>
      </c>
      <c r="J2705" s="25">
        <v>100</v>
      </c>
      <c r="K2705" s="25">
        <f>Sales!$B2705-Sales!$J2705</f>
        <v>0</v>
      </c>
      <c r="L2705" s="28">
        <f>(Sales!$J2705-Sales!$B2705)/Sales!$J2705</f>
        <v>0</v>
      </c>
      <c r="M2705" s="28" t="s">
        <v>130</v>
      </c>
      <c r="N2705" s="27" t="s">
        <v>11</v>
      </c>
      <c r="O2705" s="27" t="s">
        <v>12</v>
      </c>
      <c r="P2705" s="27" t="s">
        <v>13</v>
      </c>
      <c r="Q2705" s="27" t="s">
        <v>19</v>
      </c>
    </row>
    <row r="2706" spans="1:17" x14ac:dyDescent="0.3">
      <c r="A2706" s="22">
        <v>25</v>
      </c>
      <c r="B2706" s="19">
        <v>88.15</v>
      </c>
      <c r="C2706" s="20">
        <f>Sales!$B2706*Sales!$A2706</f>
        <v>2203.75</v>
      </c>
      <c r="D2706" s="21">
        <v>38155</v>
      </c>
      <c r="E2706" s="22" t="s">
        <v>9</v>
      </c>
      <c r="F2706" s="22">
        <v>2</v>
      </c>
      <c r="G2706" s="22">
        <v>6</v>
      </c>
      <c r="H2706" s="22">
        <v>2004</v>
      </c>
      <c r="I2706" s="22" t="s">
        <v>118</v>
      </c>
      <c r="J2706" s="20">
        <v>100</v>
      </c>
      <c r="K2706" s="20">
        <f>Sales!$B2706-Sales!$J2706</f>
        <v>-11.849999999999994</v>
      </c>
      <c r="L2706" s="23">
        <f>(Sales!$J2706-Sales!$B2706)/Sales!$J2706</f>
        <v>0.11849999999999994</v>
      </c>
      <c r="M2706" s="23" t="str">
        <f t="shared" si="42"/>
        <v>10%-15%</v>
      </c>
      <c r="N2706" s="22" t="s">
        <v>68</v>
      </c>
      <c r="O2706" s="22" t="s">
        <v>56</v>
      </c>
      <c r="P2706" s="22" t="s">
        <v>13</v>
      </c>
      <c r="Q2706" s="22" t="s">
        <v>14</v>
      </c>
    </row>
    <row r="2707" spans="1:17" x14ac:dyDescent="0.3">
      <c r="A2707" s="27">
        <v>40</v>
      </c>
      <c r="B2707" s="24">
        <v>86.15</v>
      </c>
      <c r="C2707" s="25">
        <f>Sales!$B2707*Sales!$A2707</f>
        <v>3446</v>
      </c>
      <c r="D2707" s="26">
        <v>38189</v>
      </c>
      <c r="E2707" s="27" t="s">
        <v>9</v>
      </c>
      <c r="F2707" s="27">
        <v>3</v>
      </c>
      <c r="G2707" s="27">
        <v>7</v>
      </c>
      <c r="H2707" s="27">
        <v>2004</v>
      </c>
      <c r="I2707" s="27" t="s">
        <v>118</v>
      </c>
      <c r="J2707" s="25">
        <v>100</v>
      </c>
      <c r="K2707" s="25">
        <f>Sales!$B2707-Sales!$J2707</f>
        <v>-13.849999999999994</v>
      </c>
      <c r="L2707" s="28">
        <f>(Sales!$J2707-Sales!$B2707)/Sales!$J2707</f>
        <v>0.13849999999999996</v>
      </c>
      <c r="M2707" s="28" t="str">
        <f t="shared" si="42"/>
        <v>10%-15%</v>
      </c>
      <c r="N2707" s="27" t="s">
        <v>80</v>
      </c>
      <c r="O2707" s="27" t="s">
        <v>81</v>
      </c>
      <c r="P2707" s="27" t="s">
        <v>17</v>
      </c>
      <c r="Q2707" s="27" t="s">
        <v>19</v>
      </c>
    </row>
    <row r="2708" spans="1:17" x14ac:dyDescent="0.3">
      <c r="A2708" s="22">
        <v>22</v>
      </c>
      <c r="B2708" s="19">
        <v>88.15</v>
      </c>
      <c r="C2708" s="20">
        <f>Sales!$B2708*Sales!$A2708</f>
        <v>1939.3000000000002</v>
      </c>
      <c r="D2708" s="21">
        <v>38219</v>
      </c>
      <c r="E2708" s="22" t="s">
        <v>9</v>
      </c>
      <c r="F2708" s="22">
        <v>3</v>
      </c>
      <c r="G2708" s="22">
        <v>8</v>
      </c>
      <c r="H2708" s="22">
        <v>2004</v>
      </c>
      <c r="I2708" s="22" t="s">
        <v>118</v>
      </c>
      <c r="J2708" s="20">
        <v>100</v>
      </c>
      <c r="K2708" s="20">
        <f>Sales!$B2708-Sales!$J2708</f>
        <v>-11.849999999999994</v>
      </c>
      <c r="L2708" s="23">
        <f>(Sales!$J2708-Sales!$B2708)/Sales!$J2708</f>
        <v>0.11849999999999994</v>
      </c>
      <c r="M2708" s="23" t="str">
        <f t="shared" si="42"/>
        <v>10%-15%</v>
      </c>
      <c r="N2708" s="22" t="s">
        <v>82</v>
      </c>
      <c r="O2708" s="22" t="s">
        <v>56</v>
      </c>
      <c r="P2708" s="22" t="s">
        <v>13</v>
      </c>
      <c r="Q2708" s="22" t="s">
        <v>14</v>
      </c>
    </row>
    <row r="2709" spans="1:17" x14ac:dyDescent="0.3">
      <c r="A2709" s="27">
        <v>34</v>
      </c>
      <c r="B2709" s="24">
        <v>100</v>
      </c>
      <c r="C2709" s="25">
        <f>Sales!$B2709*Sales!$A2709</f>
        <v>3400</v>
      </c>
      <c r="D2709" s="26">
        <v>38240</v>
      </c>
      <c r="E2709" s="27" t="s">
        <v>9</v>
      </c>
      <c r="F2709" s="27">
        <v>3</v>
      </c>
      <c r="G2709" s="27">
        <v>9</v>
      </c>
      <c r="H2709" s="27">
        <v>2004</v>
      </c>
      <c r="I2709" s="27" t="s">
        <v>118</v>
      </c>
      <c r="J2709" s="25">
        <v>100</v>
      </c>
      <c r="K2709" s="25">
        <f>Sales!$B2709-Sales!$J2709</f>
        <v>0</v>
      </c>
      <c r="L2709" s="28">
        <f>(Sales!$J2709-Sales!$B2709)/Sales!$J2709</f>
        <v>0</v>
      </c>
      <c r="M2709" s="28" t="s">
        <v>130</v>
      </c>
      <c r="N2709" s="27" t="s">
        <v>83</v>
      </c>
      <c r="O2709" s="27" t="s">
        <v>12</v>
      </c>
      <c r="P2709" s="27" t="s">
        <v>13</v>
      </c>
      <c r="Q2709" s="27" t="s">
        <v>19</v>
      </c>
    </row>
    <row r="2710" spans="1:17" x14ac:dyDescent="0.3">
      <c r="A2710" s="22">
        <v>32</v>
      </c>
      <c r="B2710" s="19">
        <v>90.15</v>
      </c>
      <c r="C2710" s="20">
        <f>Sales!$B2710*Sales!$A2710</f>
        <v>2884.8</v>
      </c>
      <c r="D2710" s="21">
        <v>38274</v>
      </c>
      <c r="E2710" s="22" t="s">
        <v>9</v>
      </c>
      <c r="F2710" s="22">
        <v>4</v>
      </c>
      <c r="G2710" s="22">
        <v>10</v>
      </c>
      <c r="H2710" s="22">
        <v>2004</v>
      </c>
      <c r="I2710" s="22" t="s">
        <v>118</v>
      </c>
      <c r="J2710" s="20">
        <v>100</v>
      </c>
      <c r="K2710" s="20">
        <f>Sales!$B2710-Sales!$J2710</f>
        <v>-9.8499999999999943</v>
      </c>
      <c r="L2710" s="23">
        <f>(Sales!$J2710-Sales!$B2710)/Sales!$J2710</f>
        <v>9.8499999999999949E-2</v>
      </c>
      <c r="M2710" s="23" t="str">
        <f t="shared" si="42"/>
        <v>5%-10%</v>
      </c>
      <c r="N2710" s="22" t="s">
        <v>102</v>
      </c>
      <c r="O2710" s="22" t="s">
        <v>43</v>
      </c>
      <c r="P2710" s="22" t="s">
        <v>17</v>
      </c>
      <c r="Q2710" s="22" t="s">
        <v>14</v>
      </c>
    </row>
    <row r="2711" spans="1:17" x14ac:dyDescent="0.3">
      <c r="A2711" s="27">
        <v>31</v>
      </c>
      <c r="B2711" s="24">
        <v>86.15</v>
      </c>
      <c r="C2711" s="25">
        <f>Sales!$B2711*Sales!$A2711</f>
        <v>2670.65</v>
      </c>
      <c r="D2711" s="26">
        <v>38289</v>
      </c>
      <c r="E2711" s="27" t="s">
        <v>9</v>
      </c>
      <c r="F2711" s="27">
        <v>4</v>
      </c>
      <c r="G2711" s="27">
        <v>10</v>
      </c>
      <c r="H2711" s="27">
        <v>2004</v>
      </c>
      <c r="I2711" s="27" t="s">
        <v>118</v>
      </c>
      <c r="J2711" s="25">
        <v>100</v>
      </c>
      <c r="K2711" s="25">
        <f>Sales!$B2711-Sales!$J2711</f>
        <v>-13.849999999999994</v>
      </c>
      <c r="L2711" s="28">
        <f>(Sales!$J2711-Sales!$B2711)/Sales!$J2711</f>
        <v>0.13849999999999996</v>
      </c>
      <c r="M2711" s="28" t="str">
        <f t="shared" si="42"/>
        <v>10%-15%</v>
      </c>
      <c r="N2711" s="27" t="s">
        <v>31</v>
      </c>
      <c r="O2711" s="27" t="s">
        <v>16</v>
      </c>
      <c r="P2711" s="27" t="s">
        <v>17</v>
      </c>
      <c r="Q2711" s="27" t="s">
        <v>14</v>
      </c>
    </row>
    <row r="2712" spans="1:17" x14ac:dyDescent="0.3">
      <c r="A2712" s="22">
        <v>43</v>
      </c>
      <c r="B2712" s="19">
        <v>80</v>
      </c>
      <c r="C2712" s="20">
        <f>Sales!$B2712*Sales!$A2712</f>
        <v>3440</v>
      </c>
      <c r="D2712" s="21">
        <v>38301</v>
      </c>
      <c r="E2712" s="22" t="s">
        <v>88</v>
      </c>
      <c r="F2712" s="22">
        <v>4</v>
      </c>
      <c r="G2712" s="22">
        <v>11</v>
      </c>
      <c r="H2712" s="22">
        <v>2004</v>
      </c>
      <c r="I2712" s="22" t="s">
        <v>118</v>
      </c>
      <c r="J2712" s="20">
        <v>100</v>
      </c>
      <c r="K2712" s="20">
        <f>Sales!$B2712-Sales!$J2712</f>
        <v>-20</v>
      </c>
      <c r="L2712" s="23">
        <f>(Sales!$J2712-Sales!$B2712)/Sales!$J2712</f>
        <v>0.2</v>
      </c>
      <c r="M2712" s="23" t="str">
        <f t="shared" si="42"/>
        <v>15%-20%</v>
      </c>
      <c r="N2712" s="22" t="s">
        <v>72</v>
      </c>
      <c r="O2712" s="22" t="s">
        <v>73</v>
      </c>
      <c r="P2712" s="22" t="s">
        <v>17</v>
      </c>
      <c r="Q2712" s="22" t="s">
        <v>19</v>
      </c>
    </row>
    <row r="2713" spans="1:17" x14ac:dyDescent="0.3">
      <c r="A2713" s="27">
        <v>31</v>
      </c>
      <c r="B2713" s="24">
        <v>89.38</v>
      </c>
      <c r="C2713" s="25">
        <f>Sales!$B2713*Sales!$A2713</f>
        <v>2770.7799999999997</v>
      </c>
      <c r="D2713" s="26">
        <v>38312</v>
      </c>
      <c r="E2713" s="27" t="s">
        <v>9</v>
      </c>
      <c r="F2713" s="27">
        <v>4</v>
      </c>
      <c r="G2713" s="27">
        <v>11</v>
      </c>
      <c r="H2713" s="27">
        <v>2004</v>
      </c>
      <c r="I2713" s="27" t="s">
        <v>118</v>
      </c>
      <c r="J2713" s="25">
        <v>100</v>
      </c>
      <c r="K2713" s="25">
        <f>Sales!$B2713-Sales!$J2713</f>
        <v>-10.620000000000005</v>
      </c>
      <c r="L2713" s="28">
        <f>(Sales!$J2713-Sales!$B2713)/Sales!$J2713</f>
        <v>0.10620000000000004</v>
      </c>
      <c r="M2713" s="28" t="str">
        <f t="shared" si="42"/>
        <v>10%-15%</v>
      </c>
      <c r="N2713" s="27" t="s">
        <v>11</v>
      </c>
      <c r="O2713" s="27" t="s">
        <v>12</v>
      </c>
      <c r="P2713" s="27" t="s">
        <v>13</v>
      </c>
      <c r="Q2713" s="27" t="s">
        <v>14</v>
      </c>
    </row>
    <row r="2714" spans="1:17" x14ac:dyDescent="0.3">
      <c r="A2714" s="22">
        <v>31</v>
      </c>
      <c r="B2714" s="19">
        <v>77.34</v>
      </c>
      <c r="C2714" s="20">
        <f>Sales!$B2714*Sales!$A2714</f>
        <v>2397.54</v>
      </c>
      <c r="D2714" s="21">
        <v>38323</v>
      </c>
      <c r="E2714" s="22" t="s">
        <v>9</v>
      </c>
      <c r="F2714" s="22">
        <v>4</v>
      </c>
      <c r="G2714" s="22">
        <v>12</v>
      </c>
      <c r="H2714" s="22">
        <v>2004</v>
      </c>
      <c r="I2714" s="22" t="s">
        <v>118</v>
      </c>
      <c r="J2714" s="20">
        <v>100</v>
      </c>
      <c r="K2714" s="20">
        <f>Sales!$B2714-Sales!$J2714</f>
        <v>-22.659999999999997</v>
      </c>
      <c r="L2714" s="23">
        <f>(Sales!$J2714-Sales!$B2714)/Sales!$J2714</f>
        <v>0.22659999999999997</v>
      </c>
      <c r="M2714" s="23" t="str">
        <f t="shared" si="42"/>
        <v>+20%</v>
      </c>
      <c r="N2714" s="22" t="s">
        <v>45</v>
      </c>
      <c r="O2714" s="22" t="s">
        <v>46</v>
      </c>
      <c r="P2714" s="22" t="s">
        <v>17</v>
      </c>
      <c r="Q2714" s="22" t="s">
        <v>14</v>
      </c>
    </row>
    <row r="2715" spans="1:17" x14ac:dyDescent="0.3">
      <c r="A2715" s="27">
        <v>34</v>
      </c>
      <c r="B2715" s="24">
        <v>96.34</v>
      </c>
      <c r="C2715" s="25">
        <f>Sales!$B2715*Sales!$A2715</f>
        <v>3275.56</v>
      </c>
      <c r="D2715" s="26">
        <v>38383</v>
      </c>
      <c r="E2715" s="27" t="s">
        <v>9</v>
      </c>
      <c r="F2715" s="27">
        <v>1</v>
      </c>
      <c r="G2715" s="27">
        <v>1</v>
      </c>
      <c r="H2715" s="27">
        <v>2005</v>
      </c>
      <c r="I2715" s="27" t="s">
        <v>118</v>
      </c>
      <c r="J2715" s="25">
        <v>100</v>
      </c>
      <c r="K2715" s="25">
        <f>Sales!$B2715-Sales!$J2715</f>
        <v>-3.6599999999999966</v>
      </c>
      <c r="L2715" s="28">
        <f>(Sales!$J2715-Sales!$B2715)/Sales!$J2715</f>
        <v>3.6599999999999966E-2</v>
      </c>
      <c r="M2715" s="28" t="str">
        <f t="shared" si="42"/>
        <v>0%-5%</v>
      </c>
      <c r="N2715" s="27" t="s">
        <v>85</v>
      </c>
      <c r="O2715" s="27" t="s">
        <v>34</v>
      </c>
      <c r="P2715" s="27" t="s">
        <v>17</v>
      </c>
      <c r="Q2715" s="27" t="s">
        <v>19</v>
      </c>
    </row>
    <row r="2716" spans="1:17" x14ac:dyDescent="0.3">
      <c r="A2716" s="22">
        <v>45</v>
      </c>
      <c r="B2716" s="19">
        <v>92.08</v>
      </c>
      <c r="C2716" s="20">
        <f>Sales!$B2716*Sales!$A2716</f>
        <v>4143.6000000000004</v>
      </c>
      <c r="D2716" s="21">
        <v>38412</v>
      </c>
      <c r="E2716" s="22" t="s">
        <v>88</v>
      </c>
      <c r="F2716" s="22">
        <v>1</v>
      </c>
      <c r="G2716" s="22">
        <v>3</v>
      </c>
      <c r="H2716" s="22">
        <v>2005</v>
      </c>
      <c r="I2716" s="22" t="s">
        <v>118</v>
      </c>
      <c r="J2716" s="20">
        <v>100</v>
      </c>
      <c r="K2716" s="20">
        <f>Sales!$B2716-Sales!$J2716</f>
        <v>-7.9200000000000017</v>
      </c>
      <c r="L2716" s="23">
        <f>(Sales!$J2716-Sales!$B2716)/Sales!$J2716</f>
        <v>7.920000000000002E-2</v>
      </c>
      <c r="M2716" s="23" t="str">
        <f t="shared" si="42"/>
        <v>5%-10%</v>
      </c>
      <c r="N2716" s="22" t="s">
        <v>45</v>
      </c>
      <c r="O2716" s="22" t="s">
        <v>46</v>
      </c>
      <c r="P2716" s="22" t="s">
        <v>17</v>
      </c>
      <c r="Q2716" s="22" t="s">
        <v>19</v>
      </c>
    </row>
    <row r="2717" spans="1:17" x14ac:dyDescent="0.3">
      <c r="A2717" s="27">
        <v>48</v>
      </c>
      <c r="B2717" s="24">
        <v>100</v>
      </c>
      <c r="C2717" s="25">
        <f>Sales!$B2717*Sales!$A2717</f>
        <v>4800</v>
      </c>
      <c r="D2717" s="26">
        <v>38439</v>
      </c>
      <c r="E2717" s="27" t="s">
        <v>9</v>
      </c>
      <c r="F2717" s="27">
        <v>1</v>
      </c>
      <c r="G2717" s="27">
        <v>3</v>
      </c>
      <c r="H2717" s="27">
        <v>2005</v>
      </c>
      <c r="I2717" s="27" t="s">
        <v>118</v>
      </c>
      <c r="J2717" s="25">
        <v>100</v>
      </c>
      <c r="K2717" s="25">
        <f>Sales!$B2717-Sales!$J2717</f>
        <v>0</v>
      </c>
      <c r="L2717" s="28">
        <f>(Sales!$J2717-Sales!$B2717)/Sales!$J2717</f>
        <v>0</v>
      </c>
      <c r="M2717" s="28" t="s">
        <v>130</v>
      </c>
      <c r="N2717" s="27" t="s">
        <v>76</v>
      </c>
      <c r="O2717" s="27" t="s">
        <v>16</v>
      </c>
      <c r="P2717" s="27" t="s">
        <v>17</v>
      </c>
      <c r="Q2717" s="27" t="s">
        <v>19</v>
      </c>
    </row>
    <row r="2718" spans="1:17" x14ac:dyDescent="0.3">
      <c r="A2718" s="22">
        <v>28</v>
      </c>
      <c r="B2718" s="19">
        <v>100</v>
      </c>
      <c r="C2718" s="20">
        <f>Sales!$B2718*Sales!$A2718</f>
        <v>2800</v>
      </c>
      <c r="D2718" s="21">
        <v>38478</v>
      </c>
      <c r="E2718" s="22" t="s">
        <v>87</v>
      </c>
      <c r="F2718" s="22">
        <v>2</v>
      </c>
      <c r="G2718" s="22">
        <v>5</v>
      </c>
      <c r="H2718" s="22">
        <v>2005</v>
      </c>
      <c r="I2718" s="22" t="s">
        <v>118</v>
      </c>
      <c r="J2718" s="20">
        <v>100</v>
      </c>
      <c r="K2718" s="20">
        <f>Sales!$B2718-Sales!$J2718</f>
        <v>0</v>
      </c>
      <c r="L2718" s="23">
        <f>(Sales!$J2718-Sales!$B2718)/Sales!$J2718</f>
        <v>0</v>
      </c>
      <c r="M2718" s="23" t="s">
        <v>130</v>
      </c>
      <c r="N2718" s="22" t="s">
        <v>83</v>
      </c>
      <c r="O2718" s="22" t="s">
        <v>12</v>
      </c>
      <c r="P2718" s="22" t="s">
        <v>13</v>
      </c>
      <c r="Q2718" s="22" t="s">
        <v>19</v>
      </c>
    </row>
    <row r="2719" spans="1:17" x14ac:dyDescent="0.3">
      <c r="A2719" s="27">
        <v>22</v>
      </c>
      <c r="B2719" s="24">
        <v>100</v>
      </c>
      <c r="C2719" s="25">
        <f>Sales!$B2719*Sales!$A2719</f>
        <v>2200</v>
      </c>
      <c r="D2719" s="26">
        <v>37663</v>
      </c>
      <c r="E2719" s="27" t="s">
        <v>9</v>
      </c>
      <c r="F2719" s="27">
        <v>1</v>
      </c>
      <c r="G2719" s="27">
        <v>2</v>
      </c>
      <c r="H2719" s="27">
        <v>2003</v>
      </c>
      <c r="I2719" s="27" t="s">
        <v>118</v>
      </c>
      <c r="J2719" s="25">
        <v>99</v>
      </c>
      <c r="K2719" s="25">
        <f>Sales!$B2719-Sales!$J2719</f>
        <v>1</v>
      </c>
      <c r="L2719" s="28">
        <f>(Sales!$J2719-Sales!$B2719)/Sales!$J2719</f>
        <v>-1.0101010101010102E-2</v>
      </c>
      <c r="M2719" s="28" t="str">
        <f t="shared" si="42"/>
        <v>Below 0%</v>
      </c>
      <c r="N2719" s="27" t="s">
        <v>72</v>
      </c>
      <c r="O2719" s="27" t="s">
        <v>73</v>
      </c>
      <c r="P2719" s="27" t="s">
        <v>17</v>
      </c>
      <c r="Q2719" s="27" t="s">
        <v>14</v>
      </c>
    </row>
    <row r="2720" spans="1:17" x14ac:dyDescent="0.3">
      <c r="A2720" s="22">
        <v>45</v>
      </c>
      <c r="B2720" s="19">
        <v>83.42</v>
      </c>
      <c r="C2720" s="20">
        <f>Sales!$B2720*Sales!$A2720</f>
        <v>3753.9</v>
      </c>
      <c r="D2720" s="21">
        <v>37727</v>
      </c>
      <c r="E2720" s="22" t="s">
        <v>9</v>
      </c>
      <c r="F2720" s="22">
        <v>2</v>
      </c>
      <c r="G2720" s="22">
        <v>4</v>
      </c>
      <c r="H2720" s="22">
        <v>2003</v>
      </c>
      <c r="I2720" s="22" t="s">
        <v>118</v>
      </c>
      <c r="J2720" s="20">
        <v>99</v>
      </c>
      <c r="K2720" s="20">
        <f>Sales!$B2720-Sales!$J2720</f>
        <v>-15.579999999999998</v>
      </c>
      <c r="L2720" s="23">
        <f>(Sales!$J2720-Sales!$B2720)/Sales!$J2720</f>
        <v>0.15737373737373736</v>
      </c>
      <c r="M2720" s="23" t="str">
        <f t="shared" si="42"/>
        <v>15%-20%</v>
      </c>
      <c r="N2720" s="22" t="s">
        <v>50</v>
      </c>
      <c r="O2720" s="22" t="s">
        <v>50</v>
      </c>
      <c r="P2720" s="22" t="s">
        <v>28</v>
      </c>
      <c r="Q2720" s="22" t="s">
        <v>19</v>
      </c>
    </row>
    <row r="2721" spans="1:17" x14ac:dyDescent="0.3">
      <c r="A2721" s="27">
        <v>30</v>
      </c>
      <c r="B2721" s="24">
        <v>85.41</v>
      </c>
      <c r="C2721" s="25">
        <f>Sales!$B2721*Sales!$A2721</f>
        <v>2562.2999999999997</v>
      </c>
      <c r="D2721" s="26">
        <v>37784</v>
      </c>
      <c r="E2721" s="27" t="s">
        <v>9</v>
      </c>
      <c r="F2721" s="27">
        <v>2</v>
      </c>
      <c r="G2721" s="27">
        <v>6</v>
      </c>
      <c r="H2721" s="27">
        <v>2003</v>
      </c>
      <c r="I2721" s="27" t="s">
        <v>118</v>
      </c>
      <c r="J2721" s="25">
        <v>99</v>
      </c>
      <c r="K2721" s="25">
        <f>Sales!$B2721-Sales!$J2721</f>
        <v>-13.590000000000003</v>
      </c>
      <c r="L2721" s="28">
        <f>(Sales!$J2721-Sales!$B2721)/Sales!$J2721</f>
        <v>0.1372727272727273</v>
      </c>
      <c r="M2721" s="28" t="str">
        <f t="shared" si="42"/>
        <v>10%-15%</v>
      </c>
      <c r="N2721" s="27" t="s">
        <v>74</v>
      </c>
      <c r="O2721" s="27" t="s">
        <v>43</v>
      </c>
      <c r="P2721" s="27" t="s">
        <v>17</v>
      </c>
      <c r="Q2721" s="27" t="s">
        <v>14</v>
      </c>
    </row>
    <row r="2722" spans="1:17" x14ac:dyDescent="0.3">
      <c r="A2722" s="22">
        <v>38</v>
      </c>
      <c r="B2722" s="19">
        <v>85.41</v>
      </c>
      <c r="C2722" s="20">
        <f>Sales!$B2722*Sales!$A2722</f>
        <v>3245.58</v>
      </c>
      <c r="D2722" s="21">
        <v>37841</v>
      </c>
      <c r="E2722" s="22" t="s">
        <v>9</v>
      </c>
      <c r="F2722" s="22">
        <v>3</v>
      </c>
      <c r="G2722" s="22">
        <v>8</v>
      </c>
      <c r="H2722" s="22">
        <v>2003</v>
      </c>
      <c r="I2722" s="22" t="s">
        <v>118</v>
      </c>
      <c r="J2722" s="20">
        <v>99</v>
      </c>
      <c r="K2722" s="20">
        <f>Sales!$B2722-Sales!$J2722</f>
        <v>-13.590000000000003</v>
      </c>
      <c r="L2722" s="23">
        <f>(Sales!$J2722-Sales!$B2722)/Sales!$J2722</f>
        <v>0.1372727272727273</v>
      </c>
      <c r="M2722" s="23" t="str">
        <f t="shared" si="42"/>
        <v>10%-15%</v>
      </c>
      <c r="N2722" s="22" t="s">
        <v>64</v>
      </c>
      <c r="O2722" s="22" t="s">
        <v>12</v>
      </c>
      <c r="P2722" s="22" t="s">
        <v>13</v>
      </c>
      <c r="Q2722" s="22" t="s">
        <v>19</v>
      </c>
    </row>
    <row r="2723" spans="1:17" x14ac:dyDescent="0.3">
      <c r="A2723" s="27">
        <v>20</v>
      </c>
      <c r="B2723" s="24">
        <v>100</v>
      </c>
      <c r="C2723" s="25">
        <f>Sales!$B2723*Sales!$A2723</f>
        <v>2000</v>
      </c>
      <c r="D2723" s="26">
        <v>37892</v>
      </c>
      <c r="E2723" s="27" t="s">
        <v>9</v>
      </c>
      <c r="F2723" s="27">
        <v>3</v>
      </c>
      <c r="G2723" s="27">
        <v>9</v>
      </c>
      <c r="H2723" s="27">
        <v>2003</v>
      </c>
      <c r="I2723" s="27" t="s">
        <v>118</v>
      </c>
      <c r="J2723" s="25">
        <v>99</v>
      </c>
      <c r="K2723" s="25">
        <f>Sales!$B2723-Sales!$J2723</f>
        <v>1</v>
      </c>
      <c r="L2723" s="28">
        <f>(Sales!$J2723-Sales!$B2723)/Sales!$J2723</f>
        <v>-1.0101010101010102E-2</v>
      </c>
      <c r="M2723" s="28" t="str">
        <f t="shared" si="42"/>
        <v>Below 0%</v>
      </c>
      <c r="N2723" s="27" t="s">
        <v>45</v>
      </c>
      <c r="O2723" s="27" t="s">
        <v>46</v>
      </c>
      <c r="P2723" s="27" t="s">
        <v>17</v>
      </c>
      <c r="Q2723" s="27" t="s">
        <v>14</v>
      </c>
    </row>
    <row r="2724" spans="1:17" x14ac:dyDescent="0.3">
      <c r="A2724" s="22">
        <v>28</v>
      </c>
      <c r="B2724" s="19">
        <v>100</v>
      </c>
      <c r="C2724" s="20">
        <f>Sales!$B2724*Sales!$A2724</f>
        <v>2800</v>
      </c>
      <c r="D2724" s="21">
        <v>37917</v>
      </c>
      <c r="E2724" s="22" t="s">
        <v>75</v>
      </c>
      <c r="F2724" s="22">
        <v>4</v>
      </c>
      <c r="G2724" s="22">
        <v>10</v>
      </c>
      <c r="H2724" s="22">
        <v>2003</v>
      </c>
      <c r="I2724" s="22" t="s">
        <v>118</v>
      </c>
      <c r="J2724" s="20">
        <v>99</v>
      </c>
      <c r="K2724" s="20">
        <f>Sales!$B2724-Sales!$J2724</f>
        <v>1</v>
      </c>
      <c r="L2724" s="23">
        <f>(Sales!$J2724-Sales!$B2724)/Sales!$J2724</f>
        <v>-1.0101010101010102E-2</v>
      </c>
      <c r="M2724" s="23" t="str">
        <f t="shared" si="42"/>
        <v>Below 0%</v>
      </c>
      <c r="N2724" s="22" t="s">
        <v>62</v>
      </c>
      <c r="O2724" s="22" t="s">
        <v>49</v>
      </c>
      <c r="P2724" s="22" t="s">
        <v>17</v>
      </c>
      <c r="Q2724" s="22" t="s">
        <v>19</v>
      </c>
    </row>
    <row r="2725" spans="1:17" x14ac:dyDescent="0.3">
      <c r="A2725" s="27">
        <v>24</v>
      </c>
      <c r="B2725" s="24">
        <v>100</v>
      </c>
      <c r="C2725" s="25">
        <f>Sales!$B2725*Sales!$A2725</f>
        <v>2400</v>
      </c>
      <c r="D2725" s="26">
        <v>37932</v>
      </c>
      <c r="E2725" s="27" t="s">
        <v>9</v>
      </c>
      <c r="F2725" s="27">
        <v>4</v>
      </c>
      <c r="G2725" s="27">
        <v>11</v>
      </c>
      <c r="H2725" s="27">
        <v>2003</v>
      </c>
      <c r="I2725" s="27" t="s">
        <v>118</v>
      </c>
      <c r="J2725" s="25">
        <v>99</v>
      </c>
      <c r="K2725" s="25">
        <f>Sales!$B2725-Sales!$J2725</f>
        <v>1</v>
      </c>
      <c r="L2725" s="28">
        <f>(Sales!$J2725-Sales!$B2725)/Sales!$J2725</f>
        <v>-1.0101010101010102E-2</v>
      </c>
      <c r="M2725" s="28" t="str">
        <f t="shared" si="42"/>
        <v>Below 0%</v>
      </c>
      <c r="N2725" s="27" t="s">
        <v>45</v>
      </c>
      <c r="O2725" s="27" t="s">
        <v>46</v>
      </c>
      <c r="P2725" s="27" t="s">
        <v>17</v>
      </c>
      <c r="Q2725" s="27" t="s">
        <v>14</v>
      </c>
    </row>
    <row r="2726" spans="1:17" x14ac:dyDescent="0.3">
      <c r="A2726" s="22">
        <v>22</v>
      </c>
      <c r="B2726" s="19">
        <v>79.45</v>
      </c>
      <c r="C2726" s="20">
        <f>Sales!$B2726*Sales!$A2726</f>
        <v>1747.9</v>
      </c>
      <c r="D2726" s="21">
        <v>37939</v>
      </c>
      <c r="E2726" s="22" t="s">
        <v>9</v>
      </c>
      <c r="F2726" s="22">
        <v>4</v>
      </c>
      <c r="G2726" s="22">
        <v>11</v>
      </c>
      <c r="H2726" s="22">
        <v>2003</v>
      </c>
      <c r="I2726" s="22" t="s">
        <v>118</v>
      </c>
      <c r="J2726" s="20">
        <v>99</v>
      </c>
      <c r="K2726" s="20">
        <f>Sales!$B2726-Sales!$J2726</f>
        <v>-19.549999999999997</v>
      </c>
      <c r="L2726" s="23">
        <f>(Sales!$J2726-Sales!$B2726)/Sales!$J2726</f>
        <v>0.19747474747474744</v>
      </c>
      <c r="M2726" s="23" t="str">
        <f t="shared" si="42"/>
        <v>15%-20%</v>
      </c>
      <c r="N2726" s="22" t="s">
        <v>41</v>
      </c>
      <c r="O2726" s="22" t="s">
        <v>12</v>
      </c>
      <c r="P2726" s="22" t="s">
        <v>13</v>
      </c>
      <c r="Q2726" s="22" t="s">
        <v>14</v>
      </c>
    </row>
    <row r="2727" spans="1:17" x14ac:dyDescent="0.3">
      <c r="A2727" s="27">
        <v>35</v>
      </c>
      <c r="B2727" s="24">
        <v>93.35</v>
      </c>
      <c r="C2727" s="25">
        <f>Sales!$B2727*Sales!$A2727</f>
        <v>3267.25</v>
      </c>
      <c r="D2727" s="26">
        <v>37951</v>
      </c>
      <c r="E2727" s="27" t="s">
        <v>9</v>
      </c>
      <c r="F2727" s="27">
        <v>4</v>
      </c>
      <c r="G2727" s="27">
        <v>11</v>
      </c>
      <c r="H2727" s="27">
        <v>2003</v>
      </c>
      <c r="I2727" s="27" t="s">
        <v>118</v>
      </c>
      <c r="J2727" s="25">
        <v>99</v>
      </c>
      <c r="K2727" s="25">
        <f>Sales!$B2727-Sales!$J2727</f>
        <v>-5.6500000000000057</v>
      </c>
      <c r="L2727" s="28">
        <f>(Sales!$J2727-Sales!$B2727)/Sales!$J2727</f>
        <v>5.7070707070707126E-2</v>
      </c>
      <c r="M2727" s="28" t="str">
        <f t="shared" si="42"/>
        <v>5%-10%</v>
      </c>
      <c r="N2727" s="27" t="s">
        <v>77</v>
      </c>
      <c r="O2727" s="27" t="s">
        <v>46</v>
      </c>
      <c r="P2727" s="27" t="s">
        <v>17</v>
      </c>
      <c r="Q2727" s="27" t="s">
        <v>19</v>
      </c>
    </row>
    <row r="2728" spans="1:17" x14ac:dyDescent="0.3">
      <c r="A2728" s="22">
        <v>33</v>
      </c>
      <c r="B2728" s="19">
        <v>85.41</v>
      </c>
      <c r="C2728" s="20">
        <f>Sales!$B2728*Sales!$A2728</f>
        <v>2818.5299999999997</v>
      </c>
      <c r="D2728" s="21">
        <v>37988</v>
      </c>
      <c r="E2728" s="22" t="s">
        <v>9</v>
      </c>
      <c r="F2728" s="22">
        <v>1</v>
      </c>
      <c r="G2728" s="22">
        <v>1</v>
      </c>
      <c r="H2728" s="22">
        <v>2004</v>
      </c>
      <c r="I2728" s="22" t="s">
        <v>118</v>
      </c>
      <c r="J2728" s="20">
        <v>99</v>
      </c>
      <c r="K2728" s="20">
        <f>Sales!$B2728-Sales!$J2728</f>
        <v>-13.590000000000003</v>
      </c>
      <c r="L2728" s="23">
        <f>(Sales!$J2728-Sales!$B2728)/Sales!$J2728</f>
        <v>0.1372727272727273</v>
      </c>
      <c r="M2728" s="23" t="str">
        <f t="shared" si="42"/>
        <v>10%-15%</v>
      </c>
      <c r="N2728" s="22" t="s">
        <v>54</v>
      </c>
      <c r="O2728" s="22" t="s">
        <v>16</v>
      </c>
      <c r="P2728" s="22" t="s">
        <v>17</v>
      </c>
      <c r="Q2728" s="22" t="s">
        <v>14</v>
      </c>
    </row>
    <row r="2729" spans="1:17" x14ac:dyDescent="0.3">
      <c r="A2729" s="27">
        <v>31</v>
      </c>
      <c r="B2729" s="24">
        <v>95.34</v>
      </c>
      <c r="C2729" s="25">
        <f>Sales!$B2729*Sales!$A2729</f>
        <v>2955.54</v>
      </c>
      <c r="D2729" s="26">
        <v>38036</v>
      </c>
      <c r="E2729" s="27" t="s">
        <v>9</v>
      </c>
      <c r="F2729" s="27">
        <v>1</v>
      </c>
      <c r="G2729" s="27">
        <v>2</v>
      </c>
      <c r="H2729" s="27">
        <v>2004</v>
      </c>
      <c r="I2729" s="27" t="s">
        <v>118</v>
      </c>
      <c r="J2729" s="25">
        <v>99</v>
      </c>
      <c r="K2729" s="25">
        <f>Sales!$B2729-Sales!$J2729</f>
        <v>-3.6599999999999966</v>
      </c>
      <c r="L2729" s="28">
        <f>(Sales!$J2729-Sales!$B2729)/Sales!$J2729</f>
        <v>3.6969696969696937E-2</v>
      </c>
      <c r="M2729" s="28" t="str">
        <f t="shared" si="42"/>
        <v>0%-5%</v>
      </c>
      <c r="N2729" s="27" t="s">
        <v>79</v>
      </c>
      <c r="O2729" s="27" t="s">
        <v>12</v>
      </c>
      <c r="P2729" s="27" t="s">
        <v>13</v>
      </c>
      <c r="Q2729" s="27" t="s">
        <v>14</v>
      </c>
    </row>
    <row r="2730" spans="1:17" x14ac:dyDescent="0.3">
      <c r="A2730" s="22">
        <v>35</v>
      </c>
      <c r="B2730" s="19">
        <v>82.43</v>
      </c>
      <c r="C2730" s="20">
        <f>Sales!$B2730*Sales!$A2730</f>
        <v>2885.05</v>
      </c>
      <c r="D2730" s="21">
        <v>38066</v>
      </c>
      <c r="E2730" s="22" t="s">
        <v>9</v>
      </c>
      <c r="F2730" s="22">
        <v>1</v>
      </c>
      <c r="G2730" s="22">
        <v>3</v>
      </c>
      <c r="H2730" s="22">
        <v>2004</v>
      </c>
      <c r="I2730" s="22" t="s">
        <v>118</v>
      </c>
      <c r="J2730" s="20">
        <v>99</v>
      </c>
      <c r="K2730" s="20">
        <f>Sales!$B2730-Sales!$J2730</f>
        <v>-16.569999999999993</v>
      </c>
      <c r="L2730" s="23">
        <f>(Sales!$J2730-Sales!$B2730)/Sales!$J2730</f>
        <v>0.16737373737373731</v>
      </c>
      <c r="M2730" s="23" t="str">
        <f t="shared" si="42"/>
        <v>15%-20%</v>
      </c>
      <c r="N2730" s="22" t="s">
        <v>84</v>
      </c>
      <c r="O2730" s="22" t="s">
        <v>43</v>
      </c>
      <c r="P2730" s="22" t="s">
        <v>17</v>
      </c>
      <c r="Q2730" s="22" t="s">
        <v>14</v>
      </c>
    </row>
    <row r="2731" spans="1:17" x14ac:dyDescent="0.3">
      <c r="A2731" s="27">
        <v>35</v>
      </c>
      <c r="B2731" s="24">
        <v>90.37</v>
      </c>
      <c r="C2731" s="25">
        <f>Sales!$B2731*Sales!$A2731</f>
        <v>3162.9500000000003</v>
      </c>
      <c r="D2731" s="26">
        <v>38114</v>
      </c>
      <c r="E2731" s="27" t="s">
        <v>75</v>
      </c>
      <c r="F2731" s="27">
        <v>2</v>
      </c>
      <c r="G2731" s="27">
        <v>5</v>
      </c>
      <c r="H2731" s="27">
        <v>2004</v>
      </c>
      <c r="I2731" s="27" t="s">
        <v>118</v>
      </c>
      <c r="J2731" s="25">
        <v>99</v>
      </c>
      <c r="K2731" s="25">
        <f>Sales!$B2731-Sales!$J2731</f>
        <v>-8.6299999999999955</v>
      </c>
      <c r="L2731" s="28">
        <f>(Sales!$J2731-Sales!$B2731)/Sales!$J2731</f>
        <v>8.7171717171717122E-2</v>
      </c>
      <c r="M2731" s="28" t="str">
        <f t="shared" si="42"/>
        <v>5%-10%</v>
      </c>
      <c r="N2731" s="27" t="s">
        <v>11</v>
      </c>
      <c r="O2731" s="27" t="s">
        <v>12</v>
      </c>
      <c r="P2731" s="27" t="s">
        <v>13</v>
      </c>
      <c r="Q2731" s="27" t="s">
        <v>19</v>
      </c>
    </row>
    <row r="2732" spans="1:17" x14ac:dyDescent="0.3">
      <c r="A2732" s="22">
        <v>50</v>
      </c>
      <c r="B2732" s="19">
        <v>81.430000000000007</v>
      </c>
      <c r="C2732" s="20">
        <f>Sales!$B2732*Sales!$A2732</f>
        <v>4071.5000000000005</v>
      </c>
      <c r="D2732" s="21">
        <v>38155</v>
      </c>
      <c r="E2732" s="22" t="s">
        <v>9</v>
      </c>
      <c r="F2732" s="22">
        <v>2</v>
      </c>
      <c r="G2732" s="22">
        <v>6</v>
      </c>
      <c r="H2732" s="22">
        <v>2004</v>
      </c>
      <c r="I2732" s="22" t="s">
        <v>118</v>
      </c>
      <c r="J2732" s="20">
        <v>99</v>
      </c>
      <c r="K2732" s="20">
        <f>Sales!$B2732-Sales!$J2732</f>
        <v>-17.569999999999993</v>
      </c>
      <c r="L2732" s="23">
        <f>(Sales!$J2732-Sales!$B2732)/Sales!$J2732</f>
        <v>0.1774747474747474</v>
      </c>
      <c r="M2732" s="23" t="str">
        <f t="shared" si="42"/>
        <v>15%-20%</v>
      </c>
      <c r="N2732" s="22" t="s">
        <v>68</v>
      </c>
      <c r="O2732" s="22" t="s">
        <v>56</v>
      </c>
      <c r="P2732" s="22" t="s">
        <v>13</v>
      </c>
      <c r="Q2732" s="22" t="s">
        <v>19</v>
      </c>
    </row>
    <row r="2733" spans="1:17" x14ac:dyDescent="0.3">
      <c r="A2733" s="27">
        <v>26</v>
      </c>
      <c r="B2733" s="24">
        <v>100</v>
      </c>
      <c r="C2733" s="25">
        <f>Sales!$B2733*Sales!$A2733</f>
        <v>2600</v>
      </c>
      <c r="D2733" s="26">
        <v>38189</v>
      </c>
      <c r="E2733" s="27" t="s">
        <v>9</v>
      </c>
      <c r="F2733" s="27">
        <v>3</v>
      </c>
      <c r="G2733" s="27">
        <v>7</v>
      </c>
      <c r="H2733" s="27">
        <v>2004</v>
      </c>
      <c r="I2733" s="27" t="s">
        <v>118</v>
      </c>
      <c r="J2733" s="25">
        <v>99</v>
      </c>
      <c r="K2733" s="25">
        <f>Sales!$B2733-Sales!$J2733</f>
        <v>1</v>
      </c>
      <c r="L2733" s="28">
        <f>(Sales!$J2733-Sales!$B2733)/Sales!$J2733</f>
        <v>-1.0101010101010102E-2</v>
      </c>
      <c r="M2733" s="28" t="str">
        <f t="shared" si="42"/>
        <v>Below 0%</v>
      </c>
      <c r="N2733" s="27" t="s">
        <v>80</v>
      </c>
      <c r="O2733" s="27" t="s">
        <v>81</v>
      </c>
      <c r="P2733" s="27" t="s">
        <v>17</v>
      </c>
      <c r="Q2733" s="27" t="s">
        <v>14</v>
      </c>
    </row>
    <row r="2734" spans="1:17" x14ac:dyDescent="0.3">
      <c r="A2734" s="22">
        <v>38</v>
      </c>
      <c r="B2734" s="19">
        <v>89.38</v>
      </c>
      <c r="C2734" s="20">
        <f>Sales!$B2734*Sales!$A2734</f>
        <v>3396.4399999999996</v>
      </c>
      <c r="D2734" s="21">
        <v>38219</v>
      </c>
      <c r="E2734" s="22" t="s">
        <v>9</v>
      </c>
      <c r="F2734" s="22">
        <v>3</v>
      </c>
      <c r="G2734" s="22">
        <v>8</v>
      </c>
      <c r="H2734" s="22">
        <v>2004</v>
      </c>
      <c r="I2734" s="22" t="s">
        <v>118</v>
      </c>
      <c r="J2734" s="20">
        <v>99</v>
      </c>
      <c r="K2734" s="20">
        <f>Sales!$B2734-Sales!$J2734</f>
        <v>-9.6200000000000045</v>
      </c>
      <c r="L2734" s="23">
        <f>(Sales!$J2734-Sales!$B2734)/Sales!$J2734</f>
        <v>9.7171717171717215E-2</v>
      </c>
      <c r="M2734" s="23" t="str">
        <f t="shared" si="42"/>
        <v>5%-10%</v>
      </c>
      <c r="N2734" s="22" t="s">
        <v>82</v>
      </c>
      <c r="O2734" s="22" t="s">
        <v>56</v>
      </c>
      <c r="P2734" s="22" t="s">
        <v>13</v>
      </c>
      <c r="Q2734" s="22" t="s">
        <v>19</v>
      </c>
    </row>
    <row r="2735" spans="1:17" x14ac:dyDescent="0.3">
      <c r="A2735" s="27">
        <v>45</v>
      </c>
      <c r="B2735" s="24">
        <v>100</v>
      </c>
      <c r="C2735" s="25">
        <f>Sales!$B2735*Sales!$A2735</f>
        <v>4500</v>
      </c>
      <c r="D2735" s="26">
        <v>38240</v>
      </c>
      <c r="E2735" s="27" t="s">
        <v>9</v>
      </c>
      <c r="F2735" s="27">
        <v>3</v>
      </c>
      <c r="G2735" s="27">
        <v>9</v>
      </c>
      <c r="H2735" s="27">
        <v>2004</v>
      </c>
      <c r="I2735" s="27" t="s">
        <v>118</v>
      </c>
      <c r="J2735" s="25">
        <v>99</v>
      </c>
      <c r="K2735" s="25">
        <f>Sales!$B2735-Sales!$J2735</f>
        <v>1</v>
      </c>
      <c r="L2735" s="28">
        <f>(Sales!$J2735-Sales!$B2735)/Sales!$J2735</f>
        <v>-1.0101010101010102E-2</v>
      </c>
      <c r="M2735" s="28" t="str">
        <f t="shared" si="42"/>
        <v>Below 0%</v>
      </c>
      <c r="N2735" s="27" t="s">
        <v>66</v>
      </c>
      <c r="O2735" s="27" t="s">
        <v>12</v>
      </c>
      <c r="P2735" s="27" t="s">
        <v>13</v>
      </c>
      <c r="Q2735" s="27" t="s">
        <v>19</v>
      </c>
    </row>
    <row r="2736" spans="1:17" x14ac:dyDescent="0.3">
      <c r="A2736" s="22">
        <v>30</v>
      </c>
      <c r="B2736" s="19">
        <v>100</v>
      </c>
      <c r="C2736" s="20">
        <f>Sales!$B2736*Sales!$A2736</f>
        <v>3000</v>
      </c>
      <c r="D2736" s="21">
        <v>38274</v>
      </c>
      <c r="E2736" s="22" t="s">
        <v>9</v>
      </c>
      <c r="F2736" s="22">
        <v>4</v>
      </c>
      <c r="G2736" s="22">
        <v>10</v>
      </c>
      <c r="H2736" s="22">
        <v>2004</v>
      </c>
      <c r="I2736" s="22" t="s">
        <v>118</v>
      </c>
      <c r="J2736" s="20">
        <v>99</v>
      </c>
      <c r="K2736" s="20">
        <f>Sales!$B2736-Sales!$J2736</f>
        <v>1</v>
      </c>
      <c r="L2736" s="23">
        <f>(Sales!$J2736-Sales!$B2736)/Sales!$J2736</f>
        <v>-1.0101010101010102E-2</v>
      </c>
      <c r="M2736" s="23" t="str">
        <f t="shared" si="42"/>
        <v>Below 0%</v>
      </c>
      <c r="N2736" s="22" t="s">
        <v>102</v>
      </c>
      <c r="O2736" s="22" t="s">
        <v>43</v>
      </c>
      <c r="P2736" s="22" t="s">
        <v>17</v>
      </c>
      <c r="Q2736" s="22" t="s">
        <v>19</v>
      </c>
    </row>
    <row r="2737" spans="1:17" x14ac:dyDescent="0.3">
      <c r="A2737" s="27">
        <v>37</v>
      </c>
      <c r="B2737" s="24">
        <v>91.37</v>
      </c>
      <c r="C2737" s="25">
        <f>Sales!$B2737*Sales!$A2737</f>
        <v>3380.69</v>
      </c>
      <c r="D2737" s="26">
        <v>38289</v>
      </c>
      <c r="E2737" s="27" t="s">
        <v>9</v>
      </c>
      <c r="F2737" s="27">
        <v>4</v>
      </c>
      <c r="G2737" s="27">
        <v>10</v>
      </c>
      <c r="H2737" s="27">
        <v>2004</v>
      </c>
      <c r="I2737" s="27" t="s">
        <v>118</v>
      </c>
      <c r="J2737" s="25">
        <v>99</v>
      </c>
      <c r="K2737" s="25">
        <f>Sales!$B2737-Sales!$J2737</f>
        <v>-7.6299999999999955</v>
      </c>
      <c r="L2737" s="28">
        <f>(Sales!$J2737-Sales!$B2737)/Sales!$J2737</f>
        <v>7.7070707070707026E-2</v>
      </c>
      <c r="M2737" s="28" t="str">
        <f t="shared" si="42"/>
        <v>5%-10%</v>
      </c>
      <c r="N2737" s="27" t="s">
        <v>31</v>
      </c>
      <c r="O2737" s="27" t="s">
        <v>16</v>
      </c>
      <c r="P2737" s="27" t="s">
        <v>17</v>
      </c>
      <c r="Q2737" s="27" t="s">
        <v>19</v>
      </c>
    </row>
    <row r="2738" spans="1:17" x14ac:dyDescent="0.3">
      <c r="A2738" s="22">
        <v>37</v>
      </c>
      <c r="B2738" s="19">
        <v>86.61</v>
      </c>
      <c r="C2738" s="20">
        <f>Sales!$B2738*Sales!$A2738</f>
        <v>3204.57</v>
      </c>
      <c r="D2738" s="21">
        <v>38301</v>
      </c>
      <c r="E2738" s="22" t="s">
        <v>88</v>
      </c>
      <c r="F2738" s="22">
        <v>4</v>
      </c>
      <c r="G2738" s="22">
        <v>11</v>
      </c>
      <c r="H2738" s="22">
        <v>2004</v>
      </c>
      <c r="I2738" s="22" t="s">
        <v>118</v>
      </c>
      <c r="J2738" s="20">
        <v>99</v>
      </c>
      <c r="K2738" s="20">
        <f>Sales!$B2738-Sales!$J2738</f>
        <v>-12.39</v>
      </c>
      <c r="L2738" s="23">
        <f>(Sales!$J2738-Sales!$B2738)/Sales!$J2738</f>
        <v>0.12515151515151515</v>
      </c>
      <c r="M2738" s="23" t="str">
        <f t="shared" si="42"/>
        <v>10%-15%</v>
      </c>
      <c r="N2738" s="22" t="s">
        <v>72</v>
      </c>
      <c r="O2738" s="22" t="s">
        <v>73</v>
      </c>
      <c r="P2738" s="22" t="s">
        <v>17</v>
      </c>
      <c r="Q2738" s="22" t="s">
        <v>19</v>
      </c>
    </row>
    <row r="2739" spans="1:17" x14ac:dyDescent="0.3">
      <c r="A2739" s="27">
        <v>36</v>
      </c>
      <c r="B2739" s="24">
        <v>71.89</v>
      </c>
      <c r="C2739" s="25">
        <f>Sales!$B2739*Sales!$A2739</f>
        <v>2588.04</v>
      </c>
      <c r="D2739" s="26">
        <v>38312</v>
      </c>
      <c r="E2739" s="27" t="s">
        <v>9</v>
      </c>
      <c r="F2739" s="27">
        <v>4</v>
      </c>
      <c r="G2739" s="27">
        <v>11</v>
      </c>
      <c r="H2739" s="27">
        <v>2004</v>
      </c>
      <c r="I2739" s="27" t="s">
        <v>118</v>
      </c>
      <c r="J2739" s="25">
        <v>99</v>
      </c>
      <c r="K2739" s="25">
        <f>Sales!$B2739-Sales!$J2739</f>
        <v>-27.11</v>
      </c>
      <c r="L2739" s="28">
        <f>(Sales!$J2739-Sales!$B2739)/Sales!$J2739</f>
        <v>0.27383838383838383</v>
      </c>
      <c r="M2739" s="28" t="str">
        <f t="shared" si="42"/>
        <v>+20%</v>
      </c>
      <c r="N2739" s="27" t="s">
        <v>11</v>
      </c>
      <c r="O2739" s="27" t="s">
        <v>12</v>
      </c>
      <c r="P2739" s="27" t="s">
        <v>13</v>
      </c>
      <c r="Q2739" s="27" t="s">
        <v>14</v>
      </c>
    </row>
    <row r="2740" spans="1:17" x14ac:dyDescent="0.3">
      <c r="A2740" s="22">
        <v>25</v>
      </c>
      <c r="B2740" s="19">
        <v>100</v>
      </c>
      <c r="C2740" s="20">
        <f>Sales!$B2740*Sales!$A2740</f>
        <v>2500</v>
      </c>
      <c r="D2740" s="21">
        <v>38323</v>
      </c>
      <c r="E2740" s="22" t="s">
        <v>9</v>
      </c>
      <c r="F2740" s="22">
        <v>4</v>
      </c>
      <c r="G2740" s="22">
        <v>12</v>
      </c>
      <c r="H2740" s="22">
        <v>2004</v>
      </c>
      <c r="I2740" s="22" t="s">
        <v>118</v>
      </c>
      <c r="J2740" s="20">
        <v>99</v>
      </c>
      <c r="K2740" s="20">
        <f>Sales!$B2740-Sales!$J2740</f>
        <v>1</v>
      </c>
      <c r="L2740" s="23">
        <f>(Sales!$J2740-Sales!$B2740)/Sales!$J2740</f>
        <v>-1.0101010101010102E-2</v>
      </c>
      <c r="M2740" s="23" t="str">
        <f t="shared" si="42"/>
        <v>Below 0%</v>
      </c>
      <c r="N2740" s="22" t="s">
        <v>45</v>
      </c>
      <c r="O2740" s="22" t="s">
        <v>46</v>
      </c>
      <c r="P2740" s="22" t="s">
        <v>17</v>
      </c>
      <c r="Q2740" s="22" t="s">
        <v>14</v>
      </c>
    </row>
    <row r="2741" spans="1:17" x14ac:dyDescent="0.3">
      <c r="A2741" s="27">
        <v>37</v>
      </c>
      <c r="B2741" s="24">
        <v>100</v>
      </c>
      <c r="C2741" s="25">
        <f>Sales!$B2741*Sales!$A2741</f>
        <v>3700</v>
      </c>
      <c r="D2741" s="26">
        <v>38383</v>
      </c>
      <c r="E2741" s="27" t="s">
        <v>9</v>
      </c>
      <c r="F2741" s="27">
        <v>1</v>
      </c>
      <c r="G2741" s="27">
        <v>1</v>
      </c>
      <c r="H2741" s="27">
        <v>2005</v>
      </c>
      <c r="I2741" s="27" t="s">
        <v>118</v>
      </c>
      <c r="J2741" s="25">
        <v>99</v>
      </c>
      <c r="K2741" s="25">
        <f>Sales!$B2741-Sales!$J2741</f>
        <v>1</v>
      </c>
      <c r="L2741" s="28">
        <f>(Sales!$J2741-Sales!$B2741)/Sales!$J2741</f>
        <v>-1.0101010101010102E-2</v>
      </c>
      <c r="M2741" s="28" t="str">
        <f t="shared" si="42"/>
        <v>Below 0%</v>
      </c>
      <c r="N2741" s="27" t="s">
        <v>85</v>
      </c>
      <c r="O2741" s="27" t="s">
        <v>34</v>
      </c>
      <c r="P2741" s="27" t="s">
        <v>17</v>
      </c>
      <c r="Q2741" s="27" t="s">
        <v>19</v>
      </c>
    </row>
    <row r="2742" spans="1:17" x14ac:dyDescent="0.3">
      <c r="A2742" s="22">
        <v>30</v>
      </c>
      <c r="B2742" s="19">
        <v>95.48</v>
      </c>
      <c r="C2742" s="20">
        <f>Sales!$B2742*Sales!$A2742</f>
        <v>2864.4</v>
      </c>
      <c r="D2742" s="21">
        <v>38412</v>
      </c>
      <c r="E2742" s="22" t="s">
        <v>88</v>
      </c>
      <c r="F2742" s="22">
        <v>1</v>
      </c>
      <c r="G2742" s="22">
        <v>3</v>
      </c>
      <c r="H2742" s="22">
        <v>2005</v>
      </c>
      <c r="I2742" s="22" t="s">
        <v>118</v>
      </c>
      <c r="J2742" s="20">
        <v>99</v>
      </c>
      <c r="K2742" s="20">
        <f>Sales!$B2742-Sales!$J2742</f>
        <v>-3.519999999999996</v>
      </c>
      <c r="L2742" s="23">
        <f>(Sales!$J2742-Sales!$B2742)/Sales!$J2742</f>
        <v>3.5555555555555514E-2</v>
      </c>
      <c r="M2742" s="23" t="str">
        <f t="shared" si="42"/>
        <v>0%-5%</v>
      </c>
      <c r="N2742" s="22" t="s">
        <v>45</v>
      </c>
      <c r="O2742" s="22" t="s">
        <v>46</v>
      </c>
      <c r="P2742" s="22" t="s">
        <v>17</v>
      </c>
      <c r="Q2742" s="22" t="s">
        <v>14</v>
      </c>
    </row>
    <row r="2743" spans="1:17" x14ac:dyDescent="0.3">
      <c r="A2743" s="27">
        <v>36</v>
      </c>
      <c r="B2743" s="24">
        <v>100</v>
      </c>
      <c r="C2743" s="25">
        <f>Sales!$B2743*Sales!$A2743</f>
        <v>3600</v>
      </c>
      <c r="D2743" s="26">
        <v>38439</v>
      </c>
      <c r="E2743" s="27" t="s">
        <v>9</v>
      </c>
      <c r="F2743" s="27">
        <v>1</v>
      </c>
      <c r="G2743" s="27">
        <v>3</v>
      </c>
      <c r="H2743" s="27">
        <v>2005</v>
      </c>
      <c r="I2743" s="27" t="s">
        <v>118</v>
      </c>
      <c r="J2743" s="25">
        <v>99</v>
      </c>
      <c r="K2743" s="25">
        <f>Sales!$B2743-Sales!$J2743</f>
        <v>1</v>
      </c>
      <c r="L2743" s="28">
        <f>(Sales!$J2743-Sales!$B2743)/Sales!$J2743</f>
        <v>-1.0101010101010102E-2</v>
      </c>
      <c r="M2743" s="28" t="str">
        <f t="shared" si="42"/>
        <v>Below 0%</v>
      </c>
      <c r="N2743" s="27" t="s">
        <v>76</v>
      </c>
      <c r="O2743" s="27" t="s">
        <v>16</v>
      </c>
      <c r="P2743" s="27" t="s">
        <v>17</v>
      </c>
      <c r="Q2743" s="27" t="s">
        <v>19</v>
      </c>
    </row>
    <row r="2744" spans="1:17" x14ac:dyDescent="0.3">
      <c r="A2744" s="22">
        <v>27</v>
      </c>
      <c r="B2744" s="19">
        <v>90.37</v>
      </c>
      <c r="C2744" s="20">
        <f>Sales!$B2744*Sales!$A2744</f>
        <v>2439.9900000000002</v>
      </c>
      <c r="D2744" s="21">
        <v>38478</v>
      </c>
      <c r="E2744" s="22" t="s">
        <v>87</v>
      </c>
      <c r="F2744" s="22">
        <v>2</v>
      </c>
      <c r="G2744" s="22">
        <v>5</v>
      </c>
      <c r="H2744" s="22">
        <v>2005</v>
      </c>
      <c r="I2744" s="22" t="s">
        <v>118</v>
      </c>
      <c r="J2744" s="20">
        <v>99</v>
      </c>
      <c r="K2744" s="20">
        <f>Sales!$B2744-Sales!$J2744</f>
        <v>-8.6299999999999955</v>
      </c>
      <c r="L2744" s="23">
        <f>(Sales!$J2744-Sales!$B2744)/Sales!$J2744</f>
        <v>8.7171717171717122E-2</v>
      </c>
      <c r="M2744" s="23" t="str">
        <f t="shared" si="42"/>
        <v>5%-10%</v>
      </c>
      <c r="N2744" s="22" t="s">
        <v>83</v>
      </c>
      <c r="O2744" s="22" t="s">
        <v>12</v>
      </c>
      <c r="P2744" s="22" t="s">
        <v>13</v>
      </c>
      <c r="Q2744" s="22" t="s">
        <v>14</v>
      </c>
    </row>
    <row r="2745" spans="1:17" x14ac:dyDescent="0.3">
      <c r="A2745" s="27">
        <v>48</v>
      </c>
      <c r="B2745" s="24">
        <v>61.44</v>
      </c>
      <c r="C2745" s="25">
        <f>Sales!$B2745*Sales!$A2745</f>
        <v>2949.12</v>
      </c>
      <c r="D2745" s="26">
        <v>37669</v>
      </c>
      <c r="E2745" s="27" t="s">
        <v>9</v>
      </c>
      <c r="F2745" s="27">
        <v>1</v>
      </c>
      <c r="G2745" s="27">
        <v>2</v>
      </c>
      <c r="H2745" s="27">
        <v>2003</v>
      </c>
      <c r="I2745" s="27" t="s">
        <v>115</v>
      </c>
      <c r="J2745" s="25">
        <v>74</v>
      </c>
      <c r="K2745" s="25">
        <f>Sales!$B2745-Sales!$J2745</f>
        <v>-12.560000000000002</v>
      </c>
      <c r="L2745" s="28">
        <f>(Sales!$J2745-Sales!$B2745)/Sales!$J2745</f>
        <v>0.16972972972972977</v>
      </c>
      <c r="M2745" s="28" t="str">
        <f t="shared" si="42"/>
        <v>15%-20%</v>
      </c>
      <c r="N2745" s="27" t="s">
        <v>113</v>
      </c>
      <c r="O2745" s="27" t="s">
        <v>61</v>
      </c>
      <c r="P2745" s="27" t="s">
        <v>17</v>
      </c>
      <c r="Q2745" s="27" t="s">
        <v>14</v>
      </c>
    </row>
    <row r="2746" spans="1:17" x14ac:dyDescent="0.3">
      <c r="A2746" s="22">
        <v>26</v>
      </c>
      <c r="B2746" s="19">
        <v>59.22</v>
      </c>
      <c r="C2746" s="20">
        <f>Sales!$B2746*Sales!$A2746</f>
        <v>1539.72</v>
      </c>
      <c r="D2746" s="21">
        <v>37739</v>
      </c>
      <c r="E2746" s="22" t="s">
        <v>9</v>
      </c>
      <c r="F2746" s="22">
        <v>2</v>
      </c>
      <c r="G2746" s="22">
        <v>4</v>
      </c>
      <c r="H2746" s="22">
        <v>2003</v>
      </c>
      <c r="I2746" s="22" t="s">
        <v>115</v>
      </c>
      <c r="J2746" s="20">
        <v>74</v>
      </c>
      <c r="K2746" s="20">
        <f>Sales!$B2746-Sales!$J2746</f>
        <v>-14.780000000000001</v>
      </c>
      <c r="L2746" s="23">
        <f>(Sales!$J2746-Sales!$B2746)/Sales!$J2746</f>
        <v>0.19972972972972974</v>
      </c>
      <c r="M2746" s="23" t="str">
        <f t="shared" si="42"/>
        <v>15%-20%</v>
      </c>
      <c r="N2746" s="22" t="s">
        <v>37</v>
      </c>
      <c r="O2746" s="22" t="s">
        <v>38</v>
      </c>
      <c r="P2746" s="22" t="s">
        <v>17</v>
      </c>
      <c r="Q2746" s="22" t="s">
        <v>14</v>
      </c>
    </row>
    <row r="2747" spans="1:17" x14ac:dyDescent="0.3">
      <c r="A2747" s="27">
        <v>26</v>
      </c>
      <c r="B2747" s="24">
        <v>85.13</v>
      </c>
      <c r="C2747" s="25">
        <f>Sales!$B2747*Sales!$A2747</f>
        <v>2213.38</v>
      </c>
      <c r="D2747" s="26">
        <v>37788</v>
      </c>
      <c r="E2747" s="27" t="s">
        <v>9</v>
      </c>
      <c r="F2747" s="27">
        <v>2</v>
      </c>
      <c r="G2747" s="27">
        <v>6</v>
      </c>
      <c r="H2747" s="27">
        <v>2003</v>
      </c>
      <c r="I2747" s="27" t="s">
        <v>115</v>
      </c>
      <c r="J2747" s="25">
        <v>74</v>
      </c>
      <c r="K2747" s="25">
        <f>Sales!$B2747-Sales!$J2747</f>
        <v>11.129999999999995</v>
      </c>
      <c r="L2747" s="28">
        <f>(Sales!$J2747-Sales!$B2747)/Sales!$J2747</f>
        <v>-0.15040540540540534</v>
      </c>
      <c r="M2747" s="28" t="str">
        <f t="shared" si="42"/>
        <v>Below 0%</v>
      </c>
      <c r="N2747" s="27" t="s">
        <v>105</v>
      </c>
      <c r="O2747" s="27" t="s">
        <v>12</v>
      </c>
      <c r="P2747" s="27" t="s">
        <v>13</v>
      </c>
      <c r="Q2747" s="27" t="s">
        <v>14</v>
      </c>
    </row>
    <row r="2748" spans="1:17" x14ac:dyDescent="0.3">
      <c r="A2748" s="22">
        <v>34</v>
      </c>
      <c r="B2748" s="19">
        <v>85.87</v>
      </c>
      <c r="C2748" s="20">
        <f>Sales!$B2748*Sales!$A2748</f>
        <v>2919.58</v>
      </c>
      <c r="D2748" s="21">
        <v>37843</v>
      </c>
      <c r="E2748" s="22" t="s">
        <v>9</v>
      </c>
      <c r="F2748" s="22">
        <v>3</v>
      </c>
      <c r="G2748" s="22">
        <v>8</v>
      </c>
      <c r="H2748" s="22">
        <v>2003</v>
      </c>
      <c r="I2748" s="22" t="s">
        <v>115</v>
      </c>
      <c r="J2748" s="20">
        <v>74</v>
      </c>
      <c r="K2748" s="20">
        <f>Sales!$B2748-Sales!$J2748</f>
        <v>11.870000000000005</v>
      </c>
      <c r="L2748" s="23">
        <f>(Sales!$J2748-Sales!$B2748)/Sales!$J2748</f>
        <v>-0.16040540540540546</v>
      </c>
      <c r="M2748" s="23" t="str">
        <f t="shared" si="42"/>
        <v>Below 0%</v>
      </c>
      <c r="N2748" s="22" t="s">
        <v>41</v>
      </c>
      <c r="O2748" s="22" t="s">
        <v>12</v>
      </c>
      <c r="P2748" s="22" t="s">
        <v>13</v>
      </c>
      <c r="Q2748" s="22" t="s">
        <v>14</v>
      </c>
    </row>
    <row r="2749" spans="1:17" x14ac:dyDescent="0.3">
      <c r="A2749" s="27">
        <v>44</v>
      </c>
      <c r="B2749" s="24">
        <v>85.87</v>
      </c>
      <c r="C2749" s="25">
        <f>Sales!$B2749*Sales!$A2749</f>
        <v>3778.28</v>
      </c>
      <c r="D2749" s="26">
        <v>37900</v>
      </c>
      <c r="E2749" s="27" t="s">
        <v>9</v>
      </c>
      <c r="F2749" s="27">
        <v>4</v>
      </c>
      <c r="G2749" s="27">
        <v>10</v>
      </c>
      <c r="H2749" s="27">
        <v>2003</v>
      </c>
      <c r="I2749" s="27" t="s">
        <v>115</v>
      </c>
      <c r="J2749" s="25">
        <v>74</v>
      </c>
      <c r="K2749" s="25">
        <f>Sales!$B2749-Sales!$J2749</f>
        <v>11.870000000000005</v>
      </c>
      <c r="L2749" s="28">
        <f>(Sales!$J2749-Sales!$B2749)/Sales!$J2749</f>
        <v>-0.16040540540540546</v>
      </c>
      <c r="M2749" s="28" t="str">
        <f t="shared" si="42"/>
        <v>Below 0%</v>
      </c>
      <c r="N2749" s="27" t="s">
        <v>33</v>
      </c>
      <c r="O2749" s="27" t="s">
        <v>34</v>
      </c>
      <c r="P2749" s="27" t="s">
        <v>17</v>
      </c>
      <c r="Q2749" s="27" t="s">
        <v>19</v>
      </c>
    </row>
    <row r="2750" spans="1:17" x14ac:dyDescent="0.3">
      <c r="A2750" s="22">
        <v>39</v>
      </c>
      <c r="B2750" s="19">
        <v>82.91</v>
      </c>
      <c r="C2750" s="20">
        <f>Sales!$B2750*Sales!$A2750</f>
        <v>3233.49</v>
      </c>
      <c r="D2750" s="21">
        <v>37922</v>
      </c>
      <c r="E2750" s="22" t="s">
        <v>9</v>
      </c>
      <c r="F2750" s="22">
        <v>4</v>
      </c>
      <c r="G2750" s="22">
        <v>10</v>
      </c>
      <c r="H2750" s="22">
        <v>2003</v>
      </c>
      <c r="I2750" s="22" t="s">
        <v>115</v>
      </c>
      <c r="J2750" s="20">
        <v>74</v>
      </c>
      <c r="K2750" s="20">
        <f>Sales!$B2750-Sales!$J2750</f>
        <v>8.9099999999999966</v>
      </c>
      <c r="L2750" s="23">
        <f>(Sales!$J2750-Sales!$B2750)/Sales!$J2750</f>
        <v>-0.12040540540540536</v>
      </c>
      <c r="M2750" s="23" t="str">
        <f t="shared" si="42"/>
        <v>Below 0%</v>
      </c>
      <c r="N2750" s="22" t="s">
        <v>22</v>
      </c>
      <c r="O2750" s="22" t="s">
        <v>12</v>
      </c>
      <c r="P2750" s="22" t="s">
        <v>13</v>
      </c>
      <c r="Q2750" s="22" t="s">
        <v>19</v>
      </c>
    </row>
    <row r="2751" spans="1:17" x14ac:dyDescent="0.3">
      <c r="A2751" s="27">
        <v>45</v>
      </c>
      <c r="B2751" s="24">
        <v>76.25</v>
      </c>
      <c r="C2751" s="25">
        <f>Sales!$B2751*Sales!$A2751</f>
        <v>3431.25</v>
      </c>
      <c r="D2751" s="26">
        <v>37933</v>
      </c>
      <c r="E2751" s="27" t="s">
        <v>9</v>
      </c>
      <c r="F2751" s="27">
        <v>4</v>
      </c>
      <c r="G2751" s="27">
        <v>11</v>
      </c>
      <c r="H2751" s="27">
        <v>2003</v>
      </c>
      <c r="I2751" s="27" t="s">
        <v>115</v>
      </c>
      <c r="J2751" s="25">
        <v>74</v>
      </c>
      <c r="K2751" s="25">
        <f>Sales!$B2751-Sales!$J2751</f>
        <v>2.25</v>
      </c>
      <c r="L2751" s="28">
        <f>(Sales!$J2751-Sales!$B2751)/Sales!$J2751</f>
        <v>-3.0405405405405407E-2</v>
      </c>
      <c r="M2751" s="28" t="str">
        <f t="shared" si="42"/>
        <v>Below 0%</v>
      </c>
      <c r="N2751" s="27" t="s">
        <v>76</v>
      </c>
      <c r="O2751" s="27" t="s">
        <v>16</v>
      </c>
      <c r="P2751" s="27" t="s">
        <v>17</v>
      </c>
      <c r="Q2751" s="27" t="s">
        <v>19</v>
      </c>
    </row>
    <row r="2752" spans="1:17" x14ac:dyDescent="0.3">
      <c r="A2752" s="22">
        <v>40</v>
      </c>
      <c r="B2752" s="19">
        <v>63.67</v>
      </c>
      <c r="C2752" s="20">
        <f>Sales!$B2752*Sales!$A2752</f>
        <v>2546.8000000000002</v>
      </c>
      <c r="D2752" s="21">
        <v>37952</v>
      </c>
      <c r="E2752" s="22" t="s">
        <v>9</v>
      </c>
      <c r="F2752" s="22">
        <v>4</v>
      </c>
      <c r="G2752" s="22">
        <v>11</v>
      </c>
      <c r="H2752" s="22">
        <v>2003</v>
      </c>
      <c r="I2752" s="22" t="s">
        <v>115</v>
      </c>
      <c r="J2752" s="20">
        <v>74</v>
      </c>
      <c r="K2752" s="20">
        <f>Sales!$B2752-Sales!$J2752</f>
        <v>-10.329999999999998</v>
      </c>
      <c r="L2752" s="23">
        <f>(Sales!$J2752-Sales!$B2752)/Sales!$J2752</f>
        <v>0.13959459459459458</v>
      </c>
      <c r="M2752" s="23" t="str">
        <f t="shared" si="42"/>
        <v>10%-15%</v>
      </c>
      <c r="N2752" s="22" t="s">
        <v>90</v>
      </c>
      <c r="O2752" s="22" t="s">
        <v>91</v>
      </c>
      <c r="P2752" s="22" t="s">
        <v>28</v>
      </c>
      <c r="Q2752" s="22" t="s">
        <v>14</v>
      </c>
    </row>
    <row r="2753" spans="1:17" x14ac:dyDescent="0.3">
      <c r="A2753" s="27">
        <v>42</v>
      </c>
      <c r="B2753" s="24">
        <v>70.33</v>
      </c>
      <c r="C2753" s="25">
        <f>Sales!$B2753*Sales!$A2753</f>
        <v>2953.86</v>
      </c>
      <c r="D2753" s="26">
        <v>37998</v>
      </c>
      <c r="E2753" s="27" t="s">
        <v>9</v>
      </c>
      <c r="F2753" s="27">
        <v>1</v>
      </c>
      <c r="G2753" s="27">
        <v>1</v>
      </c>
      <c r="H2753" s="27">
        <v>2004</v>
      </c>
      <c r="I2753" s="27" t="s">
        <v>115</v>
      </c>
      <c r="J2753" s="25">
        <v>74</v>
      </c>
      <c r="K2753" s="25">
        <f>Sales!$B2753-Sales!$J2753</f>
        <v>-3.6700000000000017</v>
      </c>
      <c r="L2753" s="28">
        <f>(Sales!$J2753-Sales!$B2753)/Sales!$J2753</f>
        <v>4.9594594594594615E-2</v>
      </c>
      <c r="M2753" s="28" t="str">
        <f t="shared" si="42"/>
        <v>0%-5%</v>
      </c>
      <c r="N2753" s="27" t="s">
        <v>70</v>
      </c>
      <c r="O2753" s="27" t="s">
        <v>51</v>
      </c>
      <c r="P2753" s="27" t="s">
        <v>51</v>
      </c>
      <c r="Q2753" s="27" t="s">
        <v>14</v>
      </c>
    </row>
    <row r="2754" spans="1:17" x14ac:dyDescent="0.3">
      <c r="A2754" s="22">
        <v>43</v>
      </c>
      <c r="B2754" s="19">
        <v>74.03</v>
      </c>
      <c r="C2754" s="20">
        <f>Sales!$B2754*Sales!$A2754</f>
        <v>3183.29</v>
      </c>
      <c r="D2754" s="21">
        <v>38036</v>
      </c>
      <c r="E2754" s="22" t="s">
        <v>9</v>
      </c>
      <c r="F2754" s="22">
        <v>1</v>
      </c>
      <c r="G2754" s="22">
        <v>2</v>
      </c>
      <c r="H2754" s="22">
        <v>2004</v>
      </c>
      <c r="I2754" s="22" t="s">
        <v>115</v>
      </c>
      <c r="J2754" s="20">
        <v>74</v>
      </c>
      <c r="K2754" s="20">
        <f>Sales!$B2754-Sales!$J2754</f>
        <v>3.0000000000001137E-2</v>
      </c>
      <c r="L2754" s="23">
        <f>(Sales!$J2754-Sales!$B2754)/Sales!$J2754</f>
        <v>-4.0540540540542078E-4</v>
      </c>
      <c r="M2754" s="23" t="s">
        <v>130</v>
      </c>
      <c r="N2754" s="22" t="s">
        <v>79</v>
      </c>
      <c r="O2754" s="22" t="s">
        <v>12</v>
      </c>
      <c r="P2754" s="22" t="s">
        <v>13</v>
      </c>
      <c r="Q2754" s="22" t="s">
        <v>19</v>
      </c>
    </row>
    <row r="2755" spans="1:17" x14ac:dyDescent="0.3">
      <c r="A2755" s="27">
        <v>34</v>
      </c>
      <c r="B2755" s="24">
        <v>72.55</v>
      </c>
      <c r="C2755" s="25">
        <f>Sales!$B2755*Sales!$A2755</f>
        <v>2466.6999999999998</v>
      </c>
      <c r="D2755" s="26">
        <v>38079</v>
      </c>
      <c r="E2755" s="27" t="s">
        <v>9</v>
      </c>
      <c r="F2755" s="27">
        <v>2</v>
      </c>
      <c r="G2755" s="27">
        <v>4</v>
      </c>
      <c r="H2755" s="27">
        <v>2004</v>
      </c>
      <c r="I2755" s="27" t="s">
        <v>115</v>
      </c>
      <c r="J2755" s="25">
        <v>74</v>
      </c>
      <c r="K2755" s="25">
        <f>Sales!$B2755-Sales!$J2755</f>
        <v>-1.4500000000000028</v>
      </c>
      <c r="L2755" s="28">
        <f>(Sales!$J2755-Sales!$B2755)/Sales!$J2755</f>
        <v>1.9594594594594634E-2</v>
      </c>
      <c r="M2755" s="28" t="str">
        <f t="shared" ref="M2755:M2818" si="43">IF(L2755&lt;0%,"Below 0%",IF(L2755=0%,"0%",IF(AND(L2755&lt;=5%,L2755&gt;0%),"0%-5%",IF(AND(L2755&lt;=10%,L2755&gt;5%),"5%-10%",IF(AND(L2755&lt;=15%,L2755&gt;10%),"10%-15%",IF(AND(L2755&lt;=20%,L2755&gt;15%),"15%-20%","+20%"))))))</f>
        <v>0%-5%</v>
      </c>
      <c r="N2755" s="27" t="s">
        <v>82</v>
      </c>
      <c r="O2755" s="27" t="s">
        <v>56</v>
      </c>
      <c r="P2755" s="27" t="s">
        <v>13</v>
      </c>
      <c r="Q2755" s="27" t="s">
        <v>14</v>
      </c>
    </row>
    <row r="2756" spans="1:17" x14ac:dyDescent="0.3">
      <c r="A2756" s="22">
        <v>38</v>
      </c>
      <c r="B2756" s="19">
        <v>62.19</v>
      </c>
      <c r="C2756" s="20">
        <f>Sales!$B2756*Sales!$A2756</f>
        <v>2363.2199999999998</v>
      </c>
      <c r="D2756" s="21">
        <v>38118</v>
      </c>
      <c r="E2756" s="22" t="s">
        <v>9</v>
      </c>
      <c r="F2756" s="22">
        <v>2</v>
      </c>
      <c r="G2756" s="22">
        <v>5</v>
      </c>
      <c r="H2756" s="22">
        <v>2004</v>
      </c>
      <c r="I2756" s="22" t="s">
        <v>115</v>
      </c>
      <c r="J2756" s="20">
        <v>74</v>
      </c>
      <c r="K2756" s="20">
        <f>Sales!$B2756-Sales!$J2756</f>
        <v>-11.810000000000002</v>
      </c>
      <c r="L2756" s="23">
        <f>(Sales!$J2756-Sales!$B2756)/Sales!$J2756</f>
        <v>0.15959459459459463</v>
      </c>
      <c r="M2756" s="23" t="str">
        <f t="shared" si="43"/>
        <v>15%-20%</v>
      </c>
      <c r="N2756" s="22" t="s">
        <v>86</v>
      </c>
      <c r="O2756" s="22" t="s">
        <v>12</v>
      </c>
      <c r="P2756" s="22" t="s">
        <v>13</v>
      </c>
      <c r="Q2756" s="22" t="s">
        <v>14</v>
      </c>
    </row>
    <row r="2757" spans="1:17" x14ac:dyDescent="0.3">
      <c r="A2757" s="27">
        <v>35</v>
      </c>
      <c r="B2757" s="24">
        <v>71.069999999999993</v>
      </c>
      <c r="C2757" s="25">
        <f>Sales!$B2757*Sales!$A2757</f>
        <v>2487.4499999999998</v>
      </c>
      <c r="D2757" s="26">
        <v>38162</v>
      </c>
      <c r="E2757" s="27" t="s">
        <v>75</v>
      </c>
      <c r="F2757" s="27">
        <v>2</v>
      </c>
      <c r="G2757" s="27">
        <v>6</v>
      </c>
      <c r="H2757" s="27">
        <v>2004</v>
      </c>
      <c r="I2757" s="27" t="s">
        <v>115</v>
      </c>
      <c r="J2757" s="25">
        <v>74</v>
      </c>
      <c r="K2757" s="25">
        <f>Sales!$B2757-Sales!$J2757</f>
        <v>-2.9300000000000068</v>
      </c>
      <c r="L2757" s="28">
        <f>(Sales!$J2757-Sales!$B2757)/Sales!$J2757</f>
        <v>3.959459459459469E-2</v>
      </c>
      <c r="M2757" s="28" t="str">
        <f t="shared" si="43"/>
        <v>0%-5%</v>
      </c>
      <c r="N2757" s="27" t="s">
        <v>45</v>
      </c>
      <c r="O2757" s="27" t="s">
        <v>46</v>
      </c>
      <c r="P2757" s="27" t="s">
        <v>17</v>
      </c>
      <c r="Q2757" s="27" t="s">
        <v>14</v>
      </c>
    </row>
    <row r="2758" spans="1:17" x14ac:dyDescent="0.3">
      <c r="A2758" s="22">
        <v>31</v>
      </c>
      <c r="B2758" s="19">
        <v>72.55</v>
      </c>
      <c r="C2758" s="20">
        <f>Sales!$B2758*Sales!$A2758</f>
        <v>2249.0499999999997</v>
      </c>
      <c r="D2758" s="21">
        <v>38191</v>
      </c>
      <c r="E2758" s="22" t="s">
        <v>9</v>
      </c>
      <c r="F2758" s="22">
        <v>3</v>
      </c>
      <c r="G2758" s="22">
        <v>7</v>
      </c>
      <c r="H2758" s="22">
        <v>2004</v>
      </c>
      <c r="I2758" s="22" t="s">
        <v>115</v>
      </c>
      <c r="J2758" s="20">
        <v>74</v>
      </c>
      <c r="K2758" s="20">
        <f>Sales!$B2758-Sales!$J2758</f>
        <v>-1.4500000000000028</v>
      </c>
      <c r="L2758" s="23">
        <f>(Sales!$J2758-Sales!$B2758)/Sales!$J2758</f>
        <v>1.9594594594594634E-2</v>
      </c>
      <c r="M2758" s="23" t="str">
        <f t="shared" si="43"/>
        <v>0%-5%</v>
      </c>
      <c r="N2758" s="22" t="s">
        <v>31</v>
      </c>
      <c r="O2758" s="22" t="s">
        <v>16</v>
      </c>
      <c r="P2758" s="22" t="s">
        <v>17</v>
      </c>
      <c r="Q2758" s="22" t="s">
        <v>14</v>
      </c>
    </row>
    <row r="2759" spans="1:17" x14ac:dyDescent="0.3">
      <c r="A2759" s="27">
        <v>32</v>
      </c>
      <c r="B2759" s="24">
        <v>64.41</v>
      </c>
      <c r="C2759" s="25">
        <f>Sales!$B2759*Sales!$A2759</f>
        <v>2061.12</v>
      </c>
      <c r="D2759" s="26">
        <v>38220</v>
      </c>
      <c r="E2759" s="27" t="s">
        <v>9</v>
      </c>
      <c r="F2759" s="27">
        <v>3</v>
      </c>
      <c r="G2759" s="27">
        <v>8</v>
      </c>
      <c r="H2759" s="27">
        <v>2004</v>
      </c>
      <c r="I2759" s="27" t="s">
        <v>115</v>
      </c>
      <c r="J2759" s="25">
        <v>74</v>
      </c>
      <c r="K2759" s="25">
        <f>Sales!$B2759-Sales!$J2759</f>
        <v>-9.5900000000000034</v>
      </c>
      <c r="L2759" s="28">
        <f>(Sales!$J2759-Sales!$B2759)/Sales!$J2759</f>
        <v>0.12959459459459463</v>
      </c>
      <c r="M2759" s="28" t="str">
        <f t="shared" si="43"/>
        <v>10%-15%</v>
      </c>
      <c r="N2759" s="27" t="s">
        <v>110</v>
      </c>
      <c r="O2759" s="27" t="s">
        <v>25</v>
      </c>
      <c r="P2759" s="27" t="s">
        <v>17</v>
      </c>
      <c r="Q2759" s="27" t="s">
        <v>14</v>
      </c>
    </row>
    <row r="2760" spans="1:17" x14ac:dyDescent="0.3">
      <c r="A2760" s="22">
        <v>47</v>
      </c>
      <c r="B2760" s="19">
        <v>86.62</v>
      </c>
      <c r="C2760" s="20">
        <f>Sales!$B2760*Sales!$A2760</f>
        <v>4071.1400000000003</v>
      </c>
      <c r="D2760" s="21">
        <v>38245</v>
      </c>
      <c r="E2760" s="22" t="s">
        <v>9</v>
      </c>
      <c r="F2760" s="22">
        <v>3</v>
      </c>
      <c r="G2760" s="22">
        <v>9</v>
      </c>
      <c r="H2760" s="22">
        <v>2004</v>
      </c>
      <c r="I2760" s="22" t="s">
        <v>115</v>
      </c>
      <c r="J2760" s="20">
        <v>74</v>
      </c>
      <c r="K2760" s="20">
        <f>Sales!$B2760-Sales!$J2760</f>
        <v>12.620000000000005</v>
      </c>
      <c r="L2760" s="23">
        <f>(Sales!$J2760-Sales!$B2760)/Sales!$J2760</f>
        <v>-0.1705405405405406</v>
      </c>
      <c r="M2760" s="23" t="str">
        <f t="shared" si="43"/>
        <v>Below 0%</v>
      </c>
      <c r="N2760" s="22" t="s">
        <v>116</v>
      </c>
      <c r="O2760" s="22" t="s">
        <v>94</v>
      </c>
      <c r="P2760" s="22" t="s">
        <v>17</v>
      </c>
      <c r="Q2760" s="22" t="s">
        <v>19</v>
      </c>
    </row>
    <row r="2761" spans="1:17" x14ac:dyDescent="0.3">
      <c r="A2761" s="27">
        <v>39</v>
      </c>
      <c r="B2761" s="24">
        <v>68.11</v>
      </c>
      <c r="C2761" s="25">
        <f>Sales!$B2761*Sales!$A2761</f>
        <v>2656.29</v>
      </c>
      <c r="D2761" s="26">
        <v>38275</v>
      </c>
      <c r="E2761" s="27" t="s">
        <v>9</v>
      </c>
      <c r="F2761" s="27">
        <v>4</v>
      </c>
      <c r="G2761" s="27">
        <v>10</v>
      </c>
      <c r="H2761" s="27">
        <v>2004</v>
      </c>
      <c r="I2761" s="27" t="s">
        <v>115</v>
      </c>
      <c r="J2761" s="25">
        <v>74</v>
      </c>
      <c r="K2761" s="25">
        <f>Sales!$B2761-Sales!$J2761</f>
        <v>-5.8900000000000006</v>
      </c>
      <c r="L2761" s="28">
        <f>(Sales!$J2761-Sales!$B2761)/Sales!$J2761</f>
        <v>7.95945945945946E-2</v>
      </c>
      <c r="M2761" s="28" t="str">
        <f t="shared" si="43"/>
        <v>5%-10%</v>
      </c>
      <c r="N2761" s="27" t="s">
        <v>71</v>
      </c>
      <c r="O2761" s="27" t="s">
        <v>12</v>
      </c>
      <c r="P2761" s="27" t="s">
        <v>13</v>
      </c>
      <c r="Q2761" s="27" t="s">
        <v>14</v>
      </c>
    </row>
    <row r="2762" spans="1:17" x14ac:dyDescent="0.3">
      <c r="A2762" s="22">
        <v>44</v>
      </c>
      <c r="B2762" s="19">
        <v>62.19</v>
      </c>
      <c r="C2762" s="20">
        <f>Sales!$B2762*Sales!$A2762</f>
        <v>2736.3599999999997</v>
      </c>
      <c r="D2762" s="21">
        <v>38292</v>
      </c>
      <c r="E2762" s="22" t="s">
        <v>9</v>
      </c>
      <c r="F2762" s="22">
        <v>4</v>
      </c>
      <c r="G2762" s="22">
        <v>11</v>
      </c>
      <c r="H2762" s="22">
        <v>2004</v>
      </c>
      <c r="I2762" s="22" t="s">
        <v>115</v>
      </c>
      <c r="J2762" s="20">
        <v>74</v>
      </c>
      <c r="K2762" s="20">
        <f>Sales!$B2762-Sales!$J2762</f>
        <v>-11.810000000000002</v>
      </c>
      <c r="L2762" s="23">
        <f>(Sales!$J2762-Sales!$B2762)/Sales!$J2762</f>
        <v>0.15959459459459463</v>
      </c>
      <c r="M2762" s="23" t="str">
        <f t="shared" si="43"/>
        <v>15%-20%</v>
      </c>
      <c r="N2762" s="22" t="s">
        <v>84</v>
      </c>
      <c r="O2762" s="22" t="s">
        <v>43</v>
      </c>
      <c r="P2762" s="22" t="s">
        <v>17</v>
      </c>
      <c r="Q2762" s="22" t="s">
        <v>14</v>
      </c>
    </row>
    <row r="2763" spans="1:17" x14ac:dyDescent="0.3">
      <c r="A2763" s="27">
        <v>39</v>
      </c>
      <c r="B2763" s="24">
        <v>85.87</v>
      </c>
      <c r="C2763" s="25">
        <f>Sales!$B2763*Sales!$A2763</f>
        <v>3348.9300000000003</v>
      </c>
      <c r="D2763" s="26">
        <v>38303</v>
      </c>
      <c r="E2763" s="27" t="s">
        <v>9</v>
      </c>
      <c r="F2763" s="27">
        <v>4</v>
      </c>
      <c r="G2763" s="27">
        <v>11</v>
      </c>
      <c r="H2763" s="27">
        <v>2004</v>
      </c>
      <c r="I2763" s="27" t="s">
        <v>115</v>
      </c>
      <c r="J2763" s="25">
        <v>74</v>
      </c>
      <c r="K2763" s="25">
        <f>Sales!$B2763-Sales!$J2763</f>
        <v>11.870000000000005</v>
      </c>
      <c r="L2763" s="28">
        <f>(Sales!$J2763-Sales!$B2763)/Sales!$J2763</f>
        <v>-0.16040540540540546</v>
      </c>
      <c r="M2763" s="28" t="str">
        <f t="shared" si="43"/>
        <v>Below 0%</v>
      </c>
      <c r="N2763" s="27" t="s">
        <v>113</v>
      </c>
      <c r="O2763" s="27" t="s">
        <v>61</v>
      </c>
      <c r="P2763" s="27" t="s">
        <v>17</v>
      </c>
      <c r="Q2763" s="27" t="s">
        <v>19</v>
      </c>
    </row>
    <row r="2764" spans="1:17" x14ac:dyDescent="0.3">
      <c r="A2764" s="22">
        <v>50</v>
      </c>
      <c r="B2764" s="19">
        <v>57.86</v>
      </c>
      <c r="C2764" s="20">
        <f>Sales!$B2764*Sales!$A2764</f>
        <v>2893</v>
      </c>
      <c r="D2764" s="21">
        <v>38314</v>
      </c>
      <c r="E2764" s="22" t="s">
        <v>9</v>
      </c>
      <c r="F2764" s="22">
        <v>4</v>
      </c>
      <c r="G2764" s="22">
        <v>11</v>
      </c>
      <c r="H2764" s="22">
        <v>2004</v>
      </c>
      <c r="I2764" s="22" t="s">
        <v>115</v>
      </c>
      <c r="J2764" s="20">
        <v>74</v>
      </c>
      <c r="K2764" s="20">
        <f>Sales!$B2764-Sales!$J2764</f>
        <v>-16.14</v>
      </c>
      <c r="L2764" s="23">
        <f>(Sales!$J2764-Sales!$B2764)/Sales!$J2764</f>
        <v>0.21810810810810813</v>
      </c>
      <c r="M2764" s="23" t="str">
        <f t="shared" si="43"/>
        <v>+20%</v>
      </c>
      <c r="N2764" s="22" t="s">
        <v>59</v>
      </c>
      <c r="O2764" s="22" t="s">
        <v>51</v>
      </c>
      <c r="P2764" s="22" t="s">
        <v>51</v>
      </c>
      <c r="Q2764" s="22" t="s">
        <v>14</v>
      </c>
    </row>
    <row r="2765" spans="1:17" x14ac:dyDescent="0.3">
      <c r="A2765" s="27">
        <v>22</v>
      </c>
      <c r="B2765" s="24">
        <v>75.510000000000005</v>
      </c>
      <c r="C2765" s="25">
        <f>Sales!$B2765*Sales!$A2765</f>
        <v>1661.22</v>
      </c>
      <c r="D2765" s="26">
        <v>38324</v>
      </c>
      <c r="E2765" s="27" t="s">
        <v>9</v>
      </c>
      <c r="F2765" s="27">
        <v>4</v>
      </c>
      <c r="G2765" s="27">
        <v>12</v>
      </c>
      <c r="H2765" s="27">
        <v>2004</v>
      </c>
      <c r="I2765" s="27" t="s">
        <v>115</v>
      </c>
      <c r="J2765" s="25">
        <v>74</v>
      </c>
      <c r="K2765" s="25">
        <f>Sales!$B2765-Sales!$J2765</f>
        <v>1.5100000000000051</v>
      </c>
      <c r="L2765" s="28">
        <f>(Sales!$J2765-Sales!$B2765)/Sales!$J2765</f>
        <v>-2.0405405405405475E-2</v>
      </c>
      <c r="M2765" s="28" t="str">
        <f t="shared" si="43"/>
        <v>Below 0%</v>
      </c>
      <c r="N2765" s="27" t="s">
        <v>66</v>
      </c>
      <c r="O2765" s="27" t="s">
        <v>12</v>
      </c>
      <c r="P2765" s="27" t="s">
        <v>13</v>
      </c>
      <c r="Q2765" s="27" t="s">
        <v>14</v>
      </c>
    </row>
    <row r="2766" spans="1:17" x14ac:dyDescent="0.3">
      <c r="A2766" s="22">
        <v>35</v>
      </c>
      <c r="B2766" s="19">
        <v>100</v>
      </c>
      <c r="C2766" s="20">
        <f>Sales!$B2766*Sales!$A2766</f>
        <v>3500</v>
      </c>
      <c r="D2766" s="21">
        <v>38338</v>
      </c>
      <c r="E2766" s="22" t="s">
        <v>9</v>
      </c>
      <c r="F2766" s="22">
        <v>4</v>
      </c>
      <c r="G2766" s="22">
        <v>12</v>
      </c>
      <c r="H2766" s="22">
        <v>2004</v>
      </c>
      <c r="I2766" s="22" t="s">
        <v>115</v>
      </c>
      <c r="J2766" s="20">
        <v>74</v>
      </c>
      <c r="K2766" s="20">
        <f>Sales!$B2766-Sales!$J2766</f>
        <v>26</v>
      </c>
      <c r="L2766" s="23">
        <f>(Sales!$J2766-Sales!$B2766)/Sales!$J2766</f>
        <v>-0.35135135135135137</v>
      </c>
      <c r="M2766" s="23" t="str">
        <f t="shared" si="43"/>
        <v>Below 0%</v>
      </c>
      <c r="N2766" s="22" t="s">
        <v>40</v>
      </c>
      <c r="O2766" s="22" t="s">
        <v>27</v>
      </c>
      <c r="P2766" s="22" t="s">
        <v>28</v>
      </c>
      <c r="Q2766" s="22" t="s">
        <v>19</v>
      </c>
    </row>
    <row r="2767" spans="1:17" x14ac:dyDescent="0.3">
      <c r="A2767" s="27">
        <v>45</v>
      </c>
      <c r="B2767" s="24">
        <v>55.62</v>
      </c>
      <c r="C2767" s="25">
        <f>Sales!$B2767*Sales!$A2767</f>
        <v>2502.9</v>
      </c>
      <c r="D2767" s="26">
        <v>38383</v>
      </c>
      <c r="E2767" s="27" t="s">
        <v>9</v>
      </c>
      <c r="F2767" s="27">
        <v>1</v>
      </c>
      <c r="G2767" s="27">
        <v>1</v>
      </c>
      <c r="H2767" s="27">
        <v>2005</v>
      </c>
      <c r="I2767" s="27" t="s">
        <v>115</v>
      </c>
      <c r="J2767" s="25">
        <v>74</v>
      </c>
      <c r="K2767" s="25">
        <f>Sales!$B2767-Sales!$J2767</f>
        <v>-18.380000000000003</v>
      </c>
      <c r="L2767" s="28">
        <f>(Sales!$J2767-Sales!$B2767)/Sales!$J2767</f>
        <v>0.24837837837837842</v>
      </c>
      <c r="M2767" s="28" t="str">
        <f t="shared" si="43"/>
        <v>+20%</v>
      </c>
      <c r="N2767" s="27" t="s">
        <v>85</v>
      </c>
      <c r="O2767" s="27" t="s">
        <v>34</v>
      </c>
      <c r="P2767" s="27" t="s">
        <v>17</v>
      </c>
      <c r="Q2767" s="27" t="s">
        <v>14</v>
      </c>
    </row>
    <row r="2768" spans="1:17" x14ac:dyDescent="0.3">
      <c r="A2768" s="22">
        <v>44</v>
      </c>
      <c r="B2768" s="19">
        <v>86.4</v>
      </c>
      <c r="C2768" s="20">
        <f>Sales!$B2768*Sales!$A2768</f>
        <v>3801.6000000000004</v>
      </c>
      <c r="D2768" s="21">
        <v>38412</v>
      </c>
      <c r="E2768" s="22" t="s">
        <v>88</v>
      </c>
      <c r="F2768" s="22">
        <v>1</v>
      </c>
      <c r="G2768" s="22">
        <v>3</v>
      </c>
      <c r="H2768" s="22">
        <v>2005</v>
      </c>
      <c r="I2768" s="22" t="s">
        <v>115</v>
      </c>
      <c r="J2768" s="20">
        <v>74</v>
      </c>
      <c r="K2768" s="20">
        <f>Sales!$B2768-Sales!$J2768</f>
        <v>12.400000000000006</v>
      </c>
      <c r="L2768" s="23">
        <f>(Sales!$J2768-Sales!$B2768)/Sales!$J2768</f>
        <v>-0.16756756756756763</v>
      </c>
      <c r="M2768" s="23" t="str">
        <f t="shared" si="43"/>
        <v>Below 0%</v>
      </c>
      <c r="N2768" s="22" t="s">
        <v>45</v>
      </c>
      <c r="O2768" s="22" t="s">
        <v>46</v>
      </c>
      <c r="P2768" s="22" t="s">
        <v>17</v>
      </c>
      <c r="Q2768" s="22" t="s">
        <v>19</v>
      </c>
    </row>
    <row r="2769" spans="1:17" x14ac:dyDescent="0.3">
      <c r="A2769" s="27">
        <v>36</v>
      </c>
      <c r="B2769" s="24">
        <v>87.36</v>
      </c>
      <c r="C2769" s="25">
        <f>Sales!$B2769*Sales!$A2769</f>
        <v>3144.96</v>
      </c>
      <c r="D2769" s="26">
        <v>38441</v>
      </c>
      <c r="E2769" s="27" t="s">
        <v>9</v>
      </c>
      <c r="F2769" s="27">
        <v>1</v>
      </c>
      <c r="G2769" s="27">
        <v>3</v>
      </c>
      <c r="H2769" s="27">
        <v>2005</v>
      </c>
      <c r="I2769" s="27" t="s">
        <v>115</v>
      </c>
      <c r="J2769" s="25">
        <v>74</v>
      </c>
      <c r="K2769" s="25">
        <f>Sales!$B2769-Sales!$J2769</f>
        <v>13.36</v>
      </c>
      <c r="L2769" s="28">
        <f>(Sales!$J2769-Sales!$B2769)/Sales!$J2769</f>
        <v>-0.18054054054054053</v>
      </c>
      <c r="M2769" s="28" t="str">
        <f t="shared" si="43"/>
        <v>Below 0%</v>
      </c>
      <c r="N2769" s="27" t="s">
        <v>15</v>
      </c>
      <c r="O2769" s="27" t="s">
        <v>16</v>
      </c>
      <c r="P2769" s="27" t="s">
        <v>17</v>
      </c>
      <c r="Q2769" s="27" t="s">
        <v>19</v>
      </c>
    </row>
    <row r="2770" spans="1:17" x14ac:dyDescent="0.3">
      <c r="A2770" s="22">
        <v>28</v>
      </c>
      <c r="B2770" s="19">
        <v>72.55</v>
      </c>
      <c r="C2770" s="20">
        <f>Sales!$B2770*Sales!$A2770</f>
        <v>2031.3999999999999</v>
      </c>
      <c r="D2770" s="21">
        <v>38445</v>
      </c>
      <c r="E2770" s="22" t="s">
        <v>87</v>
      </c>
      <c r="F2770" s="22">
        <v>2</v>
      </c>
      <c r="G2770" s="22">
        <v>4</v>
      </c>
      <c r="H2770" s="22">
        <v>2005</v>
      </c>
      <c r="I2770" s="22" t="s">
        <v>115</v>
      </c>
      <c r="J2770" s="20">
        <v>74</v>
      </c>
      <c r="K2770" s="20">
        <f>Sales!$B2770-Sales!$J2770</f>
        <v>-1.4500000000000028</v>
      </c>
      <c r="L2770" s="23">
        <f>(Sales!$J2770-Sales!$B2770)/Sales!$J2770</f>
        <v>1.9594594594594634E-2</v>
      </c>
      <c r="M2770" s="23" t="str">
        <f t="shared" si="43"/>
        <v>0%-5%</v>
      </c>
      <c r="N2770" s="22" t="s">
        <v>29</v>
      </c>
      <c r="O2770" s="22" t="s">
        <v>12</v>
      </c>
      <c r="P2770" s="22" t="s">
        <v>13</v>
      </c>
      <c r="Q2770" s="22" t="s">
        <v>14</v>
      </c>
    </row>
    <row r="2771" spans="1:17" x14ac:dyDescent="0.3">
      <c r="A2771" s="27">
        <v>43</v>
      </c>
      <c r="B2771" s="24">
        <v>62.19</v>
      </c>
      <c r="C2771" s="25">
        <f>Sales!$B2771*Sales!$A2771</f>
        <v>2674.17</v>
      </c>
      <c r="D2771" s="26">
        <v>38482</v>
      </c>
      <c r="E2771" s="27" t="s">
        <v>9</v>
      </c>
      <c r="F2771" s="27">
        <v>2</v>
      </c>
      <c r="G2771" s="27">
        <v>5</v>
      </c>
      <c r="H2771" s="27">
        <v>2005</v>
      </c>
      <c r="I2771" s="27" t="s">
        <v>115</v>
      </c>
      <c r="J2771" s="25">
        <v>74</v>
      </c>
      <c r="K2771" s="25">
        <f>Sales!$B2771-Sales!$J2771</f>
        <v>-11.810000000000002</v>
      </c>
      <c r="L2771" s="28">
        <f>(Sales!$J2771-Sales!$B2771)/Sales!$J2771</f>
        <v>0.15959459459459463</v>
      </c>
      <c r="M2771" s="28" t="str">
        <f t="shared" si="43"/>
        <v>15%-20%</v>
      </c>
      <c r="N2771" s="27" t="s">
        <v>97</v>
      </c>
      <c r="O2771" s="27" t="s">
        <v>61</v>
      </c>
      <c r="P2771" s="27" t="s">
        <v>17</v>
      </c>
      <c r="Q2771" s="27" t="s">
        <v>14</v>
      </c>
    </row>
    <row r="2772" spans="1:17" x14ac:dyDescent="0.3">
      <c r="A2772" s="22">
        <v>48</v>
      </c>
      <c r="B2772" s="19">
        <v>52.64</v>
      </c>
      <c r="C2772" s="20">
        <f>Sales!$B2772*Sales!$A2772</f>
        <v>2526.7200000000003</v>
      </c>
      <c r="D2772" s="21">
        <v>37669</v>
      </c>
      <c r="E2772" s="22" t="s">
        <v>9</v>
      </c>
      <c r="F2772" s="22">
        <v>1</v>
      </c>
      <c r="G2772" s="22">
        <v>2</v>
      </c>
      <c r="H2772" s="22">
        <v>2003</v>
      </c>
      <c r="I2772" s="22" t="s">
        <v>115</v>
      </c>
      <c r="J2772" s="20">
        <v>49</v>
      </c>
      <c r="K2772" s="20">
        <f>Sales!$B2772-Sales!$J2772</f>
        <v>3.6400000000000006</v>
      </c>
      <c r="L2772" s="23">
        <f>(Sales!$J2772-Sales!$B2772)/Sales!$J2772</f>
        <v>-7.4285714285714302E-2</v>
      </c>
      <c r="M2772" s="23" t="str">
        <f t="shared" si="43"/>
        <v>Below 0%</v>
      </c>
      <c r="N2772" s="22" t="s">
        <v>113</v>
      </c>
      <c r="O2772" s="22" t="s">
        <v>61</v>
      </c>
      <c r="P2772" s="22" t="s">
        <v>17</v>
      </c>
      <c r="Q2772" s="22" t="s">
        <v>14</v>
      </c>
    </row>
    <row r="2773" spans="1:17" x14ac:dyDescent="0.3">
      <c r="A2773" s="27">
        <v>28</v>
      </c>
      <c r="B2773" s="24">
        <v>48.17</v>
      </c>
      <c r="C2773" s="25">
        <f>Sales!$B2773*Sales!$A2773</f>
        <v>1348.76</v>
      </c>
      <c r="D2773" s="26">
        <v>37739</v>
      </c>
      <c r="E2773" s="27" t="s">
        <v>9</v>
      </c>
      <c r="F2773" s="27">
        <v>2</v>
      </c>
      <c r="G2773" s="27">
        <v>4</v>
      </c>
      <c r="H2773" s="27">
        <v>2003</v>
      </c>
      <c r="I2773" s="27" t="s">
        <v>115</v>
      </c>
      <c r="J2773" s="25">
        <v>49</v>
      </c>
      <c r="K2773" s="25">
        <f>Sales!$B2773-Sales!$J2773</f>
        <v>-0.82999999999999829</v>
      </c>
      <c r="L2773" s="28">
        <f>(Sales!$J2773-Sales!$B2773)/Sales!$J2773</f>
        <v>1.6938775510204045E-2</v>
      </c>
      <c r="M2773" s="28" t="str">
        <f t="shared" si="43"/>
        <v>0%-5%</v>
      </c>
      <c r="N2773" s="27" t="s">
        <v>37</v>
      </c>
      <c r="O2773" s="27" t="s">
        <v>38</v>
      </c>
      <c r="P2773" s="27" t="s">
        <v>17</v>
      </c>
      <c r="Q2773" s="27" t="s">
        <v>14</v>
      </c>
    </row>
    <row r="2774" spans="1:17" x14ac:dyDescent="0.3">
      <c r="A2774" s="22">
        <v>21</v>
      </c>
      <c r="B2774" s="19">
        <v>41.71</v>
      </c>
      <c r="C2774" s="20">
        <f>Sales!$B2774*Sales!$A2774</f>
        <v>875.91</v>
      </c>
      <c r="D2774" s="21">
        <v>37788</v>
      </c>
      <c r="E2774" s="22" t="s">
        <v>9</v>
      </c>
      <c r="F2774" s="22">
        <v>2</v>
      </c>
      <c r="G2774" s="22">
        <v>6</v>
      </c>
      <c r="H2774" s="22">
        <v>2003</v>
      </c>
      <c r="I2774" s="22" t="s">
        <v>115</v>
      </c>
      <c r="J2774" s="20">
        <v>49</v>
      </c>
      <c r="K2774" s="20">
        <f>Sales!$B2774-Sales!$J2774</f>
        <v>-7.2899999999999991</v>
      </c>
      <c r="L2774" s="23">
        <f>(Sales!$J2774-Sales!$B2774)/Sales!$J2774</f>
        <v>0.14877551020408161</v>
      </c>
      <c r="M2774" s="23" t="str">
        <f t="shared" si="43"/>
        <v>10%-15%</v>
      </c>
      <c r="N2774" s="22" t="s">
        <v>105</v>
      </c>
      <c r="O2774" s="22" t="s">
        <v>12</v>
      </c>
      <c r="P2774" s="22" t="s">
        <v>13</v>
      </c>
      <c r="Q2774" s="22" t="s">
        <v>14</v>
      </c>
    </row>
    <row r="2775" spans="1:17" x14ac:dyDescent="0.3">
      <c r="A2775" s="27">
        <v>37</v>
      </c>
      <c r="B2775" s="24">
        <v>50.65</v>
      </c>
      <c r="C2775" s="25">
        <f>Sales!$B2775*Sales!$A2775</f>
        <v>1874.05</v>
      </c>
      <c r="D2775" s="26">
        <v>37843</v>
      </c>
      <c r="E2775" s="27" t="s">
        <v>9</v>
      </c>
      <c r="F2775" s="27">
        <v>3</v>
      </c>
      <c r="G2775" s="27">
        <v>8</v>
      </c>
      <c r="H2775" s="27">
        <v>2003</v>
      </c>
      <c r="I2775" s="27" t="s">
        <v>115</v>
      </c>
      <c r="J2775" s="25">
        <v>49</v>
      </c>
      <c r="K2775" s="25">
        <f>Sales!$B2775-Sales!$J2775</f>
        <v>1.6499999999999986</v>
      </c>
      <c r="L2775" s="28">
        <f>(Sales!$J2775-Sales!$B2775)/Sales!$J2775</f>
        <v>-3.3673469387755076E-2</v>
      </c>
      <c r="M2775" s="28" t="str">
        <f t="shared" si="43"/>
        <v>Below 0%</v>
      </c>
      <c r="N2775" s="27" t="s">
        <v>41</v>
      </c>
      <c r="O2775" s="27" t="s">
        <v>12</v>
      </c>
      <c r="P2775" s="27" t="s">
        <v>13</v>
      </c>
      <c r="Q2775" s="27" t="s">
        <v>14</v>
      </c>
    </row>
    <row r="2776" spans="1:17" x14ac:dyDescent="0.3">
      <c r="A2776" s="22">
        <v>34</v>
      </c>
      <c r="B2776" s="19">
        <v>49.16</v>
      </c>
      <c r="C2776" s="20">
        <f>Sales!$B2776*Sales!$A2776</f>
        <v>1671.4399999999998</v>
      </c>
      <c r="D2776" s="21">
        <v>37900</v>
      </c>
      <c r="E2776" s="22" t="s">
        <v>9</v>
      </c>
      <c r="F2776" s="22">
        <v>4</v>
      </c>
      <c r="G2776" s="22">
        <v>10</v>
      </c>
      <c r="H2776" s="22">
        <v>2003</v>
      </c>
      <c r="I2776" s="22" t="s">
        <v>115</v>
      </c>
      <c r="J2776" s="20">
        <v>49</v>
      </c>
      <c r="K2776" s="20">
        <f>Sales!$B2776-Sales!$J2776</f>
        <v>0.15999999999999659</v>
      </c>
      <c r="L2776" s="23">
        <f>(Sales!$J2776-Sales!$B2776)/Sales!$J2776</f>
        <v>-3.2653061224489099E-3</v>
      </c>
      <c r="M2776" s="23" t="s">
        <v>130</v>
      </c>
      <c r="N2776" s="22" t="s">
        <v>33</v>
      </c>
      <c r="O2776" s="22" t="s">
        <v>34</v>
      </c>
      <c r="P2776" s="22" t="s">
        <v>17</v>
      </c>
      <c r="Q2776" s="22" t="s">
        <v>14</v>
      </c>
    </row>
    <row r="2777" spans="1:17" x14ac:dyDescent="0.3">
      <c r="A2777" s="27">
        <v>40</v>
      </c>
      <c r="B2777" s="24">
        <v>41.71</v>
      </c>
      <c r="C2777" s="25">
        <f>Sales!$B2777*Sales!$A2777</f>
        <v>1668.4</v>
      </c>
      <c r="D2777" s="26">
        <v>37917</v>
      </c>
      <c r="E2777" s="27" t="s">
        <v>75</v>
      </c>
      <c r="F2777" s="27">
        <v>4</v>
      </c>
      <c r="G2777" s="27">
        <v>10</v>
      </c>
      <c r="H2777" s="27">
        <v>2003</v>
      </c>
      <c r="I2777" s="27" t="s">
        <v>115</v>
      </c>
      <c r="J2777" s="25">
        <v>49</v>
      </c>
      <c r="K2777" s="25">
        <f>Sales!$B2777-Sales!$J2777</f>
        <v>-7.2899999999999991</v>
      </c>
      <c r="L2777" s="28">
        <f>(Sales!$J2777-Sales!$B2777)/Sales!$J2777</f>
        <v>0.14877551020408161</v>
      </c>
      <c r="M2777" s="28" t="str">
        <f t="shared" si="43"/>
        <v>10%-15%</v>
      </c>
      <c r="N2777" s="27" t="s">
        <v>62</v>
      </c>
      <c r="O2777" s="27" t="s">
        <v>49</v>
      </c>
      <c r="P2777" s="27" t="s">
        <v>17</v>
      </c>
      <c r="Q2777" s="27" t="s">
        <v>14</v>
      </c>
    </row>
    <row r="2778" spans="1:17" x14ac:dyDescent="0.3">
      <c r="A2778" s="22">
        <v>45</v>
      </c>
      <c r="B2778" s="19">
        <v>51.15</v>
      </c>
      <c r="C2778" s="20">
        <f>Sales!$B2778*Sales!$A2778</f>
        <v>2301.75</v>
      </c>
      <c r="D2778" s="21">
        <v>37933</v>
      </c>
      <c r="E2778" s="22" t="s">
        <v>9</v>
      </c>
      <c r="F2778" s="22">
        <v>4</v>
      </c>
      <c r="G2778" s="22">
        <v>11</v>
      </c>
      <c r="H2778" s="22">
        <v>2003</v>
      </c>
      <c r="I2778" s="22" t="s">
        <v>115</v>
      </c>
      <c r="J2778" s="20">
        <v>49</v>
      </c>
      <c r="K2778" s="20">
        <f>Sales!$B2778-Sales!$J2778</f>
        <v>2.1499999999999986</v>
      </c>
      <c r="L2778" s="23">
        <f>(Sales!$J2778-Sales!$B2778)/Sales!$J2778</f>
        <v>-4.3877551020408134E-2</v>
      </c>
      <c r="M2778" s="23" t="str">
        <f t="shared" si="43"/>
        <v>Below 0%</v>
      </c>
      <c r="N2778" s="22" t="s">
        <v>76</v>
      </c>
      <c r="O2778" s="22" t="s">
        <v>16</v>
      </c>
      <c r="P2778" s="22" t="s">
        <v>17</v>
      </c>
      <c r="Q2778" s="22" t="s">
        <v>14</v>
      </c>
    </row>
    <row r="2779" spans="1:17" x14ac:dyDescent="0.3">
      <c r="A2779" s="27">
        <v>28</v>
      </c>
      <c r="B2779" s="24">
        <v>52.14</v>
      </c>
      <c r="C2779" s="25">
        <f>Sales!$B2779*Sales!$A2779</f>
        <v>1459.92</v>
      </c>
      <c r="D2779" s="26">
        <v>37939</v>
      </c>
      <c r="E2779" s="27" t="s">
        <v>9</v>
      </c>
      <c r="F2779" s="27">
        <v>4</v>
      </c>
      <c r="G2779" s="27">
        <v>11</v>
      </c>
      <c r="H2779" s="27">
        <v>2003</v>
      </c>
      <c r="I2779" s="27" t="s">
        <v>115</v>
      </c>
      <c r="J2779" s="25">
        <v>49</v>
      </c>
      <c r="K2779" s="25">
        <f>Sales!$B2779-Sales!$J2779</f>
        <v>3.1400000000000006</v>
      </c>
      <c r="L2779" s="28">
        <f>(Sales!$J2779-Sales!$B2779)/Sales!$J2779</f>
        <v>-6.408163265306123E-2</v>
      </c>
      <c r="M2779" s="28" t="str">
        <f t="shared" si="43"/>
        <v>Below 0%</v>
      </c>
      <c r="N2779" s="27" t="s">
        <v>74</v>
      </c>
      <c r="O2779" s="27" t="s">
        <v>43</v>
      </c>
      <c r="P2779" s="27" t="s">
        <v>17</v>
      </c>
      <c r="Q2779" s="27" t="s">
        <v>14</v>
      </c>
    </row>
    <row r="2780" spans="1:17" x14ac:dyDescent="0.3">
      <c r="A2780" s="22">
        <v>29</v>
      </c>
      <c r="B2780" s="19">
        <v>41.71</v>
      </c>
      <c r="C2780" s="20">
        <f>Sales!$B2780*Sales!$A2780</f>
        <v>1209.5899999999999</v>
      </c>
      <c r="D2780" s="21">
        <v>37951</v>
      </c>
      <c r="E2780" s="22" t="s">
        <v>9</v>
      </c>
      <c r="F2780" s="22">
        <v>4</v>
      </c>
      <c r="G2780" s="22">
        <v>11</v>
      </c>
      <c r="H2780" s="22">
        <v>2003</v>
      </c>
      <c r="I2780" s="22" t="s">
        <v>115</v>
      </c>
      <c r="J2780" s="20">
        <v>49</v>
      </c>
      <c r="K2780" s="20">
        <f>Sales!$B2780-Sales!$J2780</f>
        <v>-7.2899999999999991</v>
      </c>
      <c r="L2780" s="23">
        <f>(Sales!$J2780-Sales!$B2780)/Sales!$J2780</f>
        <v>0.14877551020408161</v>
      </c>
      <c r="M2780" s="23" t="str">
        <f t="shared" si="43"/>
        <v>10%-15%</v>
      </c>
      <c r="N2780" s="22" t="s">
        <v>77</v>
      </c>
      <c r="O2780" s="22" t="s">
        <v>46</v>
      </c>
      <c r="P2780" s="22" t="s">
        <v>17</v>
      </c>
      <c r="Q2780" s="22" t="s">
        <v>14</v>
      </c>
    </row>
    <row r="2781" spans="1:17" x14ac:dyDescent="0.3">
      <c r="A2781" s="27">
        <v>48</v>
      </c>
      <c r="B2781" s="24">
        <v>44.69</v>
      </c>
      <c r="C2781" s="25">
        <f>Sales!$B2781*Sales!$A2781</f>
        <v>2145.12</v>
      </c>
      <c r="D2781" s="26">
        <v>37995</v>
      </c>
      <c r="E2781" s="27" t="s">
        <v>9</v>
      </c>
      <c r="F2781" s="27">
        <v>1</v>
      </c>
      <c r="G2781" s="27">
        <v>1</v>
      </c>
      <c r="H2781" s="27">
        <v>2004</v>
      </c>
      <c r="I2781" s="27" t="s">
        <v>115</v>
      </c>
      <c r="J2781" s="25">
        <v>49</v>
      </c>
      <c r="K2781" s="25">
        <f>Sales!$B2781-Sales!$J2781</f>
        <v>-4.3100000000000023</v>
      </c>
      <c r="L2781" s="28">
        <f>(Sales!$J2781-Sales!$B2781)/Sales!$J2781</f>
        <v>8.7959183673469429E-2</v>
      </c>
      <c r="M2781" s="28" t="str">
        <f t="shared" si="43"/>
        <v>5%-10%</v>
      </c>
      <c r="N2781" s="27" t="s">
        <v>78</v>
      </c>
      <c r="O2781" s="27" t="s">
        <v>12</v>
      </c>
      <c r="P2781" s="27" t="s">
        <v>13</v>
      </c>
      <c r="Q2781" s="27" t="s">
        <v>14</v>
      </c>
    </row>
    <row r="2782" spans="1:17" x14ac:dyDescent="0.3">
      <c r="A2782" s="22">
        <v>31</v>
      </c>
      <c r="B2782" s="19">
        <v>45.69</v>
      </c>
      <c r="C2782" s="20">
        <f>Sales!$B2782*Sales!$A2782</f>
        <v>1416.3899999999999</v>
      </c>
      <c r="D2782" s="21">
        <v>38036</v>
      </c>
      <c r="E2782" s="22" t="s">
        <v>9</v>
      </c>
      <c r="F2782" s="22">
        <v>1</v>
      </c>
      <c r="G2782" s="22">
        <v>2</v>
      </c>
      <c r="H2782" s="22">
        <v>2004</v>
      </c>
      <c r="I2782" s="22" t="s">
        <v>115</v>
      </c>
      <c r="J2782" s="20">
        <v>49</v>
      </c>
      <c r="K2782" s="20">
        <f>Sales!$B2782-Sales!$J2782</f>
        <v>-3.3100000000000023</v>
      </c>
      <c r="L2782" s="23">
        <f>(Sales!$J2782-Sales!$B2782)/Sales!$J2782</f>
        <v>6.7551020408163312E-2</v>
      </c>
      <c r="M2782" s="23" t="str">
        <f t="shared" si="43"/>
        <v>5%-10%</v>
      </c>
      <c r="N2782" s="22" t="s">
        <v>79</v>
      </c>
      <c r="O2782" s="22" t="s">
        <v>12</v>
      </c>
      <c r="P2782" s="22" t="s">
        <v>13</v>
      </c>
      <c r="Q2782" s="22" t="s">
        <v>14</v>
      </c>
    </row>
    <row r="2783" spans="1:17" x14ac:dyDescent="0.3">
      <c r="A2783" s="27">
        <v>32</v>
      </c>
      <c r="B2783" s="24">
        <v>57.61</v>
      </c>
      <c r="C2783" s="25">
        <f>Sales!$B2783*Sales!$A2783</f>
        <v>1843.52</v>
      </c>
      <c r="D2783" s="26">
        <v>38115</v>
      </c>
      <c r="E2783" s="27" t="s">
        <v>9</v>
      </c>
      <c r="F2783" s="27">
        <v>2</v>
      </c>
      <c r="G2783" s="27">
        <v>5</v>
      </c>
      <c r="H2783" s="27">
        <v>2004</v>
      </c>
      <c r="I2783" s="27" t="s">
        <v>115</v>
      </c>
      <c r="J2783" s="25">
        <v>49</v>
      </c>
      <c r="K2783" s="25">
        <f>Sales!$B2783-Sales!$J2783</f>
        <v>8.61</v>
      </c>
      <c r="L2783" s="28">
        <f>(Sales!$J2783-Sales!$B2783)/Sales!$J2783</f>
        <v>-0.17571428571428571</v>
      </c>
      <c r="M2783" s="28" t="str">
        <f t="shared" si="43"/>
        <v>Below 0%</v>
      </c>
      <c r="N2783" s="27" t="s">
        <v>32</v>
      </c>
      <c r="O2783" s="27" t="s">
        <v>12</v>
      </c>
      <c r="P2783" s="27" t="s">
        <v>13</v>
      </c>
      <c r="Q2783" s="27" t="s">
        <v>14</v>
      </c>
    </row>
    <row r="2784" spans="1:17" x14ac:dyDescent="0.3">
      <c r="A2784" s="22">
        <v>21</v>
      </c>
      <c r="B2784" s="19">
        <v>57.11</v>
      </c>
      <c r="C2784" s="20">
        <f>Sales!$B2784*Sales!$A2784</f>
        <v>1199.31</v>
      </c>
      <c r="D2784" s="21">
        <v>38162</v>
      </c>
      <c r="E2784" s="22" t="s">
        <v>75</v>
      </c>
      <c r="F2784" s="22">
        <v>2</v>
      </c>
      <c r="G2784" s="22">
        <v>6</v>
      </c>
      <c r="H2784" s="22">
        <v>2004</v>
      </c>
      <c r="I2784" s="22" t="s">
        <v>115</v>
      </c>
      <c r="J2784" s="20">
        <v>49</v>
      </c>
      <c r="K2784" s="20">
        <f>Sales!$B2784-Sales!$J2784</f>
        <v>8.11</v>
      </c>
      <c r="L2784" s="23">
        <f>(Sales!$J2784-Sales!$B2784)/Sales!$J2784</f>
        <v>-0.16551020408163264</v>
      </c>
      <c r="M2784" s="23" t="str">
        <f t="shared" si="43"/>
        <v>Below 0%</v>
      </c>
      <c r="N2784" s="22" t="s">
        <v>45</v>
      </c>
      <c r="O2784" s="22" t="s">
        <v>46</v>
      </c>
      <c r="P2784" s="22" t="s">
        <v>17</v>
      </c>
      <c r="Q2784" s="22" t="s">
        <v>14</v>
      </c>
    </row>
    <row r="2785" spans="1:17" x14ac:dyDescent="0.3">
      <c r="A2785" s="27">
        <v>32</v>
      </c>
      <c r="B2785" s="24">
        <v>58.6</v>
      </c>
      <c r="C2785" s="25">
        <f>Sales!$B2785*Sales!$A2785</f>
        <v>1875.2</v>
      </c>
      <c r="D2785" s="26">
        <v>38189</v>
      </c>
      <c r="E2785" s="27" t="s">
        <v>9</v>
      </c>
      <c r="F2785" s="27">
        <v>3</v>
      </c>
      <c r="G2785" s="27">
        <v>7</v>
      </c>
      <c r="H2785" s="27">
        <v>2004</v>
      </c>
      <c r="I2785" s="27" t="s">
        <v>115</v>
      </c>
      <c r="J2785" s="25">
        <v>49</v>
      </c>
      <c r="K2785" s="25">
        <f>Sales!$B2785-Sales!$J2785</f>
        <v>9.6000000000000014</v>
      </c>
      <c r="L2785" s="28">
        <f>(Sales!$J2785-Sales!$B2785)/Sales!$J2785</f>
        <v>-0.19591836734693879</v>
      </c>
      <c r="M2785" s="28" t="str">
        <f t="shared" si="43"/>
        <v>Below 0%</v>
      </c>
      <c r="N2785" s="27" t="s">
        <v>66</v>
      </c>
      <c r="O2785" s="27" t="s">
        <v>12</v>
      </c>
      <c r="P2785" s="27" t="s">
        <v>13</v>
      </c>
      <c r="Q2785" s="27" t="s">
        <v>14</v>
      </c>
    </row>
    <row r="2786" spans="1:17" x14ac:dyDescent="0.3">
      <c r="A2786" s="22">
        <v>43</v>
      </c>
      <c r="B2786" s="19">
        <v>57.61</v>
      </c>
      <c r="C2786" s="20">
        <f>Sales!$B2786*Sales!$A2786</f>
        <v>2477.23</v>
      </c>
      <c r="D2786" s="21">
        <v>38219</v>
      </c>
      <c r="E2786" s="22" t="s">
        <v>9</v>
      </c>
      <c r="F2786" s="22">
        <v>3</v>
      </c>
      <c r="G2786" s="22">
        <v>8</v>
      </c>
      <c r="H2786" s="22">
        <v>2004</v>
      </c>
      <c r="I2786" s="22" t="s">
        <v>115</v>
      </c>
      <c r="J2786" s="20">
        <v>49</v>
      </c>
      <c r="K2786" s="20">
        <f>Sales!$B2786-Sales!$J2786</f>
        <v>8.61</v>
      </c>
      <c r="L2786" s="23">
        <f>(Sales!$J2786-Sales!$B2786)/Sales!$J2786</f>
        <v>-0.17571428571428571</v>
      </c>
      <c r="M2786" s="23" t="str">
        <f t="shared" si="43"/>
        <v>Below 0%</v>
      </c>
      <c r="N2786" s="22" t="s">
        <v>82</v>
      </c>
      <c r="O2786" s="22" t="s">
        <v>56</v>
      </c>
      <c r="P2786" s="22" t="s">
        <v>13</v>
      </c>
      <c r="Q2786" s="22" t="s">
        <v>14</v>
      </c>
    </row>
    <row r="2787" spans="1:17" x14ac:dyDescent="0.3">
      <c r="A2787" s="27">
        <v>21</v>
      </c>
      <c r="B2787" s="24">
        <v>45.19</v>
      </c>
      <c r="C2787" s="25">
        <f>Sales!$B2787*Sales!$A2787</f>
        <v>948.99</v>
      </c>
      <c r="D2787" s="26">
        <v>38245</v>
      </c>
      <c r="E2787" s="27" t="s">
        <v>9</v>
      </c>
      <c r="F2787" s="27">
        <v>3</v>
      </c>
      <c r="G2787" s="27">
        <v>9</v>
      </c>
      <c r="H2787" s="27">
        <v>2004</v>
      </c>
      <c r="I2787" s="27" t="s">
        <v>115</v>
      </c>
      <c r="J2787" s="25">
        <v>49</v>
      </c>
      <c r="K2787" s="25">
        <f>Sales!$B2787-Sales!$J2787</f>
        <v>-3.8100000000000023</v>
      </c>
      <c r="L2787" s="28">
        <f>(Sales!$J2787-Sales!$B2787)/Sales!$J2787</f>
        <v>7.7755102040816371E-2</v>
      </c>
      <c r="M2787" s="28" t="str">
        <f t="shared" si="43"/>
        <v>5%-10%</v>
      </c>
      <c r="N2787" s="27" t="s">
        <v>116</v>
      </c>
      <c r="O2787" s="27" t="s">
        <v>94</v>
      </c>
      <c r="P2787" s="27" t="s">
        <v>17</v>
      </c>
      <c r="Q2787" s="27" t="s">
        <v>14</v>
      </c>
    </row>
    <row r="2788" spans="1:17" x14ac:dyDescent="0.3">
      <c r="A2788" s="22">
        <v>34</v>
      </c>
      <c r="B2788" s="19">
        <v>53.63</v>
      </c>
      <c r="C2788" s="20">
        <f>Sales!$B2788*Sales!$A2788</f>
        <v>1823.42</v>
      </c>
      <c r="D2788" s="21">
        <v>38274</v>
      </c>
      <c r="E2788" s="22" t="s">
        <v>9</v>
      </c>
      <c r="F2788" s="22">
        <v>4</v>
      </c>
      <c r="G2788" s="22">
        <v>10</v>
      </c>
      <c r="H2788" s="22">
        <v>2004</v>
      </c>
      <c r="I2788" s="22" t="s">
        <v>115</v>
      </c>
      <c r="J2788" s="20">
        <v>49</v>
      </c>
      <c r="K2788" s="20">
        <f>Sales!$B2788-Sales!$J2788</f>
        <v>4.6300000000000026</v>
      </c>
      <c r="L2788" s="23">
        <f>(Sales!$J2788-Sales!$B2788)/Sales!$J2788</f>
        <v>-9.4489795918367397E-2</v>
      </c>
      <c r="M2788" s="23" t="str">
        <f t="shared" si="43"/>
        <v>Below 0%</v>
      </c>
      <c r="N2788" s="22" t="s">
        <v>53</v>
      </c>
      <c r="O2788" s="22" t="s">
        <v>12</v>
      </c>
      <c r="P2788" s="22" t="s">
        <v>13</v>
      </c>
      <c r="Q2788" s="22" t="s">
        <v>14</v>
      </c>
    </row>
    <row r="2789" spans="1:17" x14ac:dyDescent="0.3">
      <c r="A2789" s="27">
        <v>34</v>
      </c>
      <c r="B2789" s="24">
        <v>43.7</v>
      </c>
      <c r="C2789" s="25">
        <f>Sales!$B2789*Sales!$A2789</f>
        <v>1485.8000000000002</v>
      </c>
      <c r="D2789" s="26">
        <v>38292</v>
      </c>
      <c r="E2789" s="27" t="s">
        <v>9</v>
      </c>
      <c r="F2789" s="27">
        <v>4</v>
      </c>
      <c r="G2789" s="27">
        <v>11</v>
      </c>
      <c r="H2789" s="27">
        <v>2004</v>
      </c>
      <c r="I2789" s="27" t="s">
        <v>115</v>
      </c>
      <c r="J2789" s="25">
        <v>49</v>
      </c>
      <c r="K2789" s="25">
        <f>Sales!$B2789-Sales!$J2789</f>
        <v>-5.2999999999999972</v>
      </c>
      <c r="L2789" s="28">
        <f>(Sales!$J2789-Sales!$B2789)/Sales!$J2789</f>
        <v>0.10816326530612239</v>
      </c>
      <c r="M2789" s="28" t="str">
        <f t="shared" si="43"/>
        <v>10%-15%</v>
      </c>
      <c r="N2789" s="27" t="s">
        <v>84</v>
      </c>
      <c r="O2789" s="27" t="s">
        <v>43</v>
      </c>
      <c r="P2789" s="27" t="s">
        <v>17</v>
      </c>
      <c r="Q2789" s="27" t="s">
        <v>14</v>
      </c>
    </row>
    <row r="2790" spans="1:17" x14ac:dyDescent="0.3">
      <c r="A2790" s="22">
        <v>44</v>
      </c>
      <c r="B2790" s="19">
        <v>86.13</v>
      </c>
      <c r="C2790" s="20">
        <f>Sales!$B2790*Sales!$A2790</f>
        <v>3789.72</v>
      </c>
      <c r="D2790" s="21">
        <v>38306</v>
      </c>
      <c r="E2790" s="22" t="s">
        <v>9</v>
      </c>
      <c r="F2790" s="22">
        <v>4</v>
      </c>
      <c r="G2790" s="22">
        <v>11</v>
      </c>
      <c r="H2790" s="22">
        <v>2004</v>
      </c>
      <c r="I2790" s="22" t="s">
        <v>115</v>
      </c>
      <c r="J2790" s="20">
        <v>49</v>
      </c>
      <c r="K2790" s="20">
        <f>Sales!$B2790-Sales!$J2790</f>
        <v>37.129999999999995</v>
      </c>
      <c r="L2790" s="23">
        <f>(Sales!$J2790-Sales!$B2790)/Sales!$J2790</f>
        <v>-0.7577551020408162</v>
      </c>
      <c r="M2790" s="23" t="str">
        <f t="shared" si="43"/>
        <v>Below 0%</v>
      </c>
      <c r="N2790" s="22" t="s">
        <v>11</v>
      </c>
      <c r="O2790" s="22" t="s">
        <v>12</v>
      </c>
      <c r="P2790" s="22" t="s">
        <v>13</v>
      </c>
      <c r="Q2790" s="22" t="s">
        <v>19</v>
      </c>
    </row>
    <row r="2791" spans="1:17" x14ac:dyDescent="0.3">
      <c r="A2791" s="27">
        <v>27</v>
      </c>
      <c r="B2791" s="24">
        <v>76.31</v>
      </c>
      <c r="C2791" s="25">
        <f>Sales!$B2791*Sales!$A2791</f>
        <v>2060.37</v>
      </c>
      <c r="D2791" s="26">
        <v>38314</v>
      </c>
      <c r="E2791" s="27" t="s">
        <v>9</v>
      </c>
      <c r="F2791" s="27">
        <v>4</v>
      </c>
      <c r="G2791" s="27">
        <v>11</v>
      </c>
      <c r="H2791" s="27">
        <v>2004</v>
      </c>
      <c r="I2791" s="27" t="s">
        <v>115</v>
      </c>
      <c r="J2791" s="25">
        <v>49</v>
      </c>
      <c r="K2791" s="25">
        <f>Sales!$B2791-Sales!$J2791</f>
        <v>27.310000000000002</v>
      </c>
      <c r="L2791" s="28">
        <f>(Sales!$J2791-Sales!$B2791)/Sales!$J2791</f>
        <v>-0.55734693877551023</v>
      </c>
      <c r="M2791" s="28" t="str">
        <f t="shared" si="43"/>
        <v>Below 0%</v>
      </c>
      <c r="N2791" s="27" t="s">
        <v>59</v>
      </c>
      <c r="O2791" s="27" t="s">
        <v>51</v>
      </c>
      <c r="P2791" s="27" t="s">
        <v>51</v>
      </c>
      <c r="Q2791" s="27" t="s">
        <v>14</v>
      </c>
    </row>
    <row r="2792" spans="1:17" x14ac:dyDescent="0.3">
      <c r="A2792" s="22">
        <v>49</v>
      </c>
      <c r="B2792" s="19">
        <v>52.64</v>
      </c>
      <c r="C2792" s="20">
        <f>Sales!$B2792*Sales!$A2792</f>
        <v>2579.36</v>
      </c>
      <c r="D2792" s="21">
        <v>38324</v>
      </c>
      <c r="E2792" s="22" t="s">
        <v>9</v>
      </c>
      <c r="F2792" s="22">
        <v>4</v>
      </c>
      <c r="G2792" s="22">
        <v>12</v>
      </c>
      <c r="H2792" s="22">
        <v>2004</v>
      </c>
      <c r="I2792" s="22" t="s">
        <v>115</v>
      </c>
      <c r="J2792" s="20">
        <v>49</v>
      </c>
      <c r="K2792" s="20">
        <f>Sales!$B2792-Sales!$J2792</f>
        <v>3.6400000000000006</v>
      </c>
      <c r="L2792" s="23">
        <f>(Sales!$J2792-Sales!$B2792)/Sales!$J2792</f>
        <v>-7.4285714285714302E-2</v>
      </c>
      <c r="M2792" s="23" t="str">
        <f t="shared" si="43"/>
        <v>Below 0%</v>
      </c>
      <c r="N2792" s="22" t="s">
        <v>66</v>
      </c>
      <c r="O2792" s="22" t="s">
        <v>12</v>
      </c>
      <c r="P2792" s="22" t="s">
        <v>13</v>
      </c>
      <c r="Q2792" s="22" t="s">
        <v>14</v>
      </c>
    </row>
    <row r="2793" spans="1:17" x14ac:dyDescent="0.3">
      <c r="A2793" s="27">
        <v>23</v>
      </c>
      <c r="B2793" s="24">
        <v>95.2</v>
      </c>
      <c r="C2793" s="25">
        <f>Sales!$B2793*Sales!$A2793</f>
        <v>2189.6</v>
      </c>
      <c r="D2793" s="26">
        <v>38338</v>
      </c>
      <c r="E2793" s="27" t="s">
        <v>9</v>
      </c>
      <c r="F2793" s="27">
        <v>4</v>
      </c>
      <c r="G2793" s="27">
        <v>12</v>
      </c>
      <c r="H2793" s="27">
        <v>2004</v>
      </c>
      <c r="I2793" s="27" t="s">
        <v>115</v>
      </c>
      <c r="J2793" s="25">
        <v>49</v>
      </c>
      <c r="K2793" s="25">
        <f>Sales!$B2793-Sales!$J2793</f>
        <v>46.2</v>
      </c>
      <c r="L2793" s="28">
        <f>(Sales!$J2793-Sales!$B2793)/Sales!$J2793</f>
        <v>-0.94285714285714295</v>
      </c>
      <c r="M2793" s="28" t="str">
        <f t="shared" si="43"/>
        <v>Below 0%</v>
      </c>
      <c r="N2793" s="27" t="s">
        <v>40</v>
      </c>
      <c r="O2793" s="27" t="s">
        <v>27</v>
      </c>
      <c r="P2793" s="27" t="s">
        <v>28</v>
      </c>
      <c r="Q2793" s="27" t="s">
        <v>14</v>
      </c>
    </row>
    <row r="2794" spans="1:17" x14ac:dyDescent="0.3">
      <c r="A2794" s="22">
        <v>25</v>
      </c>
      <c r="B2794" s="19">
        <v>64.97</v>
      </c>
      <c r="C2794" s="20">
        <f>Sales!$B2794*Sales!$A2794</f>
        <v>1624.25</v>
      </c>
      <c r="D2794" s="21">
        <v>38383</v>
      </c>
      <c r="E2794" s="22" t="s">
        <v>9</v>
      </c>
      <c r="F2794" s="22">
        <v>1</v>
      </c>
      <c r="G2794" s="22">
        <v>1</v>
      </c>
      <c r="H2794" s="22">
        <v>2005</v>
      </c>
      <c r="I2794" s="22" t="s">
        <v>115</v>
      </c>
      <c r="J2794" s="20">
        <v>49</v>
      </c>
      <c r="K2794" s="20">
        <f>Sales!$B2794-Sales!$J2794</f>
        <v>15.969999999999999</v>
      </c>
      <c r="L2794" s="23">
        <f>(Sales!$J2794-Sales!$B2794)/Sales!$J2794</f>
        <v>-0.32591836734693874</v>
      </c>
      <c r="M2794" s="23" t="str">
        <f t="shared" si="43"/>
        <v>Below 0%</v>
      </c>
      <c r="N2794" s="22" t="s">
        <v>85</v>
      </c>
      <c r="O2794" s="22" t="s">
        <v>34</v>
      </c>
      <c r="P2794" s="22" t="s">
        <v>17</v>
      </c>
      <c r="Q2794" s="22" t="s">
        <v>14</v>
      </c>
    </row>
    <row r="2795" spans="1:17" x14ac:dyDescent="0.3">
      <c r="A2795" s="27">
        <v>50</v>
      </c>
      <c r="B2795" s="24">
        <v>87.15</v>
      </c>
      <c r="C2795" s="25">
        <f>Sales!$B2795*Sales!$A2795</f>
        <v>4357.5</v>
      </c>
      <c r="D2795" s="26">
        <v>38412</v>
      </c>
      <c r="E2795" s="27" t="s">
        <v>88</v>
      </c>
      <c r="F2795" s="27">
        <v>1</v>
      </c>
      <c r="G2795" s="27">
        <v>3</v>
      </c>
      <c r="H2795" s="27">
        <v>2005</v>
      </c>
      <c r="I2795" s="27" t="s">
        <v>115</v>
      </c>
      <c r="J2795" s="25">
        <v>49</v>
      </c>
      <c r="K2795" s="25">
        <f>Sales!$B2795-Sales!$J2795</f>
        <v>38.150000000000006</v>
      </c>
      <c r="L2795" s="28">
        <f>(Sales!$J2795-Sales!$B2795)/Sales!$J2795</f>
        <v>-0.77857142857142869</v>
      </c>
      <c r="M2795" s="28" t="str">
        <f t="shared" si="43"/>
        <v>Below 0%</v>
      </c>
      <c r="N2795" s="27" t="s">
        <v>45</v>
      </c>
      <c r="O2795" s="27" t="s">
        <v>46</v>
      </c>
      <c r="P2795" s="27" t="s">
        <v>17</v>
      </c>
      <c r="Q2795" s="27" t="s">
        <v>19</v>
      </c>
    </row>
    <row r="2796" spans="1:17" x14ac:dyDescent="0.3">
      <c r="A2796" s="22">
        <v>34</v>
      </c>
      <c r="B2796" s="19">
        <v>40.22</v>
      </c>
      <c r="C2796" s="20">
        <f>Sales!$B2796*Sales!$A2796</f>
        <v>1367.48</v>
      </c>
      <c r="D2796" s="21">
        <v>38441</v>
      </c>
      <c r="E2796" s="22" t="s">
        <v>9</v>
      </c>
      <c r="F2796" s="22">
        <v>1</v>
      </c>
      <c r="G2796" s="22">
        <v>3</v>
      </c>
      <c r="H2796" s="22">
        <v>2005</v>
      </c>
      <c r="I2796" s="22" t="s">
        <v>115</v>
      </c>
      <c r="J2796" s="20">
        <v>49</v>
      </c>
      <c r="K2796" s="20">
        <f>Sales!$B2796-Sales!$J2796</f>
        <v>-8.7800000000000011</v>
      </c>
      <c r="L2796" s="23">
        <f>(Sales!$J2796-Sales!$B2796)/Sales!$J2796</f>
        <v>0.17918367346938777</v>
      </c>
      <c r="M2796" s="23" t="str">
        <f t="shared" si="43"/>
        <v>15%-20%</v>
      </c>
      <c r="N2796" s="22" t="s">
        <v>15</v>
      </c>
      <c r="O2796" s="22" t="s">
        <v>16</v>
      </c>
      <c r="P2796" s="22" t="s">
        <v>17</v>
      </c>
      <c r="Q2796" s="22" t="s">
        <v>14</v>
      </c>
    </row>
    <row r="2797" spans="1:17" x14ac:dyDescent="0.3">
      <c r="A2797" s="27">
        <v>20</v>
      </c>
      <c r="B2797" s="24">
        <v>56.12</v>
      </c>
      <c r="C2797" s="25">
        <f>Sales!$B2797*Sales!$A2797</f>
        <v>1122.3999999999999</v>
      </c>
      <c r="D2797" s="26">
        <v>38443</v>
      </c>
      <c r="E2797" s="27" t="s">
        <v>9</v>
      </c>
      <c r="F2797" s="27">
        <v>2</v>
      </c>
      <c r="G2797" s="27">
        <v>4</v>
      </c>
      <c r="H2797" s="27">
        <v>2005</v>
      </c>
      <c r="I2797" s="27" t="s">
        <v>115</v>
      </c>
      <c r="J2797" s="25">
        <v>49</v>
      </c>
      <c r="K2797" s="25">
        <f>Sales!$B2797-Sales!$J2797</f>
        <v>7.1199999999999974</v>
      </c>
      <c r="L2797" s="28">
        <f>(Sales!$J2797-Sales!$B2797)/Sales!$J2797</f>
        <v>-0.14530612244897953</v>
      </c>
      <c r="M2797" s="28" t="str">
        <f t="shared" si="43"/>
        <v>Below 0%</v>
      </c>
      <c r="N2797" s="27" t="s">
        <v>86</v>
      </c>
      <c r="O2797" s="27" t="s">
        <v>12</v>
      </c>
      <c r="P2797" s="27" t="s">
        <v>13</v>
      </c>
      <c r="Q2797" s="27" t="s">
        <v>14</v>
      </c>
    </row>
    <row r="2798" spans="1:17" x14ac:dyDescent="0.3">
      <c r="A2798" s="22">
        <v>42</v>
      </c>
      <c r="B2798" s="19">
        <v>57.61</v>
      </c>
      <c r="C2798" s="20">
        <f>Sales!$B2798*Sales!$A2798</f>
        <v>2419.62</v>
      </c>
      <c r="D2798" s="21">
        <v>38481</v>
      </c>
      <c r="E2798" s="22" t="s">
        <v>44</v>
      </c>
      <c r="F2798" s="22">
        <v>2</v>
      </c>
      <c r="G2798" s="22">
        <v>5</v>
      </c>
      <c r="H2798" s="22">
        <v>2005</v>
      </c>
      <c r="I2798" s="22" t="s">
        <v>115</v>
      </c>
      <c r="J2798" s="20">
        <v>49</v>
      </c>
      <c r="K2798" s="20">
        <f>Sales!$B2798-Sales!$J2798</f>
        <v>8.61</v>
      </c>
      <c r="L2798" s="23">
        <f>(Sales!$J2798-Sales!$B2798)/Sales!$J2798</f>
        <v>-0.17571428571428571</v>
      </c>
      <c r="M2798" s="23" t="str">
        <f t="shared" si="43"/>
        <v>Below 0%</v>
      </c>
      <c r="N2798" s="22" t="s">
        <v>114</v>
      </c>
      <c r="O2798" s="22" t="s">
        <v>27</v>
      </c>
      <c r="P2798" s="22" t="s">
        <v>28</v>
      </c>
      <c r="Q2798" s="22" t="s">
        <v>14</v>
      </c>
    </row>
    <row r="2799" spans="1:17" x14ac:dyDescent="0.3">
      <c r="A2799" s="27">
        <v>25</v>
      </c>
      <c r="B2799" s="24">
        <v>56.78</v>
      </c>
      <c r="C2799" s="25">
        <f>Sales!$B2799*Sales!$A2799</f>
        <v>1419.5</v>
      </c>
      <c r="D2799" s="26">
        <v>37663</v>
      </c>
      <c r="E2799" s="27" t="s">
        <v>9</v>
      </c>
      <c r="F2799" s="27">
        <v>1</v>
      </c>
      <c r="G2799" s="27">
        <v>2</v>
      </c>
      <c r="H2799" s="27">
        <v>2003</v>
      </c>
      <c r="I2799" s="27" t="s">
        <v>118</v>
      </c>
      <c r="J2799" s="25">
        <v>54</v>
      </c>
      <c r="K2799" s="25">
        <f>Sales!$B2799-Sales!$J2799</f>
        <v>2.7800000000000011</v>
      </c>
      <c r="L2799" s="28">
        <f>(Sales!$J2799-Sales!$B2799)/Sales!$J2799</f>
        <v>-5.1481481481481503E-2</v>
      </c>
      <c r="M2799" s="28" t="str">
        <f t="shared" si="43"/>
        <v>Below 0%</v>
      </c>
      <c r="N2799" s="27" t="s">
        <v>72</v>
      </c>
      <c r="O2799" s="27" t="s">
        <v>73</v>
      </c>
      <c r="P2799" s="27" t="s">
        <v>17</v>
      </c>
      <c r="Q2799" s="27" t="s">
        <v>14</v>
      </c>
    </row>
    <row r="2800" spans="1:17" x14ac:dyDescent="0.3">
      <c r="A2800" s="22">
        <v>50</v>
      </c>
      <c r="B2800" s="19">
        <v>43.68</v>
      </c>
      <c r="C2800" s="20">
        <f>Sales!$B2800*Sales!$A2800</f>
        <v>2184</v>
      </c>
      <c r="D2800" s="21">
        <v>37727</v>
      </c>
      <c r="E2800" s="22" t="s">
        <v>9</v>
      </c>
      <c r="F2800" s="22">
        <v>2</v>
      </c>
      <c r="G2800" s="22">
        <v>4</v>
      </c>
      <c r="H2800" s="22">
        <v>2003</v>
      </c>
      <c r="I2800" s="22" t="s">
        <v>118</v>
      </c>
      <c r="J2800" s="20">
        <v>54</v>
      </c>
      <c r="K2800" s="20">
        <f>Sales!$B2800-Sales!$J2800</f>
        <v>-10.32</v>
      </c>
      <c r="L2800" s="23">
        <f>(Sales!$J2800-Sales!$B2800)/Sales!$J2800</f>
        <v>0.19111111111111112</v>
      </c>
      <c r="M2800" s="23" t="str">
        <f t="shared" si="43"/>
        <v>15%-20%</v>
      </c>
      <c r="N2800" s="22" t="s">
        <v>50</v>
      </c>
      <c r="O2800" s="22" t="s">
        <v>50</v>
      </c>
      <c r="P2800" s="22" t="s">
        <v>28</v>
      </c>
      <c r="Q2800" s="22" t="s">
        <v>14</v>
      </c>
    </row>
    <row r="2801" spans="1:17" x14ac:dyDescent="0.3">
      <c r="A2801" s="27">
        <v>32</v>
      </c>
      <c r="B2801" s="24">
        <v>64.97</v>
      </c>
      <c r="C2801" s="25">
        <f>Sales!$B2801*Sales!$A2801</f>
        <v>2079.04</v>
      </c>
      <c r="D2801" s="26">
        <v>37784</v>
      </c>
      <c r="E2801" s="27" t="s">
        <v>9</v>
      </c>
      <c r="F2801" s="27">
        <v>2</v>
      </c>
      <c r="G2801" s="27">
        <v>6</v>
      </c>
      <c r="H2801" s="27">
        <v>2003</v>
      </c>
      <c r="I2801" s="27" t="s">
        <v>118</v>
      </c>
      <c r="J2801" s="25">
        <v>54</v>
      </c>
      <c r="K2801" s="25">
        <f>Sales!$B2801-Sales!$J2801</f>
        <v>10.969999999999999</v>
      </c>
      <c r="L2801" s="28">
        <f>(Sales!$J2801-Sales!$B2801)/Sales!$J2801</f>
        <v>-0.20314814814814813</v>
      </c>
      <c r="M2801" s="28" t="str">
        <f t="shared" si="43"/>
        <v>Below 0%</v>
      </c>
      <c r="N2801" s="27" t="s">
        <v>74</v>
      </c>
      <c r="O2801" s="27" t="s">
        <v>43</v>
      </c>
      <c r="P2801" s="27" t="s">
        <v>17</v>
      </c>
      <c r="Q2801" s="27" t="s">
        <v>14</v>
      </c>
    </row>
    <row r="2802" spans="1:17" x14ac:dyDescent="0.3">
      <c r="A2802" s="22">
        <v>39</v>
      </c>
      <c r="B2802" s="19">
        <v>44.23</v>
      </c>
      <c r="C2802" s="20">
        <f>Sales!$B2802*Sales!$A2802</f>
        <v>1724.9699999999998</v>
      </c>
      <c r="D2802" s="21">
        <v>37841</v>
      </c>
      <c r="E2802" s="22" t="s">
        <v>9</v>
      </c>
      <c r="F2802" s="22">
        <v>3</v>
      </c>
      <c r="G2802" s="22">
        <v>8</v>
      </c>
      <c r="H2802" s="22">
        <v>2003</v>
      </c>
      <c r="I2802" s="22" t="s">
        <v>118</v>
      </c>
      <c r="J2802" s="20">
        <v>54</v>
      </c>
      <c r="K2802" s="20">
        <f>Sales!$B2802-Sales!$J2802</f>
        <v>-9.7700000000000031</v>
      </c>
      <c r="L2802" s="23">
        <f>(Sales!$J2802-Sales!$B2802)/Sales!$J2802</f>
        <v>0.18092592592592599</v>
      </c>
      <c r="M2802" s="23" t="str">
        <f t="shared" si="43"/>
        <v>15%-20%</v>
      </c>
      <c r="N2802" s="22" t="s">
        <v>64</v>
      </c>
      <c r="O2802" s="22" t="s">
        <v>12</v>
      </c>
      <c r="P2802" s="22" t="s">
        <v>13</v>
      </c>
      <c r="Q2802" s="22" t="s">
        <v>14</v>
      </c>
    </row>
    <row r="2803" spans="1:17" x14ac:dyDescent="0.3">
      <c r="A2803" s="27">
        <v>50</v>
      </c>
      <c r="B2803" s="24">
        <v>60.06</v>
      </c>
      <c r="C2803" s="25">
        <f>Sales!$B2803*Sales!$A2803</f>
        <v>3003</v>
      </c>
      <c r="D2803" s="26">
        <v>37892</v>
      </c>
      <c r="E2803" s="27" t="s">
        <v>9</v>
      </c>
      <c r="F2803" s="27">
        <v>3</v>
      </c>
      <c r="G2803" s="27">
        <v>9</v>
      </c>
      <c r="H2803" s="27">
        <v>2003</v>
      </c>
      <c r="I2803" s="27" t="s">
        <v>118</v>
      </c>
      <c r="J2803" s="25">
        <v>54</v>
      </c>
      <c r="K2803" s="25">
        <f>Sales!$B2803-Sales!$J2803</f>
        <v>6.0600000000000023</v>
      </c>
      <c r="L2803" s="28">
        <f>(Sales!$J2803-Sales!$B2803)/Sales!$J2803</f>
        <v>-0.11222222222222226</v>
      </c>
      <c r="M2803" s="28" t="str">
        <f t="shared" si="43"/>
        <v>Below 0%</v>
      </c>
      <c r="N2803" s="27" t="s">
        <v>45</v>
      </c>
      <c r="O2803" s="27" t="s">
        <v>46</v>
      </c>
      <c r="P2803" s="27" t="s">
        <v>17</v>
      </c>
      <c r="Q2803" s="27" t="s">
        <v>19</v>
      </c>
    </row>
    <row r="2804" spans="1:17" x14ac:dyDescent="0.3">
      <c r="A2804" s="22">
        <v>38</v>
      </c>
      <c r="B2804" s="19">
        <v>48.59</v>
      </c>
      <c r="C2804" s="20">
        <f>Sales!$B2804*Sales!$A2804</f>
        <v>1846.42</v>
      </c>
      <c r="D2804" s="21">
        <v>37917</v>
      </c>
      <c r="E2804" s="22" t="s">
        <v>75</v>
      </c>
      <c r="F2804" s="22">
        <v>4</v>
      </c>
      <c r="G2804" s="22">
        <v>10</v>
      </c>
      <c r="H2804" s="22">
        <v>2003</v>
      </c>
      <c r="I2804" s="22" t="s">
        <v>118</v>
      </c>
      <c r="J2804" s="20">
        <v>54</v>
      </c>
      <c r="K2804" s="20">
        <f>Sales!$B2804-Sales!$J2804</f>
        <v>-5.4099999999999966</v>
      </c>
      <c r="L2804" s="23">
        <f>(Sales!$J2804-Sales!$B2804)/Sales!$J2804</f>
        <v>0.10018518518518513</v>
      </c>
      <c r="M2804" s="23" t="s">
        <v>134</v>
      </c>
      <c r="N2804" s="22" t="s">
        <v>62</v>
      </c>
      <c r="O2804" s="22" t="s">
        <v>49</v>
      </c>
      <c r="P2804" s="22" t="s">
        <v>17</v>
      </c>
      <c r="Q2804" s="22" t="s">
        <v>14</v>
      </c>
    </row>
    <row r="2805" spans="1:17" x14ac:dyDescent="0.3">
      <c r="A2805" s="27">
        <v>40</v>
      </c>
      <c r="B2805" s="24">
        <v>50.23</v>
      </c>
      <c r="C2805" s="25">
        <f>Sales!$B2805*Sales!$A2805</f>
        <v>2009.1999999999998</v>
      </c>
      <c r="D2805" s="26">
        <v>37932</v>
      </c>
      <c r="E2805" s="27" t="s">
        <v>9</v>
      </c>
      <c r="F2805" s="27">
        <v>4</v>
      </c>
      <c r="G2805" s="27">
        <v>11</v>
      </c>
      <c r="H2805" s="27">
        <v>2003</v>
      </c>
      <c r="I2805" s="27" t="s">
        <v>118</v>
      </c>
      <c r="J2805" s="25">
        <v>54</v>
      </c>
      <c r="K2805" s="25">
        <f>Sales!$B2805-Sales!$J2805</f>
        <v>-3.7700000000000031</v>
      </c>
      <c r="L2805" s="28">
        <f>(Sales!$J2805-Sales!$B2805)/Sales!$J2805</f>
        <v>6.9814814814814871E-2</v>
      </c>
      <c r="M2805" s="28" t="str">
        <f t="shared" si="43"/>
        <v>5%-10%</v>
      </c>
      <c r="N2805" s="27" t="s">
        <v>45</v>
      </c>
      <c r="O2805" s="27" t="s">
        <v>46</v>
      </c>
      <c r="P2805" s="27" t="s">
        <v>17</v>
      </c>
      <c r="Q2805" s="27" t="s">
        <v>14</v>
      </c>
    </row>
    <row r="2806" spans="1:17" x14ac:dyDescent="0.3">
      <c r="A2806" s="22">
        <v>28</v>
      </c>
      <c r="B2806" s="19">
        <v>64.430000000000007</v>
      </c>
      <c r="C2806" s="20">
        <f>Sales!$B2806*Sales!$A2806</f>
        <v>1804.0400000000002</v>
      </c>
      <c r="D2806" s="21">
        <v>37939</v>
      </c>
      <c r="E2806" s="22" t="s">
        <v>9</v>
      </c>
      <c r="F2806" s="22">
        <v>4</v>
      </c>
      <c r="G2806" s="22">
        <v>11</v>
      </c>
      <c r="H2806" s="22">
        <v>2003</v>
      </c>
      <c r="I2806" s="22" t="s">
        <v>118</v>
      </c>
      <c r="J2806" s="20">
        <v>54</v>
      </c>
      <c r="K2806" s="20">
        <f>Sales!$B2806-Sales!$J2806</f>
        <v>10.430000000000007</v>
      </c>
      <c r="L2806" s="23">
        <f>(Sales!$J2806-Sales!$B2806)/Sales!$J2806</f>
        <v>-0.19314814814814826</v>
      </c>
      <c r="M2806" s="23" t="str">
        <f t="shared" si="43"/>
        <v>Below 0%</v>
      </c>
      <c r="N2806" s="22" t="s">
        <v>41</v>
      </c>
      <c r="O2806" s="22" t="s">
        <v>12</v>
      </c>
      <c r="P2806" s="22" t="s">
        <v>13</v>
      </c>
      <c r="Q2806" s="22" t="s">
        <v>14</v>
      </c>
    </row>
    <row r="2807" spans="1:17" x14ac:dyDescent="0.3">
      <c r="A2807" s="27">
        <v>42</v>
      </c>
      <c r="B2807" s="24">
        <v>50.23</v>
      </c>
      <c r="C2807" s="25">
        <f>Sales!$B2807*Sales!$A2807</f>
        <v>2109.66</v>
      </c>
      <c r="D2807" s="26">
        <v>37951</v>
      </c>
      <c r="E2807" s="27" t="s">
        <v>9</v>
      </c>
      <c r="F2807" s="27">
        <v>4</v>
      </c>
      <c r="G2807" s="27">
        <v>11</v>
      </c>
      <c r="H2807" s="27">
        <v>2003</v>
      </c>
      <c r="I2807" s="27" t="s">
        <v>118</v>
      </c>
      <c r="J2807" s="25">
        <v>54</v>
      </c>
      <c r="K2807" s="25">
        <f>Sales!$B2807-Sales!$J2807</f>
        <v>-3.7700000000000031</v>
      </c>
      <c r="L2807" s="28">
        <f>(Sales!$J2807-Sales!$B2807)/Sales!$J2807</f>
        <v>6.9814814814814871E-2</v>
      </c>
      <c r="M2807" s="28" t="str">
        <f t="shared" si="43"/>
        <v>5%-10%</v>
      </c>
      <c r="N2807" s="27" t="s">
        <v>77</v>
      </c>
      <c r="O2807" s="27" t="s">
        <v>46</v>
      </c>
      <c r="P2807" s="27" t="s">
        <v>17</v>
      </c>
      <c r="Q2807" s="27" t="s">
        <v>14</v>
      </c>
    </row>
    <row r="2808" spans="1:17" x14ac:dyDescent="0.3">
      <c r="A2808" s="22">
        <v>42</v>
      </c>
      <c r="B2808" s="19">
        <v>63.88</v>
      </c>
      <c r="C2808" s="20">
        <f>Sales!$B2808*Sales!$A2808</f>
        <v>2682.96</v>
      </c>
      <c r="D2808" s="21">
        <v>37988</v>
      </c>
      <c r="E2808" s="22" t="s">
        <v>9</v>
      </c>
      <c r="F2808" s="22">
        <v>1</v>
      </c>
      <c r="G2808" s="22">
        <v>1</v>
      </c>
      <c r="H2808" s="22">
        <v>2004</v>
      </c>
      <c r="I2808" s="22" t="s">
        <v>118</v>
      </c>
      <c r="J2808" s="20">
        <v>54</v>
      </c>
      <c r="K2808" s="20">
        <f>Sales!$B2808-Sales!$J2808</f>
        <v>9.8800000000000026</v>
      </c>
      <c r="L2808" s="23">
        <f>(Sales!$J2808-Sales!$B2808)/Sales!$J2808</f>
        <v>-0.18296296296296302</v>
      </c>
      <c r="M2808" s="23" t="str">
        <f t="shared" si="43"/>
        <v>Below 0%</v>
      </c>
      <c r="N2808" s="22" t="s">
        <v>54</v>
      </c>
      <c r="O2808" s="22" t="s">
        <v>16</v>
      </c>
      <c r="P2808" s="22" t="s">
        <v>17</v>
      </c>
      <c r="Q2808" s="22" t="s">
        <v>14</v>
      </c>
    </row>
    <row r="2809" spans="1:17" x14ac:dyDescent="0.3">
      <c r="A2809" s="27">
        <v>36</v>
      </c>
      <c r="B2809" s="24">
        <v>63.34</v>
      </c>
      <c r="C2809" s="25">
        <f>Sales!$B2809*Sales!$A2809</f>
        <v>2280.2400000000002</v>
      </c>
      <c r="D2809" s="26">
        <v>38036</v>
      </c>
      <c r="E2809" s="27" t="s">
        <v>9</v>
      </c>
      <c r="F2809" s="27">
        <v>1</v>
      </c>
      <c r="G2809" s="27">
        <v>2</v>
      </c>
      <c r="H2809" s="27">
        <v>2004</v>
      </c>
      <c r="I2809" s="27" t="s">
        <v>118</v>
      </c>
      <c r="J2809" s="25">
        <v>54</v>
      </c>
      <c r="K2809" s="25">
        <f>Sales!$B2809-Sales!$J2809</f>
        <v>9.3400000000000034</v>
      </c>
      <c r="L2809" s="28">
        <f>(Sales!$J2809-Sales!$B2809)/Sales!$J2809</f>
        <v>-0.17296296296296301</v>
      </c>
      <c r="M2809" s="28" t="str">
        <f t="shared" si="43"/>
        <v>Below 0%</v>
      </c>
      <c r="N2809" s="27" t="s">
        <v>79</v>
      </c>
      <c r="O2809" s="27" t="s">
        <v>12</v>
      </c>
      <c r="P2809" s="27" t="s">
        <v>13</v>
      </c>
      <c r="Q2809" s="27" t="s">
        <v>14</v>
      </c>
    </row>
    <row r="2810" spans="1:17" x14ac:dyDescent="0.3">
      <c r="A2810" s="22">
        <v>24</v>
      </c>
      <c r="B2810" s="19">
        <v>49.69</v>
      </c>
      <c r="C2810" s="20">
        <f>Sales!$B2810*Sales!$A2810</f>
        <v>1192.56</v>
      </c>
      <c r="D2810" s="21">
        <v>38066</v>
      </c>
      <c r="E2810" s="22" t="s">
        <v>9</v>
      </c>
      <c r="F2810" s="22">
        <v>1</v>
      </c>
      <c r="G2810" s="22">
        <v>3</v>
      </c>
      <c r="H2810" s="22">
        <v>2004</v>
      </c>
      <c r="I2810" s="22" t="s">
        <v>118</v>
      </c>
      <c r="J2810" s="20">
        <v>54</v>
      </c>
      <c r="K2810" s="20">
        <f>Sales!$B2810-Sales!$J2810</f>
        <v>-4.3100000000000023</v>
      </c>
      <c r="L2810" s="23">
        <f>(Sales!$J2810-Sales!$B2810)/Sales!$J2810</f>
        <v>7.9814814814814852E-2</v>
      </c>
      <c r="M2810" s="23" t="str">
        <f t="shared" si="43"/>
        <v>5%-10%</v>
      </c>
      <c r="N2810" s="22" t="s">
        <v>84</v>
      </c>
      <c r="O2810" s="22" t="s">
        <v>43</v>
      </c>
      <c r="P2810" s="22" t="s">
        <v>17</v>
      </c>
      <c r="Q2810" s="22" t="s">
        <v>14</v>
      </c>
    </row>
    <row r="2811" spans="1:17" x14ac:dyDescent="0.3">
      <c r="A2811" s="27">
        <v>23</v>
      </c>
      <c r="B2811" s="24">
        <v>65.52</v>
      </c>
      <c r="C2811" s="25">
        <f>Sales!$B2811*Sales!$A2811</f>
        <v>1506.9599999999998</v>
      </c>
      <c r="D2811" s="26">
        <v>38114</v>
      </c>
      <c r="E2811" s="27" t="s">
        <v>75</v>
      </c>
      <c r="F2811" s="27">
        <v>2</v>
      </c>
      <c r="G2811" s="27">
        <v>5</v>
      </c>
      <c r="H2811" s="27">
        <v>2004</v>
      </c>
      <c r="I2811" s="27" t="s">
        <v>118</v>
      </c>
      <c r="J2811" s="25">
        <v>54</v>
      </c>
      <c r="K2811" s="25">
        <f>Sales!$B2811-Sales!$J2811</f>
        <v>11.519999999999996</v>
      </c>
      <c r="L2811" s="28">
        <f>(Sales!$J2811-Sales!$B2811)/Sales!$J2811</f>
        <v>-0.21333333333333326</v>
      </c>
      <c r="M2811" s="28" t="str">
        <f t="shared" si="43"/>
        <v>Below 0%</v>
      </c>
      <c r="N2811" s="27" t="s">
        <v>11</v>
      </c>
      <c r="O2811" s="27" t="s">
        <v>12</v>
      </c>
      <c r="P2811" s="27" t="s">
        <v>13</v>
      </c>
      <c r="Q2811" s="27" t="s">
        <v>14</v>
      </c>
    </row>
    <row r="2812" spans="1:17" x14ac:dyDescent="0.3">
      <c r="A2812" s="22">
        <v>29</v>
      </c>
      <c r="B2812" s="19">
        <v>50.78</v>
      </c>
      <c r="C2812" s="20">
        <f>Sales!$B2812*Sales!$A2812</f>
        <v>1472.6200000000001</v>
      </c>
      <c r="D2812" s="21">
        <v>38155</v>
      </c>
      <c r="E2812" s="22" t="s">
        <v>9</v>
      </c>
      <c r="F2812" s="22">
        <v>2</v>
      </c>
      <c r="G2812" s="22">
        <v>6</v>
      </c>
      <c r="H2812" s="22">
        <v>2004</v>
      </c>
      <c r="I2812" s="22" t="s">
        <v>118</v>
      </c>
      <c r="J2812" s="20">
        <v>54</v>
      </c>
      <c r="K2812" s="20">
        <f>Sales!$B2812-Sales!$J2812</f>
        <v>-3.2199999999999989</v>
      </c>
      <c r="L2812" s="23">
        <f>(Sales!$J2812-Sales!$B2812)/Sales!$J2812</f>
        <v>5.9629629629629609E-2</v>
      </c>
      <c r="M2812" s="23" t="str">
        <f t="shared" si="43"/>
        <v>5%-10%</v>
      </c>
      <c r="N2812" s="22" t="s">
        <v>68</v>
      </c>
      <c r="O2812" s="22" t="s">
        <v>56</v>
      </c>
      <c r="P2812" s="22" t="s">
        <v>13</v>
      </c>
      <c r="Q2812" s="22" t="s">
        <v>14</v>
      </c>
    </row>
    <row r="2813" spans="1:17" x14ac:dyDescent="0.3">
      <c r="A2813" s="27">
        <v>37</v>
      </c>
      <c r="B2813" s="24">
        <v>45.86</v>
      </c>
      <c r="C2813" s="25">
        <f>Sales!$B2813*Sales!$A2813</f>
        <v>1696.82</v>
      </c>
      <c r="D2813" s="26">
        <v>38189</v>
      </c>
      <c r="E2813" s="27" t="s">
        <v>9</v>
      </c>
      <c r="F2813" s="27">
        <v>3</v>
      </c>
      <c r="G2813" s="27">
        <v>7</v>
      </c>
      <c r="H2813" s="27">
        <v>2004</v>
      </c>
      <c r="I2813" s="27" t="s">
        <v>118</v>
      </c>
      <c r="J2813" s="25">
        <v>54</v>
      </c>
      <c r="K2813" s="25">
        <f>Sales!$B2813-Sales!$J2813</f>
        <v>-8.14</v>
      </c>
      <c r="L2813" s="28">
        <f>(Sales!$J2813-Sales!$B2813)/Sales!$J2813</f>
        <v>0.15074074074074076</v>
      </c>
      <c r="M2813" s="28" t="s">
        <v>132</v>
      </c>
      <c r="N2813" s="27" t="s">
        <v>80</v>
      </c>
      <c r="O2813" s="27" t="s">
        <v>81</v>
      </c>
      <c r="P2813" s="27" t="s">
        <v>17</v>
      </c>
      <c r="Q2813" s="27" t="s">
        <v>14</v>
      </c>
    </row>
    <row r="2814" spans="1:17" x14ac:dyDescent="0.3">
      <c r="A2814" s="22">
        <v>33</v>
      </c>
      <c r="B2814" s="19">
        <v>51.32</v>
      </c>
      <c r="C2814" s="20">
        <f>Sales!$B2814*Sales!$A2814</f>
        <v>1693.56</v>
      </c>
      <c r="D2814" s="21">
        <v>38219</v>
      </c>
      <c r="E2814" s="22" t="s">
        <v>9</v>
      </c>
      <c r="F2814" s="22">
        <v>3</v>
      </c>
      <c r="G2814" s="22">
        <v>8</v>
      </c>
      <c r="H2814" s="22">
        <v>2004</v>
      </c>
      <c r="I2814" s="22" t="s">
        <v>118</v>
      </c>
      <c r="J2814" s="20">
        <v>54</v>
      </c>
      <c r="K2814" s="20">
        <f>Sales!$B2814-Sales!$J2814</f>
        <v>-2.6799999999999997</v>
      </c>
      <c r="L2814" s="23">
        <f>(Sales!$J2814-Sales!$B2814)/Sales!$J2814</f>
        <v>4.9629629629629628E-2</v>
      </c>
      <c r="M2814" s="23" t="str">
        <f t="shared" si="43"/>
        <v>0%-5%</v>
      </c>
      <c r="N2814" s="22" t="s">
        <v>82</v>
      </c>
      <c r="O2814" s="22" t="s">
        <v>56</v>
      </c>
      <c r="P2814" s="22" t="s">
        <v>13</v>
      </c>
      <c r="Q2814" s="22" t="s">
        <v>14</v>
      </c>
    </row>
    <row r="2815" spans="1:17" x14ac:dyDescent="0.3">
      <c r="A2815" s="27">
        <v>32</v>
      </c>
      <c r="B2815" s="24">
        <v>60.06</v>
      </c>
      <c r="C2815" s="25">
        <f>Sales!$B2815*Sales!$A2815</f>
        <v>1921.92</v>
      </c>
      <c r="D2815" s="26">
        <v>38239</v>
      </c>
      <c r="E2815" s="27" t="s">
        <v>9</v>
      </c>
      <c r="F2815" s="27">
        <v>3</v>
      </c>
      <c r="G2815" s="27">
        <v>9</v>
      </c>
      <c r="H2815" s="27">
        <v>2004</v>
      </c>
      <c r="I2815" s="27" t="s">
        <v>118</v>
      </c>
      <c r="J2815" s="25">
        <v>54</v>
      </c>
      <c r="K2815" s="25">
        <f>Sales!$B2815-Sales!$J2815</f>
        <v>6.0600000000000023</v>
      </c>
      <c r="L2815" s="28">
        <f>(Sales!$J2815-Sales!$B2815)/Sales!$J2815</f>
        <v>-0.11222222222222226</v>
      </c>
      <c r="M2815" s="28" t="str">
        <f t="shared" si="43"/>
        <v>Below 0%</v>
      </c>
      <c r="N2815" s="27" t="s">
        <v>60</v>
      </c>
      <c r="O2815" s="27" t="s">
        <v>61</v>
      </c>
      <c r="P2815" s="27" t="s">
        <v>17</v>
      </c>
      <c r="Q2815" s="27" t="s">
        <v>14</v>
      </c>
    </row>
    <row r="2816" spans="1:17" x14ac:dyDescent="0.3">
      <c r="A2816" s="22">
        <v>35</v>
      </c>
      <c r="B2816" s="19">
        <v>59.51</v>
      </c>
      <c r="C2816" s="20">
        <f>Sales!$B2816*Sales!$A2816</f>
        <v>2082.85</v>
      </c>
      <c r="D2816" s="21">
        <v>38274</v>
      </c>
      <c r="E2816" s="22" t="s">
        <v>9</v>
      </c>
      <c r="F2816" s="22">
        <v>4</v>
      </c>
      <c r="G2816" s="22">
        <v>10</v>
      </c>
      <c r="H2816" s="22">
        <v>2004</v>
      </c>
      <c r="I2816" s="22" t="s">
        <v>118</v>
      </c>
      <c r="J2816" s="20">
        <v>54</v>
      </c>
      <c r="K2816" s="20">
        <f>Sales!$B2816-Sales!$J2816</f>
        <v>5.509999999999998</v>
      </c>
      <c r="L2816" s="23">
        <f>(Sales!$J2816-Sales!$B2816)/Sales!$J2816</f>
        <v>-0.102037037037037</v>
      </c>
      <c r="M2816" s="23" t="str">
        <f t="shared" si="43"/>
        <v>Below 0%</v>
      </c>
      <c r="N2816" s="22" t="s">
        <v>102</v>
      </c>
      <c r="O2816" s="22" t="s">
        <v>43</v>
      </c>
      <c r="P2816" s="22" t="s">
        <v>17</v>
      </c>
      <c r="Q2816" s="22" t="s">
        <v>14</v>
      </c>
    </row>
    <row r="2817" spans="1:17" x14ac:dyDescent="0.3">
      <c r="A2817" s="27">
        <v>40</v>
      </c>
      <c r="B2817" s="24">
        <v>55.69</v>
      </c>
      <c r="C2817" s="25">
        <f>Sales!$B2817*Sales!$A2817</f>
        <v>2227.6</v>
      </c>
      <c r="D2817" s="26">
        <v>38289</v>
      </c>
      <c r="E2817" s="27" t="s">
        <v>9</v>
      </c>
      <c r="F2817" s="27">
        <v>4</v>
      </c>
      <c r="G2817" s="27">
        <v>10</v>
      </c>
      <c r="H2817" s="27">
        <v>2004</v>
      </c>
      <c r="I2817" s="27" t="s">
        <v>118</v>
      </c>
      <c r="J2817" s="25">
        <v>54</v>
      </c>
      <c r="K2817" s="25">
        <f>Sales!$B2817-Sales!$J2817</f>
        <v>1.6899999999999977</v>
      </c>
      <c r="L2817" s="28">
        <f>(Sales!$J2817-Sales!$B2817)/Sales!$J2817</f>
        <v>-3.1296296296296253E-2</v>
      </c>
      <c r="M2817" s="28" t="str">
        <f t="shared" si="43"/>
        <v>Below 0%</v>
      </c>
      <c r="N2817" s="27" t="s">
        <v>31</v>
      </c>
      <c r="O2817" s="27" t="s">
        <v>16</v>
      </c>
      <c r="P2817" s="27" t="s">
        <v>17</v>
      </c>
      <c r="Q2817" s="27" t="s">
        <v>14</v>
      </c>
    </row>
    <row r="2818" spans="1:17" x14ac:dyDescent="0.3">
      <c r="A2818" s="22">
        <v>37</v>
      </c>
      <c r="B2818" s="19">
        <v>86.74</v>
      </c>
      <c r="C2818" s="20">
        <f>Sales!$B2818*Sales!$A2818</f>
        <v>3209.3799999999997</v>
      </c>
      <c r="D2818" s="21">
        <v>38301</v>
      </c>
      <c r="E2818" s="22" t="s">
        <v>88</v>
      </c>
      <c r="F2818" s="22">
        <v>4</v>
      </c>
      <c r="G2818" s="22">
        <v>11</v>
      </c>
      <c r="H2818" s="22">
        <v>2004</v>
      </c>
      <c r="I2818" s="22" t="s">
        <v>118</v>
      </c>
      <c r="J2818" s="20">
        <v>54</v>
      </c>
      <c r="K2818" s="20">
        <f>Sales!$B2818-Sales!$J2818</f>
        <v>32.739999999999995</v>
      </c>
      <c r="L2818" s="23">
        <f>(Sales!$J2818-Sales!$B2818)/Sales!$J2818</f>
        <v>-0.60629629629629622</v>
      </c>
      <c r="M2818" s="23" t="str">
        <f t="shared" si="43"/>
        <v>Below 0%</v>
      </c>
      <c r="N2818" s="22" t="s">
        <v>72</v>
      </c>
      <c r="O2818" s="22" t="s">
        <v>73</v>
      </c>
      <c r="P2818" s="22" t="s">
        <v>17</v>
      </c>
      <c r="Q2818" s="22" t="s">
        <v>19</v>
      </c>
    </row>
    <row r="2819" spans="1:17" x14ac:dyDescent="0.3">
      <c r="A2819" s="27">
        <v>42</v>
      </c>
      <c r="B2819" s="24">
        <v>97.16</v>
      </c>
      <c r="C2819" s="25">
        <f>Sales!$B2819*Sales!$A2819</f>
        <v>4080.72</v>
      </c>
      <c r="D2819" s="26">
        <v>38312</v>
      </c>
      <c r="E2819" s="27" t="s">
        <v>9</v>
      </c>
      <c r="F2819" s="27">
        <v>4</v>
      </c>
      <c r="G2819" s="27">
        <v>11</v>
      </c>
      <c r="H2819" s="27">
        <v>2004</v>
      </c>
      <c r="I2819" s="27" t="s">
        <v>118</v>
      </c>
      <c r="J2819" s="25">
        <v>54</v>
      </c>
      <c r="K2819" s="25">
        <f>Sales!$B2819-Sales!$J2819</f>
        <v>43.16</v>
      </c>
      <c r="L2819" s="28">
        <f>(Sales!$J2819-Sales!$B2819)/Sales!$J2819</f>
        <v>-0.79925925925925922</v>
      </c>
      <c r="M2819" s="28" t="str">
        <f t="shared" ref="M2819:M2824" si="44">IF(L2819&lt;0%,"Below 0%",IF(L2819=0%,"0%",IF(AND(L2819&lt;=5%,L2819&gt;0%),"0%-5%",IF(AND(L2819&lt;=10%,L2819&gt;5%),"5%-10%",IF(AND(L2819&lt;=15%,L2819&gt;10%),"10%-15%",IF(AND(L2819&lt;=20%,L2819&gt;15%),"15%-20%","+20%"))))))</f>
        <v>Below 0%</v>
      </c>
      <c r="N2819" s="27" t="s">
        <v>11</v>
      </c>
      <c r="O2819" s="27" t="s">
        <v>12</v>
      </c>
      <c r="P2819" s="27" t="s">
        <v>13</v>
      </c>
      <c r="Q2819" s="27" t="s">
        <v>19</v>
      </c>
    </row>
    <row r="2820" spans="1:17" x14ac:dyDescent="0.3">
      <c r="A2820" s="22">
        <v>20</v>
      </c>
      <c r="B2820" s="19">
        <v>100</v>
      </c>
      <c r="C2820" s="20">
        <f>Sales!$B2820*Sales!$A2820</f>
        <v>2000</v>
      </c>
      <c r="D2820" s="21">
        <v>38323</v>
      </c>
      <c r="E2820" s="22" t="s">
        <v>9</v>
      </c>
      <c r="F2820" s="22">
        <v>4</v>
      </c>
      <c r="G2820" s="22">
        <v>12</v>
      </c>
      <c r="H2820" s="22">
        <v>2004</v>
      </c>
      <c r="I2820" s="22" t="s">
        <v>118</v>
      </c>
      <c r="J2820" s="20">
        <v>54</v>
      </c>
      <c r="K2820" s="20">
        <f>Sales!$B2820-Sales!$J2820</f>
        <v>46</v>
      </c>
      <c r="L2820" s="23">
        <f>(Sales!$J2820-Sales!$B2820)/Sales!$J2820</f>
        <v>-0.85185185185185186</v>
      </c>
      <c r="M2820" s="23" t="str">
        <f t="shared" si="44"/>
        <v>Below 0%</v>
      </c>
      <c r="N2820" s="22" t="s">
        <v>45</v>
      </c>
      <c r="O2820" s="22" t="s">
        <v>46</v>
      </c>
      <c r="P2820" s="22" t="s">
        <v>17</v>
      </c>
      <c r="Q2820" s="22" t="s">
        <v>14</v>
      </c>
    </row>
    <row r="2821" spans="1:17" x14ac:dyDescent="0.3">
      <c r="A2821" s="27">
        <v>29</v>
      </c>
      <c r="B2821" s="24">
        <v>100</v>
      </c>
      <c r="C2821" s="25">
        <f>Sales!$B2821*Sales!$A2821</f>
        <v>2900</v>
      </c>
      <c r="D2821" s="26">
        <v>38383</v>
      </c>
      <c r="E2821" s="27" t="s">
        <v>9</v>
      </c>
      <c r="F2821" s="27">
        <v>1</v>
      </c>
      <c r="G2821" s="27">
        <v>1</v>
      </c>
      <c r="H2821" s="27">
        <v>2005</v>
      </c>
      <c r="I2821" s="27" t="s">
        <v>118</v>
      </c>
      <c r="J2821" s="25">
        <v>54</v>
      </c>
      <c r="K2821" s="25">
        <f>Sales!$B2821-Sales!$J2821</f>
        <v>46</v>
      </c>
      <c r="L2821" s="28">
        <f>(Sales!$J2821-Sales!$B2821)/Sales!$J2821</f>
        <v>-0.85185185185185186</v>
      </c>
      <c r="M2821" s="28" t="str">
        <f t="shared" si="44"/>
        <v>Below 0%</v>
      </c>
      <c r="N2821" s="27" t="s">
        <v>85</v>
      </c>
      <c r="O2821" s="27" t="s">
        <v>34</v>
      </c>
      <c r="P2821" s="27" t="s">
        <v>17</v>
      </c>
      <c r="Q2821" s="27" t="s">
        <v>19</v>
      </c>
    </row>
    <row r="2822" spans="1:17" x14ac:dyDescent="0.3">
      <c r="A2822" s="22">
        <v>43</v>
      </c>
      <c r="B2822" s="19">
        <v>100</v>
      </c>
      <c r="C2822" s="20">
        <f>Sales!$B2822*Sales!$A2822</f>
        <v>4300</v>
      </c>
      <c r="D2822" s="21">
        <v>38412</v>
      </c>
      <c r="E2822" s="22" t="s">
        <v>88</v>
      </c>
      <c r="F2822" s="22">
        <v>1</v>
      </c>
      <c r="G2822" s="22">
        <v>3</v>
      </c>
      <c r="H2822" s="22">
        <v>2005</v>
      </c>
      <c r="I2822" s="22" t="s">
        <v>118</v>
      </c>
      <c r="J2822" s="20">
        <v>54</v>
      </c>
      <c r="K2822" s="20">
        <f>Sales!$B2822-Sales!$J2822</f>
        <v>46</v>
      </c>
      <c r="L2822" s="23">
        <f>(Sales!$J2822-Sales!$B2822)/Sales!$J2822</f>
        <v>-0.85185185185185186</v>
      </c>
      <c r="M2822" s="23" t="str">
        <f t="shared" si="44"/>
        <v>Below 0%</v>
      </c>
      <c r="N2822" s="22" t="s">
        <v>45</v>
      </c>
      <c r="O2822" s="22" t="s">
        <v>46</v>
      </c>
      <c r="P2822" s="22" t="s">
        <v>17</v>
      </c>
      <c r="Q2822" s="22" t="s">
        <v>19</v>
      </c>
    </row>
    <row r="2823" spans="1:17" x14ac:dyDescent="0.3">
      <c r="A2823" s="27">
        <v>34</v>
      </c>
      <c r="B2823" s="24">
        <v>62.24</v>
      </c>
      <c r="C2823" s="25">
        <f>Sales!$B2823*Sales!$A2823</f>
        <v>2116.16</v>
      </c>
      <c r="D2823" s="26">
        <v>38439</v>
      </c>
      <c r="E2823" s="27" t="s">
        <v>9</v>
      </c>
      <c r="F2823" s="27">
        <v>1</v>
      </c>
      <c r="G2823" s="27">
        <v>3</v>
      </c>
      <c r="H2823" s="27">
        <v>2005</v>
      </c>
      <c r="I2823" s="27" t="s">
        <v>118</v>
      </c>
      <c r="J2823" s="25">
        <v>54</v>
      </c>
      <c r="K2823" s="25">
        <f>Sales!$B2823-Sales!$J2823</f>
        <v>8.240000000000002</v>
      </c>
      <c r="L2823" s="28">
        <f>(Sales!$J2823-Sales!$B2823)/Sales!$J2823</f>
        <v>-0.15259259259259264</v>
      </c>
      <c r="M2823" s="28" t="str">
        <f t="shared" si="44"/>
        <v>Below 0%</v>
      </c>
      <c r="N2823" s="27" t="s">
        <v>76</v>
      </c>
      <c r="O2823" s="27" t="s">
        <v>16</v>
      </c>
      <c r="P2823" s="27" t="s">
        <v>17</v>
      </c>
      <c r="Q2823" s="27" t="s">
        <v>14</v>
      </c>
    </row>
    <row r="2824" spans="1:17" x14ac:dyDescent="0.3">
      <c r="A2824" s="22">
        <v>47</v>
      </c>
      <c r="B2824" s="19">
        <v>65.52</v>
      </c>
      <c r="C2824" s="20">
        <f>Sales!$B2824*Sales!$A2824</f>
        <v>3079.4399999999996</v>
      </c>
      <c r="D2824" s="21">
        <v>38478</v>
      </c>
      <c r="E2824" s="22" t="s">
        <v>87</v>
      </c>
      <c r="F2824" s="22">
        <v>2</v>
      </c>
      <c r="G2824" s="22">
        <v>5</v>
      </c>
      <c r="H2824" s="22">
        <v>2005</v>
      </c>
      <c r="I2824" s="22" t="s">
        <v>118</v>
      </c>
      <c r="J2824" s="20">
        <v>54</v>
      </c>
      <c r="K2824" s="20">
        <f>Sales!$B2824-Sales!$J2824</f>
        <v>11.519999999999996</v>
      </c>
      <c r="L2824" s="23">
        <f>(Sales!$J2824-Sales!$B2824)/Sales!$J2824</f>
        <v>-0.21333333333333326</v>
      </c>
      <c r="M2824" s="23" t="str">
        <f t="shared" si="44"/>
        <v>Below 0%</v>
      </c>
      <c r="N2824" s="22" t="s">
        <v>83</v>
      </c>
      <c r="O2824" s="22" t="s">
        <v>12</v>
      </c>
      <c r="P2824" s="22" t="s">
        <v>13</v>
      </c>
      <c r="Q2824" s="22" t="s">
        <v>19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D01E-85ED-4C82-966E-8CFEECE1E819}">
  <sheetPr>
    <tabColor rgb="FF4AB0D9"/>
  </sheetPr>
  <dimension ref="F12:K18"/>
  <sheetViews>
    <sheetView showGridLines="0" tabSelected="1" zoomScale="80" zoomScaleNormal="80" workbookViewId="0">
      <selection activeCell="Z34" sqref="Z34"/>
    </sheetView>
  </sheetViews>
  <sheetFormatPr defaultRowHeight="14.4" x14ac:dyDescent="0.3"/>
  <cols>
    <col min="1" max="16384" width="8.88671875" style="13"/>
  </cols>
  <sheetData>
    <row r="12" spans="11:11" x14ac:dyDescent="0.3">
      <c r="K12" s="12"/>
    </row>
    <row r="18" spans="6:7" x14ac:dyDescent="0.3">
      <c r="F18" s="17"/>
      <c r="G18" s="17"/>
    </row>
  </sheetData>
  <mergeCells count="1">
    <mergeCell ref="F18:G1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32DE-E72B-4E08-BF6F-6EE85C3A32A6}">
  <sheetPr>
    <tabColor rgb="FF13F235"/>
  </sheetPr>
  <dimension ref="A1:AQ20"/>
  <sheetViews>
    <sheetView topLeftCell="AE1" zoomScaleNormal="100" workbookViewId="0">
      <selection sqref="A1:Q2824"/>
    </sheetView>
  </sheetViews>
  <sheetFormatPr defaultRowHeight="14.4" x14ac:dyDescent="0.3"/>
  <cols>
    <col min="1" max="1" width="12.21875" bestFit="1" customWidth="1"/>
    <col min="2" max="2" width="12.77734375" bestFit="1" customWidth="1"/>
    <col min="3" max="3" width="24" style="9" bestFit="1" customWidth="1"/>
    <col min="4" max="4" width="8.88671875" style="9"/>
    <col min="5" max="5" width="22.88671875" bestFit="1" customWidth="1"/>
    <col min="8" max="9" width="8.88671875" style="11"/>
    <col min="10" max="10" width="12.44140625" bestFit="1" customWidth="1"/>
    <col min="11" max="11" width="12.21875" bestFit="1" customWidth="1"/>
    <col min="13" max="14" width="8.88671875" style="11"/>
    <col min="15" max="15" width="12.44140625" bestFit="1" customWidth="1"/>
    <col min="16" max="16" width="12.21875" bestFit="1" customWidth="1"/>
    <col min="18" max="19" width="8.88671875" style="11"/>
    <col min="20" max="20" width="15" bestFit="1" customWidth="1"/>
    <col min="21" max="21" width="12.21875" bestFit="1" customWidth="1"/>
    <col min="22" max="23" width="8.88671875" style="11"/>
    <col min="24" max="24" width="12.44140625" bestFit="1" customWidth="1"/>
    <col min="25" max="25" width="12.21875" bestFit="1" customWidth="1"/>
    <col min="26" max="27" width="8.88671875" style="11"/>
    <col min="28" max="28" width="12.44140625" bestFit="1" customWidth="1"/>
    <col min="29" max="29" width="14.5546875" bestFit="1" customWidth="1"/>
    <col min="30" max="31" width="8.88671875" style="11"/>
    <col min="32" max="32" width="26.88671875" bestFit="1" customWidth="1"/>
    <col min="34" max="35" width="8.88671875" style="11"/>
    <col min="36" max="36" width="12.44140625" bestFit="1" customWidth="1"/>
    <col min="37" max="37" width="12.21875" bestFit="1" customWidth="1"/>
    <col min="38" max="39" width="8.88671875" style="11"/>
    <col min="40" max="40" width="20" bestFit="1" customWidth="1"/>
    <col min="41" max="41" width="12.21875" bestFit="1" customWidth="1"/>
    <col min="42" max="43" width="8.88671875" style="11"/>
  </cols>
  <sheetData>
    <row r="1" spans="1:41" x14ac:dyDescent="0.3">
      <c r="A1" s="18" t="s">
        <v>136</v>
      </c>
      <c r="B1" s="18"/>
      <c r="E1" s="18" t="s">
        <v>138</v>
      </c>
      <c r="F1" s="18"/>
      <c r="G1" s="18"/>
      <c r="J1" s="18" t="s">
        <v>139</v>
      </c>
      <c r="K1" s="18"/>
      <c r="O1" s="18" t="s">
        <v>140</v>
      </c>
      <c r="P1" s="18"/>
      <c r="T1" s="18" t="s">
        <v>141</v>
      </c>
      <c r="U1" s="18"/>
      <c r="X1" s="18" t="s">
        <v>142</v>
      </c>
      <c r="Y1" s="18"/>
      <c r="AB1" s="18" t="s">
        <v>155</v>
      </c>
      <c r="AC1" s="18"/>
      <c r="AF1" s="18" t="s">
        <v>156</v>
      </c>
      <c r="AG1" s="18"/>
      <c r="AJ1" s="18" t="s">
        <v>160</v>
      </c>
      <c r="AK1" s="18"/>
      <c r="AN1" t="s">
        <v>162</v>
      </c>
    </row>
    <row r="4" spans="1:41" x14ac:dyDescent="0.3">
      <c r="A4" t="s">
        <v>135</v>
      </c>
      <c r="E4" t="s">
        <v>137</v>
      </c>
      <c r="J4" s="6" t="s">
        <v>127</v>
      </c>
      <c r="K4" t="s">
        <v>135</v>
      </c>
      <c r="O4" s="6" t="s">
        <v>127</v>
      </c>
      <c r="P4" t="s">
        <v>135</v>
      </c>
      <c r="T4" s="6" t="s">
        <v>127</v>
      </c>
      <c r="U4" t="s">
        <v>135</v>
      </c>
      <c r="X4" s="6" t="s">
        <v>127</v>
      </c>
      <c r="Y4" t="s">
        <v>135</v>
      </c>
      <c r="AB4" s="6" t="s">
        <v>127</v>
      </c>
      <c r="AC4" t="s">
        <v>154</v>
      </c>
      <c r="AF4" t="s">
        <v>157</v>
      </c>
      <c r="AJ4" s="6" t="s">
        <v>127</v>
      </c>
      <c r="AK4" t="s">
        <v>135</v>
      </c>
      <c r="AN4" t="s">
        <v>161</v>
      </c>
    </row>
    <row r="5" spans="1:41" x14ac:dyDescent="0.3">
      <c r="A5" s="3">
        <v>8290886.7900000047</v>
      </c>
      <c r="E5" s="5">
        <v>9.5140550082051356E-2</v>
      </c>
      <c r="J5" s="7" t="s">
        <v>12</v>
      </c>
      <c r="K5" s="3">
        <v>2986425.2099999995</v>
      </c>
      <c r="O5" s="7" t="s">
        <v>45</v>
      </c>
      <c r="P5" s="3">
        <v>902094.19000000018</v>
      </c>
      <c r="T5" s="7" t="s">
        <v>47</v>
      </c>
      <c r="U5" s="3">
        <v>2968546.399999998</v>
      </c>
      <c r="X5" s="7" t="s">
        <v>111</v>
      </c>
      <c r="Y5" s="3">
        <v>659582.29000000027</v>
      </c>
      <c r="AB5" s="7" t="s">
        <v>75</v>
      </c>
      <c r="AC5" s="14">
        <v>2.1253985122210415E-2</v>
      </c>
      <c r="AF5" s="1">
        <v>35.092809068366982</v>
      </c>
      <c r="AJ5" s="7" t="s">
        <v>158</v>
      </c>
      <c r="AK5" s="3">
        <v>2571729.7199999983</v>
      </c>
      <c r="AN5" s="1">
        <v>83.658544102019292</v>
      </c>
    </row>
    <row r="6" spans="1:41" x14ac:dyDescent="0.3">
      <c r="J6" s="7" t="s">
        <v>46</v>
      </c>
      <c r="K6" s="3">
        <v>1021705.9700000002</v>
      </c>
      <c r="O6" s="7" t="s">
        <v>64</v>
      </c>
      <c r="P6" s="3">
        <v>530587.19000000018</v>
      </c>
      <c r="T6" s="7" t="s">
        <v>112</v>
      </c>
      <c r="U6" s="3">
        <v>1644212.05</v>
      </c>
      <c r="X6" s="7" t="s">
        <v>143</v>
      </c>
      <c r="Y6" s="3">
        <v>668328.14999999979</v>
      </c>
      <c r="AB6" s="7" t="s">
        <v>44</v>
      </c>
      <c r="AC6" s="14">
        <v>4.9592631951824303E-3</v>
      </c>
      <c r="AJ6" s="7" t="s">
        <v>130</v>
      </c>
      <c r="AK6" s="3">
        <v>173545.19</v>
      </c>
    </row>
    <row r="7" spans="1:41" x14ac:dyDescent="0.3">
      <c r="J7" s="7" t="s">
        <v>16</v>
      </c>
      <c r="K7" s="3">
        <v>919257.84999999974</v>
      </c>
      <c r="O7" s="7" t="s">
        <v>11</v>
      </c>
      <c r="P7" s="3">
        <v>450418.62999999983</v>
      </c>
      <c r="T7" s="7" t="s">
        <v>10</v>
      </c>
      <c r="U7" s="3">
        <v>971086.29000000062</v>
      </c>
      <c r="X7" s="7" t="s">
        <v>144</v>
      </c>
      <c r="Y7" s="3">
        <v>626186.73000000033</v>
      </c>
      <c r="AB7" s="7" t="s">
        <v>69</v>
      </c>
      <c r="AC7" s="14">
        <v>1.4523556500177117E-2</v>
      </c>
      <c r="AG7" s="1">
        <f>GETPIVOTDATA("QUANTITY ORDERED",$AF$4)</f>
        <v>35.092809068366982</v>
      </c>
      <c r="AJ7" s="7" t="s">
        <v>131</v>
      </c>
      <c r="AK7" s="3">
        <v>757938.06000000075</v>
      </c>
      <c r="AO7" s="3">
        <f>GETPIVOTDATA("PRICE EACH",$AN$4)</f>
        <v>83.658544102019292</v>
      </c>
    </row>
    <row r="8" spans="1:41" x14ac:dyDescent="0.3">
      <c r="J8" s="7" t="s">
        <v>27</v>
      </c>
      <c r="K8" s="3">
        <v>521598.45999999985</v>
      </c>
      <c r="O8" s="7" t="s">
        <v>50</v>
      </c>
      <c r="P8" s="3">
        <v>227985.50000000009</v>
      </c>
      <c r="T8" s="7" t="s">
        <v>104</v>
      </c>
      <c r="U8" s="3">
        <v>947355.17999999993</v>
      </c>
      <c r="X8" s="7" t="s">
        <v>145</v>
      </c>
      <c r="Y8" s="3">
        <v>560334.4600000002</v>
      </c>
      <c r="AB8" s="7" t="s">
        <v>87</v>
      </c>
      <c r="AC8" s="14">
        <v>1.5586255756287637E-2</v>
      </c>
      <c r="AJ8" s="7" t="s">
        <v>132</v>
      </c>
      <c r="AK8" s="3">
        <v>1154373.1800000006</v>
      </c>
    </row>
    <row r="9" spans="1:41" x14ac:dyDescent="0.3">
      <c r="B9" s="8">
        <f>GETPIVOTDATA("SALES",$A$4)</f>
        <v>8290886.7900000047</v>
      </c>
      <c r="F9" s="10">
        <f>GETPIVOTDATA("AVG DISCOUNT",$E$4)</f>
        <v>9.5140550082051356E-2</v>
      </c>
      <c r="J9" s="7" t="s">
        <v>43</v>
      </c>
      <c r="K9" s="3">
        <v>413203.33999999997</v>
      </c>
      <c r="O9" s="7" t="s">
        <v>18</v>
      </c>
      <c r="P9" s="3">
        <v>212959.81999999998</v>
      </c>
      <c r="T9" s="7" t="s">
        <v>115</v>
      </c>
      <c r="U9" s="3">
        <v>877942.21000000008</v>
      </c>
      <c r="X9" s="7" t="s">
        <v>146</v>
      </c>
      <c r="Y9" s="3">
        <v>756812.9099999998</v>
      </c>
      <c r="AB9" s="7" t="s">
        <v>88</v>
      </c>
      <c r="AC9" s="14">
        <v>1.6648955012398159E-2</v>
      </c>
      <c r="AJ9" s="7" t="s">
        <v>133</v>
      </c>
      <c r="AK9" s="3">
        <v>859087.03000000026</v>
      </c>
    </row>
    <row r="10" spans="1:41" x14ac:dyDescent="0.3">
      <c r="J10" s="7" t="s">
        <v>61</v>
      </c>
      <c r="K10" s="3">
        <v>309402.86999999988</v>
      </c>
      <c r="O10" s="7" t="s">
        <v>21</v>
      </c>
      <c r="P10" s="3">
        <v>179088.23</v>
      </c>
      <c r="T10" s="7" t="s">
        <v>118</v>
      </c>
      <c r="U10" s="3">
        <v>677940.39999999991</v>
      </c>
      <c r="X10" s="7" t="s">
        <v>147</v>
      </c>
      <c r="Y10" s="3">
        <v>384743.58999999997</v>
      </c>
      <c r="AB10" s="7" t="s">
        <v>9</v>
      </c>
      <c r="AC10" s="14">
        <v>0.92702798441374423</v>
      </c>
      <c r="AJ10" s="7" t="s">
        <v>134</v>
      </c>
      <c r="AK10" s="3">
        <v>485914.22999999986</v>
      </c>
    </row>
    <row r="11" spans="1:41" x14ac:dyDescent="0.3">
      <c r="J11" s="7" t="s">
        <v>34</v>
      </c>
      <c r="K11" s="3">
        <v>268714.70000000007</v>
      </c>
      <c r="O11" s="7" t="s">
        <v>31</v>
      </c>
      <c r="P11" s="3">
        <v>175122.97999999998</v>
      </c>
      <c r="T11" s="7" t="s">
        <v>119</v>
      </c>
      <c r="U11" s="3">
        <v>203804.26</v>
      </c>
      <c r="X11" s="7" t="s">
        <v>148</v>
      </c>
      <c r="Y11" s="3">
        <v>420973.33999999997</v>
      </c>
      <c r="AB11" s="7" t="s">
        <v>128</v>
      </c>
      <c r="AC11" s="14">
        <v>1</v>
      </c>
      <c r="AJ11" s="7" t="s">
        <v>159</v>
      </c>
      <c r="AK11" s="3">
        <v>2288299.3800000018</v>
      </c>
    </row>
    <row r="12" spans="1:41" x14ac:dyDescent="0.3">
      <c r="J12" s="7" t="s">
        <v>25</v>
      </c>
      <c r="K12" s="3">
        <v>246115.8000000001</v>
      </c>
      <c r="O12" s="7" t="s">
        <v>41</v>
      </c>
      <c r="P12" s="3">
        <v>172699.64999999997</v>
      </c>
      <c r="T12" s="7" t="s">
        <v>128</v>
      </c>
      <c r="U12" s="3">
        <v>8290886.7899999982</v>
      </c>
      <c r="X12" s="7" t="s">
        <v>149</v>
      </c>
      <c r="Y12" s="3">
        <v>552132.91000000015</v>
      </c>
      <c r="AJ12" s="7" t="s">
        <v>128</v>
      </c>
      <c r="AK12" s="3">
        <v>8290886.790000001</v>
      </c>
    </row>
    <row r="13" spans="1:41" x14ac:dyDescent="0.3">
      <c r="J13" s="7" t="s">
        <v>50</v>
      </c>
      <c r="K13" s="3">
        <v>227985.50000000009</v>
      </c>
      <c r="O13" s="7" t="s">
        <v>26</v>
      </c>
      <c r="P13" s="3">
        <v>164575.87000000002</v>
      </c>
      <c r="X13" s="7" t="s">
        <v>150</v>
      </c>
      <c r="Y13" s="3">
        <v>474900.11999999994</v>
      </c>
    </row>
    <row r="14" spans="1:41" x14ac:dyDescent="0.3">
      <c r="J14" s="7" t="s">
        <v>56</v>
      </c>
      <c r="K14" s="3">
        <v>193504.34000000003</v>
      </c>
      <c r="O14" s="7" t="s">
        <v>66</v>
      </c>
      <c r="P14" s="3">
        <v>141145.54</v>
      </c>
      <c r="X14" s="7" t="s">
        <v>151</v>
      </c>
      <c r="Y14" s="3">
        <v>919036.70000000065</v>
      </c>
    </row>
    <row r="15" spans="1:41" x14ac:dyDescent="0.3">
      <c r="J15" s="7" t="s">
        <v>128</v>
      </c>
      <c r="K15" s="3">
        <v>7107914.0399999991</v>
      </c>
      <c r="O15" s="7" t="s">
        <v>128</v>
      </c>
      <c r="P15" s="3">
        <v>3156677.6000000006</v>
      </c>
      <c r="X15" s="7" t="s">
        <v>152</v>
      </c>
      <c r="Y15" s="3">
        <v>1744682.4499999997</v>
      </c>
      <c r="AC15" s="16">
        <f>GETPIVOTDATA("STATUS",$AB$4,"STATUS","Shipped")</f>
        <v>0.92702798441374423</v>
      </c>
    </row>
    <row r="16" spans="1:41" x14ac:dyDescent="0.3">
      <c r="X16" s="7" t="s">
        <v>153</v>
      </c>
      <c r="Y16" s="3">
        <v>523173.13999999984</v>
      </c>
      <c r="AC16" s="16">
        <f>GETPIVOTDATA("STATUS",$AB$4,"STATUS","Cancelled")</f>
        <v>2.1253985122210415E-2</v>
      </c>
    </row>
    <row r="17" spans="24:29" x14ac:dyDescent="0.3">
      <c r="X17" s="7" t="s">
        <v>128</v>
      </c>
      <c r="Y17" s="3">
        <v>8290886.79</v>
      </c>
      <c r="AC17" s="16">
        <f>GETPIVOTDATA("STATUS",$AB$4,"STATUS","Resolved")</f>
        <v>1.6648955012398159E-2</v>
      </c>
    </row>
    <row r="18" spans="24:29" x14ac:dyDescent="0.3">
      <c r="AC18" s="16">
        <f>GETPIVOTDATA("STATUS",$AB$4,"STATUS","On Hold")</f>
        <v>1.5586255756287637E-2</v>
      </c>
    </row>
    <row r="19" spans="24:29" x14ac:dyDescent="0.3">
      <c r="AC19" s="16">
        <f>GETPIVOTDATA("STATUS",$AB$4,"STATUS","In Process")</f>
        <v>1.4523556500177117E-2</v>
      </c>
    </row>
    <row r="20" spans="24:29" x14ac:dyDescent="0.3">
      <c r="AC20" s="16">
        <f>GETPIVOTDATA("STATUS",$AB$4,"STATUS","Disputed")</f>
        <v>4.9592631951824303E-3</v>
      </c>
    </row>
  </sheetData>
  <mergeCells count="9">
    <mergeCell ref="X1:Y1"/>
    <mergeCell ref="AB1:AC1"/>
    <mergeCell ref="AF1:AG1"/>
    <mergeCell ref="AJ1:AK1"/>
    <mergeCell ref="A1:B1"/>
    <mergeCell ref="E1:G1"/>
    <mergeCell ref="J1:K1"/>
    <mergeCell ref="O1:P1"/>
    <mergeCell ref="T1:U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60CFDC-6C13-419B-8EA7-BEE3209737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amraman631@gmail.com</dc:creator>
  <cp:lastModifiedBy>amraman631@gmail.com</cp:lastModifiedBy>
  <dcterms:created xsi:type="dcterms:W3CDTF">2026-08-26T02:11:28Z</dcterms:created>
  <dcterms:modified xsi:type="dcterms:W3CDTF">2026-09-01T02:43:17Z</dcterms:modified>
</cp:coreProperties>
</file>